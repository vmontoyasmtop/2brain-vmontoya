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vistas" sheetId="1" r:id="rId5"/>
    <sheet state="visible" name="Vacantes" sheetId="2" r:id="rId6"/>
    <sheet state="hidden" name="Llamados no asistieron" sheetId="3" r:id="rId7"/>
    <sheet state="visible" name="Head Count" sheetId="4" r:id="rId8"/>
    <sheet state="visible" name="Entrevistas Area Administrativa" sheetId="5" r:id="rId9"/>
  </sheets>
  <definedNames>
    <definedName hidden="1" localSheetId="1" name="_xlnm._FilterDatabase">Vacantes!$A$5:$X$119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tc={05aaee93-ac52-4642-8453-79cb805ad229}</author>
    <author>tc={067e651d-2a28-4c10-b8ef-1e53591754c8}</author>
    <author>tc={14815037-e0c2-47b5-9ab8-29f4a374fa9c}</author>
    <author>tc={15ff8c8a-e2ca-468e-abe4-2d8aa662cb30}</author>
    <author>tc={163182b7-b44f-4baf-a12e-7071ee0f5bd3}</author>
    <author>tc={1f6de556-5d3e-44c4-8c64-d798b558a25f}</author>
    <author>tc={204cb565-bb62-481c-a81c-d527d10e371a}</author>
    <author>tc={20c43376-8181-4c11-af51-6b886efe865c}</author>
    <author>tc={290e2b01-fdd4-4a9e-899e-28d531d37c6b}</author>
    <author>tc={2b8c7cb1-35c6-4b1c-b3d8-1cdc2d8a49d8}</author>
    <author>tc={385f1dd8-f4c7-4ca0-8b21-ecc2c69dd48d}</author>
    <author>tc={3cdf3a5a-64cd-46c3-b336-7812c33316c1}</author>
    <author>tc={3d6e3b58-2c00-4fb5-939c-e9d96e691d48}</author>
    <author>tc={40203e99-ae72-4fa4-bad5-3e8d1f02307c}</author>
    <author>tc={42f678f6-b1d9-4dc8-8319-b10031e08d33}</author>
    <author>tc={48e15984-5162-4fca-a538-2e9632cb2408}</author>
    <author>tc={4e99878d-e413-498b-98e6-ed528aa48b31}</author>
    <author>tc={52a3bc4a-92fe-434b-a8f1-c98c52a843d6}</author>
    <author>tc={600e1935-19aa-48a8-8e9f-b19fabf809ac}</author>
    <author>tc={6eb53cc2-ad23-41fb-8d12-d04028ada8e2}</author>
    <author>tc={6fb9d90c-fe84-48fa-85bd-0bb665531353}</author>
    <author>tc={70e985d1-4149-46d4-9203-230798fb2cbe}</author>
    <author>tc={71f10bdc-cea6-45b2-88f6-76c21ca4afb3}</author>
    <author>tc={73a571a6-0003-4823-bd66-1033b913892b}</author>
    <author>tc={78de0e5c-d85f-4387-883f-a36f8ba107a8}</author>
    <author>tc={7c1df3f7-7966-4d99-93e8-c7aacd511c6d}</author>
    <author>tc={8292a228-1549-4389-ac33-809358f8d949}</author>
    <author>tc={864039b4-717c-40b0-9139-25ef0239cd7c}</author>
    <author>tc={8654b895-9f57-4a34-a9d4-443906113b4e}</author>
    <author>tc={865c1252-52a8-44ea-81b2-7cc9015ba660}</author>
    <author>tc={97dd4d75-bf11-484d-b886-11c0f1f78456}</author>
    <author>tc={9ad9d9a9-bb50-461d-a7d9-ad33f6f98e8d}</author>
    <author>tc={a2e5e1c2-b23a-4d3f-848f-8989548ee10d}</author>
    <author>tc={a45d3016-0687-4bf4-85de-2eb2b9700111}</author>
    <author>tc={a61ab34a-3cf8-4a41-a5a6-229a48a0fd13}</author>
    <author>tc={bd5c55d4-65f8-472e-a443-23e2ded24917}</author>
    <author>tc={bd97e7ee-4537-4258-b82e-d83c8efbe9a1}</author>
    <author>tc={c4813591-19c8-43e5-a599-2a7694581cb3}</author>
    <author>tc={cbffeb02-924b-4fe2-9441-f0d69635ce65}</author>
    <author>tc={cc9bf415-b9a9-4cd8-a763-a3c96a2347af}</author>
    <author>tc={d3bff7cf-2d88-40ba-b0da-2487270bf90c}</author>
    <author>tc={d58c8e45-dbcf-41ff-bae5-686c10276074}</author>
    <author>tc={d72df8aa-c700-4cdd-b3d7-0cf3f0bea014}</author>
    <author>tc={d75195b6-3730-486a-a32a-57aeaa1e1a4e}</author>
    <author>tc={db8dea00-4ea2-474d-bb0c-5fb68a649f39}</author>
    <author>tc={e58b0a93-516e-46d6-8e03-6cfae150c207}</author>
    <author>tc={eafb1f80-30c7-44b8-8801-65c3975abb0f}</author>
    <author>tc={f3a862b3-bda9-4419-8395-3fa2b701da39}</author>
    <author>tc={f67063a1-76a5-4024-9487-e7aabdf67428}</author>
    <author>tc={fb3ab802-8936-4e5b-aa16-4968feae2178}</author>
    <author>tc={fffd10dd-406b-42fc-947c-a7d5434ff2d3}</author>
  </authors>
  <commentList>
    <comment authorId="0" xr:uid="{05aaee93-ac52-4642-8453-79cb805ad229}"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la Urbina. Podria funcionar para Altamira Village (B o LG)
</t>
      </text>
    </comment>
    <comment authorId="1" xr:uid="{067e651d-2a28-4c10-b8ef-1e53591754c8}"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las adjuntas), se sugiere para BEP
</t>
      </text>
    </comment>
    <comment authorId="2" xr:uid="{14815037-e0c2-47b5-9ab8-29f4a374fa9c}"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Palo Verde), se sugiere para BM
</t>
      </text>
    </comment>
    <comment authorId="3" xr:uid="{15ff8c8a-e2ca-468e-abe4-2d8aa662cb30}" ref="A1">
      <text>
        <t xml:space="preserve">[Threaded comment]
 Your version of Excel allows you to read this threaded comment; however, any edits to it will get removed if the file is opened in a newer version of Excel. Learn more: https://go.microsoft.com/fwlink/?linkid=870924
Comment:
	Nicole Hernandez 19-12
</t>
      </text>
    </comment>
    <comment authorId="4" xr:uid="{163182b7-b44f-4baf-a12e-7071ee0f5bd3}" ref="A1">
      <text>
        <t xml:space="preserve">[Threaded comment]
 Your version of Excel allows you to read this threaded comment; however, any edits to it will get removed if the file is opened in a newer version of Excel. Learn more: https://go.microsoft.com/fwlink/?linkid=870924
Comment:
	Beijing La Boyera - Ladeibis
</t>
      </text>
    </comment>
    <comment authorId="5" xr:uid="{1f6de556-5d3e-44c4-8c64-d798b558a25f}" ref="A1">
      <text>
        <t xml:space="preserve">[Threaded comment]
 Your version of Excel allows you to read this threaded comment; however, any edits to it will get removed if the file is opened in a newer version of Excel. Learn more: https://go.microsoft.com/fwlink/?linkid=870924
Comment:
	Beijing Tahona - Rebeca Ortiz
</t>
      </text>
    </comment>
    <comment authorId="6" xr:uid="{204cb565-bb62-481c-a81c-d527d10e371a}" ref="A1">
      <text>
        <t xml:space="preserve">[Threaded comment]
 Your version of Excel allows you to read this threaded comment; however, any edits to it will get removed if the file is opened in a newer version of Excel. Learn more: https://go.microsoft.com/fwlink/?linkid=870924
Comment:
	por motivos personales, se pospone su periodo de prueba a partir del 05/01
</t>
      </text>
    </comment>
    <comment authorId="7" xr:uid="{20c43376-8181-4c11-af51-6b886efe865c}" ref="A1">
      <text>
        <t xml:space="preserve">[Threaded comment]
 Your version of Excel allows you to read this threaded comment; however, any edits to it will get removed if the file is opened in a newer version of Excel. Learn more: https://go.microsoft.com/fwlink/?linkid=870924
Comment:
	Katherine Guevara 18-12-2025 - Aprobo prueba
</t>
      </text>
    </comment>
    <comment authorId="8" xr:uid="{290e2b01-fdd4-4a9e-899e-28d531d37c6b}" ref="A1">
      <text>
        <t xml:space="preserve">[Threaded comment]
 Your version of Excel allows you to read this threaded comment; however, any edits to it will get removed if the file is opened in a newer version of Excel. Learn more: https://go.microsoft.com/fwlink/?linkid=870924
Comment:
	Beijing San Bernardino - Luis Anderson
</t>
      </text>
    </comment>
    <comment authorId="9" xr:uid="{2b8c7cb1-35c6-4b1c-b3d8-1cdc2d8a49d8}" ref="A1">
      <text>
        <t xml:space="preserve">[Threaded comment]
 Your version of Excel allows you to read this threaded comment; however, any edits to it will get removed if the file is opened in a newer version of Excel. Learn more: https://go.microsoft.com/fwlink/?linkid=870924
Comment:
	Annkara Recreo - Melany Estrada
</t>
      </text>
    </comment>
    <comment authorId="10" xr:uid="{385f1dd8-f4c7-4ca0-8b21-ecc2c69dd48d}"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la Vega), se sugiere para BEP
</t>
      </text>
    </comment>
    <comment authorId="11" xr:uid="{3cdf3a5a-64cd-46c3-b336-7812c33316c1}" ref="A1">
      <text>
        <t xml:space="preserve">[Threaded comment]
 Your version of Excel allows you to read this threaded comment; however, any edits to it will get removed if the file is opened in a newer version of Excel. Learn more: https://go.microsoft.com/fwlink/?linkid=870924
Comment:
	Beijing Paraiso - Hectir Rojas
</t>
      </text>
    </comment>
    <comment authorId="12" xr:uid="{3d6e3b58-2c00-4fb5-939c-e9d96e691d48}" ref="A1">
      <text>
        <t xml:space="preserve">[Threaded comment]
 Your version of Excel allows you to read this threaded comment; however, any edits to it will get removed if the file is opened in a newer version of Excel. Learn more: https://go.microsoft.com/fwlink/?linkid=870924
Comment:
	la candidata reporto que no asistiria para cuidar a su mascota
</t>
      </text>
    </comment>
    <comment authorId="13" xr:uid="{40203e99-ae72-4fa4-bad5-3e8d1f02307c}" ref="A1">
      <text>
        <t xml:space="preserve">[Threaded comment]
 Your version of Excel allows you to read this threaded comment; however, any edits to it will get removed if the file is opened in a newer version of Excel. Learn more: https://go.microsoft.com/fwlink/?linkid=870924
Comment:
	Gean Franco 19-12
Fabrizio Moreno 19-12
</t>
      </text>
    </comment>
    <comment authorId="14" xr:uid="{42f678f6-b1d9-4dc8-8319-b10031e08d33}" ref="A1">
      <text>
        <t xml:space="preserve">[Threaded comment]
 Your version of Excel allows you to read this threaded comment; however, any edits to it will get removed if the file is opened in a newer version of Excel. Learn more: https://go.microsoft.com/fwlink/?linkid=870924
Comment:
	Reemplazo de Wilmarys
</t>
      </text>
    </comment>
    <comment authorId="15" xr:uid="{48e15984-5162-4fca-a538-2e9632cb2408}" ref="A1">
      <text>
        <t xml:space="preserve">[Threaded comment]
 Your version of Excel allows you to read this threaded comment; however, any edits to it will get removed if the file is opened in a newer version of Excel. Learn more: https://go.microsoft.com/fwlink/?linkid=870924
Comment:
	Heindall Reyes - Aprobado prueba - ingreso por el Gte
</t>
      </text>
    </comment>
    <comment authorId="16" xr:uid="{4e99878d-e413-498b-98e6-ed528aa48b31}" ref="A1">
      <text>
        <t xml:space="preserve">[Threaded comment]
 Your version of Excel allows you to read this threaded comment; however, any edits to it will get removed if the file is opened in a newer version of Excel. Learn more: https://go.microsoft.com/fwlink/?linkid=870924
Comment:
	inicia prueba 08/01
</t>
      </text>
    </comment>
    <comment authorId="17" xr:uid="{52a3bc4a-92fe-434b-a8f1-c98c52a843d6}" ref="A1">
      <text>
        <t xml:space="preserve">[Threaded comment]
 Your version of Excel allows you to read this threaded comment; however, any edits to it will get removed if the file is opened in a newer version of Excel. Learn more: https://go.microsoft.com/fwlink/?linkid=870924
Comment:
	Beijing Los Naranjos - Yonaski Suescum
</t>
      </text>
    </comment>
    <comment authorId="18" xr:uid="{600e1935-19aa-48a8-8e9f-b19fabf809ac}" ref="A1">
      <text>
        <t xml:space="preserve">[Threaded comment]
 Your version of Excel allows you to read this threaded comment; however, any edits to it will get removed if the file is opened in a newer version of Excel. Learn more: https://go.microsoft.com/fwlink/?linkid=870924
Comment:
	Gabriela Rosal 18-12 Aprobo periodo de prueba
</t>
      </text>
    </comment>
    <comment authorId="19" xr:uid="{6eb53cc2-ad23-41fb-8d12-d04028ada8e2}" ref="A1">
      <text>
        <t xml:space="preserve">[Threaded comment]
 Your version of Excel allows you to read this threaded comment; however, any edits to it will get removed if the file is opened in a newer version of Excel. Learn more: https://go.microsoft.com/fwlink/?linkid=870924
Comment:
	Vacante condiciona, egreso de una cajera
</t>
      </text>
    </comment>
    <comment authorId="20" xr:uid="{6fb9d90c-fe84-48fa-85bd-0bb665531353}" ref="A1">
      <text>
        <t xml:space="preserve">[Threaded comment]
 Your version of Excel allows you to read this threaded comment; however, any edits to it will get removed if the file is opened in a newer version of Excel. Learn more: https://go.microsoft.com/fwlink/?linkid=870924
Comment:
	Karean Castillo 18-12 Aprobo prueba
</t>
      </text>
    </comment>
    <comment authorId="21" xr:uid="{70e985d1-4149-46d4-9203-230798fb2cbe}" ref="A1">
      <text>
        <t xml:space="preserve">[Threaded comment]
 Your version of Excel allows you to read this threaded comment; however, any edits to it will get removed if the file is opened in a newer version of Excel. Learn more: https://go.microsoft.com/fwlink/?linkid=870924
Comment:
	Beijing Millenium - Andy Febles
</t>
      </text>
    </comment>
    <comment authorId="22" xr:uid="{71f10bdc-cea6-45b2-88f6-76c21ca4afb3}"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Concresa - Bo. Sta Cruz). Se sugiere para la Boyera, los Naranjos
</t>
      </text>
    </comment>
    <comment authorId="23" xr:uid="{73a571a6-0003-4823-bd66-1033b913892b}" ref="A1">
      <text>
        <t xml:space="preserve">[Threaded comment]
 Your version of Excel allows you to read this threaded comment; however, any edits to it will get removed if the file is opened in a newer version of Excel. Learn more: https://go.microsoft.com/fwlink/?linkid=870924
Comment:
	Hosnell - No acepto oferta
</t>
      </text>
    </comment>
    <comment authorId="24" xr:uid="{78de0e5c-d85f-4387-883f-a36f8ba107a8}" ref="A1">
      <text>
        <t xml:space="preserve">[Threaded comment]
 Your version of Excel allows you to read this threaded comment; however, any edits to it will get removed if the file is opened in a newer version of Excel. Learn more: https://go.microsoft.com/fwlink/?linkid=870924
Comment:
	Daniel Aprobo Prueba
</t>
      </text>
    </comment>
    <comment authorId="25" xr:uid="{7c1df3f7-7966-4d99-93e8-c7aacd511c6d}" ref="A1">
      <text>
        <t xml:space="preserve">[Threaded comment]
 Your version of Excel allows you to read this threaded comment; however, any edits to it will get removed if the file is opened in a newer version of Excel. Learn more: https://go.microsoft.com/fwlink/?linkid=870924
Comment:
	No superacion de periodo de prueba Luciany
</t>
      </text>
    </comment>
    <comment authorId="26" xr:uid="{8292a228-1549-4389-ac33-809358f8d949}" ref="A1">
      <text>
        <t xml:space="preserve">[Threaded comment]
 Your version of Excel allows you to read this threaded comment; however, any edits to it will get removed if the file is opened in a newer version of Excel. Learn more: https://go.microsoft.com/fwlink/?linkid=870924
Comment:
	no asistio mas debido a que recibio otra oferta salarial
</t>
      </text>
    </comment>
    <comment authorId="27" xr:uid="{864039b4-717c-40b0-9139-25ef0239cd7c}" ref="A1">
      <text>
        <t xml:space="preserve">[Threaded comment]
 Your version of Excel allows you to read this threaded comment; however, any edits to it will get removed if the file is opened in a newer version of Excel. Learn more: https://go.microsoft.com/fwlink/?linkid=870924
Comment:
	Desarrollo de Carrera Kevin
</t>
      </text>
    </comment>
    <comment authorId="28" xr:uid="{8654b895-9f57-4a34-a9d4-443906113b4e}" ref="A1">
      <text>
        <t xml:space="preserve">[Threaded comment]
 Your version of Excel allows you to read this threaded comment; however, any edits to it will get removed if the file is opened in a newer version of Excel. Learn more: https://go.microsoft.com/fwlink/?linkid=870924
Comment:
	Raniel Rodriguez 19/12/2025 1:00 pm
</t>
      </text>
    </comment>
    <comment authorId="29" xr:uid="{865c1252-52a8-44ea-81b2-7cc9015ba660}" ref="A1">
      <text>
        <t xml:space="preserve">[Threaded comment]
 Your version of Excel allows you to read this threaded comment; however, any edits to it will get removed if the file is opened in a newer version of Excel. Learn more: https://go.microsoft.com/fwlink/?linkid=870924
Comment:
	inicia el 07/01
</t>
      </text>
    </comment>
    <comment authorId="30" xr:uid="{97dd4d75-bf11-484d-b886-11c0f1f78456}" ref="A1">
      <text>
        <t xml:space="preserve">[Threaded comment]
 Your version of Excel allows you to read this threaded comment; however, any edits to it will get removed if the file is opened in a newer version of Excel. Learn more: https://go.microsoft.com/fwlink/?linkid=870924
Comment:
	Beijing Sambil Chacao - Josue Machado
</t>
      </text>
    </comment>
    <comment authorId="31" xr:uid="{9ad9d9a9-bb50-461d-a7d9-ad33f6f98e8d}" ref="A1">
      <text>
        <t xml:space="preserve">[Threaded comment]
 Your version of Excel allows you to read this threaded comment; however, any edits to it will get removed if the file is opened in a newer version of Excel. Learn more: https://go.microsoft.com/fwlink/?linkid=870924
Comment:
	Keifrank Silva 19/12
</t>
      </text>
    </comment>
    <comment authorId="32" xr:uid="{a2e5e1c2-b23a-4d3f-848f-8989548ee10d}" ref="A1">
      <text>
        <t xml:space="preserve">[Threaded comment]
 Your version of Excel allows you to read this threaded comment; however, any edits to it will get removed if the file is opened in a newer version of Excel. Learn more: https://go.microsoft.com/fwlink/?linkid=870924
Comment:
	Annkara Candelaria - Melanny Estrada
</t>
      </text>
    </comment>
    <comment authorId="33" xr:uid="{a45d3016-0687-4bf4-85de-2eb2b9700111}" ref="A1">
      <text>
        <t xml:space="preserve">[Threaded comment]
 Your version of Excel allows you to read this threaded comment; however, any edits to it will get removed if the file is opened in a newer version of Excel. Learn more: https://go.microsoft.com/fwlink/?linkid=870924
Comment:
	Estefani Hernández
CI: 27607901 - Ingreso por Gte
</t>
      </text>
    </comment>
    <comment authorId="34" xr:uid="{a61ab34a-3cf8-4a41-a5a6-229a48a0fd13}" ref="A1">
      <text>
        <t xml:space="preserve">[Threaded comment]
 Your version of Excel allows you to read this threaded comment; however, any edits to it will get removed if the file is opened in a newer version of Excel. Learn more: https://go.microsoft.com/fwlink/?linkid=870924
Comment:
	Iris Gala Valentina
</t>
      </text>
    </comment>
    <comment authorId="35" xr:uid="{bd5c55d4-65f8-472e-a443-23e2ded24917}" ref="A1">
      <text>
        <t xml:space="preserve">[Threaded comment]
 Your version of Excel allows you to read this threaded comment; however, any edits to it will get removed if the file is opened in a newer version of Excel. Learn more: https://go.microsoft.com/fwlink/?linkid=870924
Comment:
	Beijing Ortiente (Lechería) - Francisco Castillo
</t>
      </text>
    </comment>
    <comment authorId="36" xr:uid="{bd97e7ee-4537-4258-b82e-d83c8efbe9a1}" ref="A1">
      <text>
        <t xml:space="preserve">[Threaded comment]
 Your version of Excel allows you to read this threaded comment; however, any edits to it will get removed if the file is opened in a newer version of Excel. Learn more: https://go.microsoft.com/fwlink/?linkid=870924
Comment:
	Mariana Rodriguez 18-12
Maria Fabiola Colmenares 18-12
</t>
      </text>
    </comment>
    <comment authorId="37" xr:uid="{c4813591-19c8-43e5-a599-2a7694581cb3}" ref="A1">
      <text>
        <t xml:space="preserve">[Threaded comment]
 Your version of Excel allows you to read this threaded comment; however, any edits to it will get removed if the file is opened in a newer version of Excel. Learn more: https://go.microsoft.com/fwlink/?linkid=870924
Comment:
	Beijing Barquisimeto - Edgard PErez
</t>
      </text>
    </comment>
    <comment authorId="38" xr:uid="{cbffeb02-924b-4fe2-9441-f0d69635ce65}" ref="A1">
      <text>
        <t xml:space="preserve">[Threaded comment]
 Your version of Excel allows you to read this threaded comment; however, any edits to it will get removed if the file is opened in a newer version of Excel. Learn more: https://go.microsoft.com/fwlink/?linkid=870924
Comment:
	Beijing Recreo - Julio Nuñez
</t>
      </text>
    </comment>
    <comment authorId="39" xr:uid="{cc9bf415-b9a9-4cd8-a763-a3c96a2347af}" ref="A1">
      <text>
        <t xml:space="preserve">[Threaded comment]
 Your version of Excel allows you to read this threaded comment; however, any edits to it will get removed if the file is opened in a newer version of Excel. Learn more: https://go.microsoft.com/fwlink/?linkid=870924
Comment:
	Beijing Altamira - Karla Ortiz
</t>
      </text>
    </comment>
    <comment authorId="40" xr:uid="{d3bff7cf-2d88-40ba-b0da-2487270bf90c}" ref="A1">
      <text>
        <t xml:space="preserve">[Threaded comment]
 Your version of Excel allows you to read this threaded comment; however, any edits to it will get removed if the file is opened in a newer version of Excel. Learn more: https://go.microsoft.com/fwlink/?linkid=870924
Comment:
	Beijing Sambil Candelaria - Juan Simoza
</t>
      </text>
    </comment>
    <comment authorId="41" xr:uid="{d58c8e45-dbcf-41ff-bae5-686c10276074}" ref="A1">
      <text>
        <t xml:space="preserve">[Threaded comment]
 Your version of Excel allows you to read this threaded comment; however, any edits to it will get removed if the file is opened in a newer version of Excel. Learn more: https://go.microsoft.com/fwlink/?linkid=870924
Comment:
	Josrey Arturo Ramirez 18/12/25
Reply:
	vienes Kevinn 19/12/25
</t>
      </text>
    </comment>
    <comment authorId="42" xr:uid="{d72df8aa-c700-4cdd-b3d7-0cf3f0bea014}" ref="A1">
      <text>
        <t xml:space="preserve">[Threaded comment]
 Your version of Excel allows you to read this threaded comment; however, any edits to it will get removed if the file is opened in a newer version of Excel. Learn more: https://go.microsoft.com/fwlink/?linkid=870924
Comment:
	Rosmery 18-12
</t>
      </text>
    </comment>
    <comment authorId="43" xr:uid="{d75195b6-3730-486a-a32a-57aeaa1e1a4e}" ref="A1">
      <text>
        <t xml:space="preserve">[Threaded comment]
 Your version of Excel allows you to read this threaded comment; however, any edits to it will get removed if the file is opened in a newer version of Excel. Learn more: https://go.microsoft.com/fwlink/?linkid=870924
Comment:
	Olmos
</t>
      </text>
    </comment>
    <comment authorId="44" xr:uid="{db8dea00-4ea2-474d-bb0c-5fb68a649f39}" ref="A1">
      <text>
        <t xml:space="preserve">[Threaded comment]
 Your version of Excel allows you to read this threaded comment; however, any edits to it will get removed if the file is opened in a newer version of Excel. Learn more: https://go.microsoft.com/fwlink/?linkid=870924
Comment:
	verificar transporte (vive en la Pastora). Se sugiere para BSB o BLC
</t>
      </text>
    </comment>
    <comment authorId="45" xr:uid="{e58b0a93-516e-46d6-8e03-6cfae150c207}" ref="A1">
      <text>
        <t xml:space="preserve">[Threaded comment]
 Your version of Excel allows you to read this threaded comment; however, any edits to it will get removed if the file is opened in a newer version of Excel. Learn more: https://go.microsoft.com/fwlink/?linkid=870924
Comment:
	se verificaran referencias ya que anteriormente trabajo para Beijing Los Naranjos y Altamira Village
</t>
      </text>
    </comment>
    <comment authorId="46" xr:uid="{eafb1f80-30c7-44b8-8801-65c3975abb0f}" ref="A1">
      <text>
        <t xml:space="preserve">[Threaded comment]
 Your version of Excel allows you to read this threaded comment; however, any edits to it will get removed if the file is opened in a newer version of Excel. Learn more: https://go.microsoft.com/fwlink/?linkid=870924
Comment:
	por motivos personales, su periodo de prueba iniciara el 02/01
</t>
      </text>
    </comment>
    <comment authorId="47" xr:uid="{f3a862b3-bda9-4419-8395-3fa2b701da39}" ref="A1">
      <text>
        <t xml:space="preserve">[Threaded comment]
 Your version of Excel allows you to read this threaded comment; however, any edits to it will get removed if the file is opened in a newer version of Excel. Learn more: https://go.microsoft.com/fwlink/?linkid=870924
Comment:
	LA Gringa - KArla Ortiz
</t>
      </text>
    </comment>
    <comment authorId="48" xr:uid="{f67063a1-76a5-4024-9487-e7aabdf67428}" ref="A1">
      <text>
        <t xml:space="preserve">[Threaded comment]
 Your version of Excel allows you to read this threaded comment; however, any edits to it will get removed if the file is opened in a newer version of Excel. Learn more: https://go.microsoft.com/fwlink/?linkid=870924
Comment:
	Edgary Carolina Palacios 17-12 - Aprobo Prueba
Jeudys Alvarado 19-12
</t>
      </text>
    </comment>
    <comment authorId="49" xr:uid="{fb3ab802-8936-4e5b-aa16-4968feae2178}" ref="A1">
      <text>
        <t xml:space="preserve">[Threaded comment]
 Your version of Excel allows you to read this threaded comment; however, any edits to it will get removed if the file is opened in a newer version of Excel. Learn more: https://go.microsoft.com/fwlink/?linkid=870924
Comment:
	Hashen Enrique Aguilera
V-31.944.935 - Ingreso por el Gte
María Ojeda
Nuevo ingreso: 22/12/25 - Ingreso por el Gte
</t>
      </text>
    </comment>
    <comment authorId="50" xr:uid="{fffd10dd-406b-42fc-947c-a7d5434ff2d3}" ref="A1">
      <text>
        <t xml:space="preserve">[Threaded comment]
 Your version of Excel allows you to read this threaded comment; however, any edits to it will get removed if the file is opened in a newer version of Excel. Learn more: https://go.microsoft.com/fwlink/?linkid=870924
Comment:
	verificar el transporte (vive en la Vega). Se sugiere para BEP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tc={5a96e418-8546-4aa2-870c-f4d5b1337eca}</author>
    <author>tc={6132848d-8450-4ae5-8dcc-4a263abd718c}</author>
    <author>tc={744541b1-2ea8-4726-8840-2fdfa6720e05}</author>
    <author>tc={7c0b30ad-42bd-4d97-a63c-68e4a10dd4e6}</author>
    <author>tc={9a1603b6-dcdf-48ef-825c-6cb90cf64fe6}</author>
    <author>tc={ac6d496c-efab-4778-98e3-1822577d525f}</author>
  </authors>
  <commentList>
    <comment authorId="0" xr:uid="{5a96e418-8546-4aa2-870c-f4d5b1337eca}" ref="P7">
      <text>
        <t xml:space="preserve">[Threaded comment]
 Your version of Excel allows you to read this threaded comment; however, any edits to it will get removed if the file is opened in a newer version of Excel. Learn more: https://go.microsoft.com/fwlink/?linkid=870924
Comment:
	Tenemos a Anyeli Ascanio de reposo
</t>
      </text>
    </comment>
    <comment authorId="1" xr:uid="{6132848d-8450-4ae5-8dcc-4a263abd718c}" ref="F14">
      <text>
        <t xml:space="preserve">[Threaded comment]
 Your version of Excel allows you to read this threaded comment; however, any edits to it will get removed if the file is opened in a newer version of Excel. Learn more: https://go.microsoft.com/fwlink/?linkid=870924
Comment:
	Tenemos un adicional que cubre a Emisael - Plan de Carrera
</t>
      </text>
    </comment>
    <comment authorId="2" xr:uid="{744541b1-2ea8-4726-8840-2fdfa6720e05}" ref="X19">
      <text>
        <t xml:space="preserve">[Threaded comment]
 Your version of Excel allows you to read this threaded comment; however, any edits to it will get removed if the file is opened in a newer version of Excel. Learn more: https://go.microsoft.com/fwlink/?linkid=870924
Comment:
	3 ayudantes
5 mesoneros
</t>
      </text>
    </comment>
    <comment authorId="3" xr:uid="{7c0b30ad-42bd-4d97-a63c-68e4a10dd4e6}" ref="I19">
      <text>
        <t xml:space="preserve">[Threaded comment]
 Your version of Excel allows you to read this threaded comment; however, any edits to it will get removed if the file is opened in a newer version of Excel. Learn more: https://go.microsoft.com/fwlink/?linkid=870924
Comment:
	2 mesoneros
2 ayudantes
</t>
      </text>
    </comment>
    <comment authorId="4" xr:uid="{9a1603b6-dcdf-48ef-825c-6cb90cf64fe6}" ref="I19">
      <text>
        <t xml:space="preserve">[Threaded comment]
 Your version of Excel allows you to read this threaded comment; however, any edits to it will get removed if the file is opened in a newer version of Excel. Learn more: https://go.microsoft.com/fwlink/?linkid=870924
Comment:
	2 mesoneros
2 ayudantes
</t>
      </text>
    </comment>
    <comment authorId="5" xr:uid="{ac6d496c-efab-4778-98e3-1822577d525f}" ref="AV19">
      <text>
        <t xml:space="preserve">[Threaded comment]
 Your version of Excel allows you to read this threaded comment; however, any edits to it will get removed if the file is opened in a newer version of Excel. Learn more: https://go.microsoft.com/fwlink/?linkid=870924
Comment:
	5 ayudantes
3 mesoneros
</t>
      </text>
    </comment>
  </commentList>
</comments>
</file>

<file path=xl/sharedStrings.xml><?xml version="1.0" encoding="utf-8"?>
<sst xmlns="http://schemas.openxmlformats.org/spreadsheetml/2006/main" count="12318" uniqueCount="4079">
  <si>
    <t>Control de Vacantes</t>
  </si>
  <si>
    <t>Control Llamadas</t>
  </si>
  <si>
    <t>Vacantes Activas</t>
  </si>
  <si>
    <t>Nombre</t>
  </si>
  <si>
    <t>Cargo Postulado</t>
  </si>
  <si>
    <t>Control de Entrevistas</t>
  </si>
  <si>
    <t>CV</t>
  </si>
  <si>
    <t>Fecha de Entrevista</t>
  </si>
  <si>
    <t>Entrevistado</t>
  </si>
  <si>
    <t>Canditado</t>
  </si>
  <si>
    <t>Sede</t>
  </si>
  <si>
    <t>Fecha de Ingreso</t>
  </si>
  <si>
    <t>Asistió</t>
  </si>
  <si>
    <t>Will Alejandro Macero</t>
  </si>
  <si>
    <t>Cocinero</t>
  </si>
  <si>
    <t>#</t>
  </si>
  <si>
    <t>si</t>
  </si>
  <si>
    <t>Domicilio</t>
  </si>
  <si>
    <t>CV (link)</t>
  </si>
  <si>
    <t>Medio de Postulación</t>
  </si>
  <si>
    <t>Devengado actual</t>
  </si>
  <si>
    <t>Expectativa Salarial</t>
  </si>
  <si>
    <t xml:space="preserve">Fecha </t>
  </si>
  <si>
    <t>Feedback</t>
  </si>
  <si>
    <t>Comentarios Adicionales</t>
  </si>
  <si>
    <t>Dargelis Alexandra Ramirez</t>
  </si>
  <si>
    <t>No Entrevistado</t>
  </si>
  <si>
    <t>HEAD COUNT APROBADO 2026</t>
  </si>
  <si>
    <t>Si</t>
  </si>
  <si>
    <t>ID Vacante</t>
  </si>
  <si>
    <t>Cargo</t>
  </si>
  <si>
    <t>Unidad de Negocio</t>
  </si>
  <si>
    <t>Fecha Apertura</t>
  </si>
  <si>
    <t>Mes</t>
  </si>
  <si>
    <t>Año</t>
  </si>
  <si>
    <t>Fecha Ingreso</t>
  </si>
  <si>
    <t>Estatus</t>
  </si>
  <si>
    <t>Fuente de Reclutamiento</t>
  </si>
  <si>
    <t>Empaquetador</t>
  </si>
  <si>
    <t>No</t>
  </si>
  <si>
    <t>Dargelis Ramirez Cajera (10.20am).png</t>
  </si>
  <si>
    <t>VAC-001</t>
  </si>
  <si>
    <t>Gabriela Alejandra Torres</t>
  </si>
  <si>
    <t>Cajera - Vendedora</t>
  </si>
  <si>
    <t>Ayudante Integral</t>
  </si>
  <si>
    <t>BU1BLT</t>
  </si>
  <si>
    <t>Gabriel Marrero</t>
  </si>
  <si>
    <t>Bartender</t>
  </si>
  <si>
    <t>Jacson Daniel Piña</t>
  </si>
  <si>
    <t>Mesonero</t>
  </si>
  <si>
    <t>Mesa, R</t>
  </si>
  <si>
    <t>July</t>
  </si>
  <si>
    <t>Johan Cardenas</t>
  </si>
  <si>
    <t>BU2BLB</t>
  </si>
  <si>
    <t>BU3BLN</t>
  </si>
  <si>
    <t>Damaris Yulimar Maldonado</t>
  </si>
  <si>
    <t>Mantenimiento</t>
  </si>
  <si>
    <t>BU4BAV</t>
  </si>
  <si>
    <t>Elegible</t>
  </si>
  <si>
    <t>BU5BSB</t>
  </si>
  <si>
    <t>BU6BSLC</t>
  </si>
  <si>
    <t>Empaquetadora</t>
  </si>
  <si>
    <t>BU7BO</t>
  </si>
  <si>
    <t>BU14BSC</t>
  </si>
  <si>
    <t>Daniela Alejandra Alvarado Alvis</t>
  </si>
  <si>
    <t>BU15BEP</t>
  </si>
  <si>
    <t>Yugeisy Saucedo</t>
  </si>
  <si>
    <t>Cajera Daniela Alvarado.jpg</t>
  </si>
  <si>
    <t>BU16BER</t>
  </si>
  <si>
    <t>VAC-002</t>
  </si>
  <si>
    <t>BU19BM</t>
  </si>
  <si>
    <t>BU20BB</t>
  </si>
  <si>
    <t>Hectpr Ramses Ramos</t>
  </si>
  <si>
    <t>BU11ANN</t>
  </si>
  <si>
    <t>BU17ANNER</t>
  </si>
  <si>
    <t>VAC-022</t>
  </si>
  <si>
    <t>Raniel Rodriguez</t>
  </si>
  <si>
    <t>Villarroel, A</t>
  </si>
  <si>
    <t>BU13LG</t>
  </si>
  <si>
    <t>Sala, D</t>
  </si>
  <si>
    <t>VAC-016</t>
  </si>
  <si>
    <t>Posicion</t>
  </si>
  <si>
    <t>Alexandra N. Nañez</t>
  </si>
  <si>
    <t>Cajera</t>
  </si>
  <si>
    <t>TA</t>
  </si>
  <si>
    <t>TI</t>
  </si>
  <si>
    <t>VAC-003</t>
  </si>
  <si>
    <t>TN</t>
  </si>
  <si>
    <t>A</t>
  </si>
  <si>
    <t>Luisana Rubio</t>
  </si>
  <si>
    <t>I</t>
  </si>
  <si>
    <t>VAC-004</t>
  </si>
  <si>
    <t>N</t>
  </si>
  <si>
    <t>Joseph Gomez</t>
  </si>
  <si>
    <t>Ayudante Barra</t>
  </si>
  <si>
    <t>Daniel Alexander Hernandez Torres</t>
  </si>
  <si>
    <t>Cocinero / Sushero</t>
  </si>
  <si>
    <t>VAC-005</t>
  </si>
  <si>
    <t>Cv. Daniel Hernández _20251127_122901_0000.pdf</t>
  </si>
  <si>
    <t>Fransheska Patricia Astudillo</t>
  </si>
  <si>
    <t>VAC-006</t>
  </si>
  <si>
    <t>VAC-008</t>
  </si>
  <si>
    <t>Franco Abache</t>
  </si>
  <si>
    <t>Almacenista</t>
  </si>
  <si>
    <t>Gerente</t>
  </si>
  <si>
    <t>VAC-010</t>
  </si>
  <si>
    <t>Lindsey Maldonado</t>
  </si>
  <si>
    <t>SI</t>
  </si>
  <si>
    <t>Sushero</t>
  </si>
  <si>
    <t>Diana Kimberly Blanco Peraza</t>
  </si>
  <si>
    <t>VAC-011</t>
  </si>
  <si>
    <t>Jennifer Cuicas</t>
  </si>
  <si>
    <t>Anfitriona</t>
  </si>
  <si>
    <t>Curriculum Diana 2025.pdf</t>
  </si>
  <si>
    <t>VAC-013</t>
  </si>
  <si>
    <t xml:space="preserve">Jose Gregorio Alvarez </t>
  </si>
  <si>
    <t>Delivery</t>
  </si>
  <si>
    <t>VAC-014</t>
  </si>
  <si>
    <t>Brian Alejandro LAya</t>
  </si>
  <si>
    <t>VAC-015</t>
  </si>
  <si>
    <t xml:space="preserve">Cesar Andres </t>
  </si>
  <si>
    <t>Valet Parking</t>
  </si>
  <si>
    <t>Nelson Alexander Rodriguez Angulo</t>
  </si>
  <si>
    <t>Cocinero Nelson Rodriguez</t>
  </si>
  <si>
    <t>VAC-017</t>
  </si>
  <si>
    <t>Jose Gregorio Lucero</t>
  </si>
  <si>
    <t>VAC-018</t>
  </si>
  <si>
    <t>Yonaiker Jose Jimenez</t>
  </si>
  <si>
    <t>Ayudante cocina</t>
  </si>
  <si>
    <t>VAC-019</t>
  </si>
  <si>
    <t>Sin asignar</t>
  </si>
  <si>
    <t>Raul Eduardo Rojas Millan</t>
  </si>
  <si>
    <t>no acepto oferta salaria</t>
  </si>
  <si>
    <t>Mardwin Jhonmer Guzman Sanchez</t>
  </si>
  <si>
    <t>VAC-021</t>
  </si>
  <si>
    <t>Ayudante Integral Mardwin Guzman .pdf</t>
  </si>
  <si>
    <t>Efrain Antonio Azuaje Guia</t>
  </si>
  <si>
    <t>VAC-020</t>
  </si>
  <si>
    <t>Nelggerith Alonzo</t>
  </si>
  <si>
    <t>VAC-023</t>
  </si>
  <si>
    <t>no indicaron feedbanck</t>
  </si>
  <si>
    <t>Notifico Melanny ingreso telegram</t>
  </si>
  <si>
    <t xml:space="preserve">Jose Fernanddo Leal Rauseo </t>
  </si>
  <si>
    <t>VAC-024</t>
  </si>
  <si>
    <t>Jose Fernando Leal Mesonero 10am.pdf</t>
  </si>
  <si>
    <t>VAC-025</t>
  </si>
  <si>
    <t>VAC-026</t>
  </si>
  <si>
    <t>no indico su ausencia</t>
  </si>
  <si>
    <t>Roberth Ish Rodriguez Avila</t>
  </si>
  <si>
    <t>Cedula Robert Rodriguez.jpeg</t>
  </si>
  <si>
    <t>VAC-027</t>
  </si>
  <si>
    <t>VAC-028</t>
  </si>
  <si>
    <t>no asistio y no indico el por que.</t>
  </si>
  <si>
    <t>Geminis Nazareth Diaz Valero</t>
  </si>
  <si>
    <t>Geminis Diaz Mesonero 9am</t>
  </si>
  <si>
    <t>VAC-029</t>
  </si>
  <si>
    <t>VAC-030</t>
  </si>
  <si>
    <t>Cajera Delivery</t>
  </si>
  <si>
    <t>indicaron por correo que no asistio</t>
  </si>
  <si>
    <t>Supervisor</t>
  </si>
  <si>
    <t>Omar Alexander Peña  Ortiz</t>
  </si>
  <si>
    <t>Curriculum Omar Peña</t>
  </si>
  <si>
    <t>VAC-031</t>
  </si>
  <si>
    <t>VAC-032</t>
  </si>
  <si>
    <t xml:space="preserve">Sin asignar </t>
  </si>
  <si>
    <t>Lo llame para comenzar, indico que comenzo en otro trabajo sabana grande</t>
  </si>
  <si>
    <t>Luis Alcides Gonzalez Hernandez</t>
  </si>
  <si>
    <t>Ayudante Integral Luis Alcides Gonzalez.pdf</t>
  </si>
  <si>
    <t>VAC-033</t>
  </si>
  <si>
    <t>Analista en Tesoreria</t>
  </si>
  <si>
    <t>Slob Services</t>
  </si>
  <si>
    <t>CV Físico</t>
  </si>
  <si>
    <t>VAC-034</t>
  </si>
  <si>
    <t xml:space="preserve">Asistio 2 dia se retiro </t>
  </si>
  <si>
    <t>asistio 2 dias</t>
  </si>
  <si>
    <t>Kevin Yoimer Gomez Esparragoza</t>
  </si>
  <si>
    <t>Ayudante Integral Kevin Gomez.jpg</t>
  </si>
  <si>
    <t>VAC-035</t>
  </si>
  <si>
    <t>VAC-036</t>
  </si>
  <si>
    <t>Melanny conf no asistio</t>
  </si>
  <si>
    <t xml:space="preserve">no informo </t>
  </si>
  <si>
    <t>Christian  Jesus Romero Mero</t>
  </si>
  <si>
    <t>VAC-037</t>
  </si>
  <si>
    <t>Ayudante Integral - Christian Romero .pdf</t>
  </si>
  <si>
    <t>VAC-038</t>
  </si>
  <si>
    <t>Maria Alejandra Chafardeth</t>
  </si>
  <si>
    <t>Jefe de Cocina</t>
  </si>
  <si>
    <t>Referido</t>
  </si>
  <si>
    <t>VAC-039</t>
  </si>
  <si>
    <t>Descartado</t>
  </si>
  <si>
    <t>no califica para nigun puesto</t>
  </si>
  <si>
    <t xml:space="preserve">Maria Claudia Mendoza </t>
  </si>
  <si>
    <t>VAC-040</t>
  </si>
  <si>
    <t>Cajera Salón</t>
  </si>
  <si>
    <t>por horario no acepto</t>
  </si>
  <si>
    <t xml:space="preserve"> Luis Alberto Castro Paez</t>
  </si>
  <si>
    <t>Luis Castro Mesonero.pdf</t>
  </si>
  <si>
    <t>VAC-041</t>
  </si>
  <si>
    <t>VAC-042</t>
  </si>
  <si>
    <t>Operadora de Trafico</t>
  </si>
  <si>
    <t>Cecom Master Group</t>
  </si>
  <si>
    <t>no tengo feedback sede</t>
  </si>
  <si>
    <t>Kevin David Rivas Del Prado</t>
  </si>
  <si>
    <t>Currículum V.CH_20250912_093940_0000.pdf</t>
  </si>
  <si>
    <t>VAC-043</t>
  </si>
  <si>
    <t>VAC-044</t>
  </si>
  <si>
    <t>Tenia cita odontologica</t>
  </si>
  <si>
    <t>Victoria Valentina Chumpitaz Rivas</t>
  </si>
  <si>
    <t>VAC-045</t>
  </si>
  <si>
    <t>gte indico no asistio</t>
  </si>
  <si>
    <t>no notifico</t>
  </si>
  <si>
    <t>Gregori Alexander Diaz Soto</t>
  </si>
  <si>
    <t>Mantenimiento - Gregori Alexander Diaz.pdf</t>
  </si>
  <si>
    <t>VAC-046</t>
  </si>
  <si>
    <t>VAC-047</t>
  </si>
  <si>
    <t>descartado</t>
  </si>
  <si>
    <t>inf</t>
  </si>
  <si>
    <t>Robinson David Hernandez Medina</t>
  </si>
  <si>
    <t>Ayudante de Barra / Bartender</t>
  </si>
  <si>
    <t>VAC-048</t>
  </si>
  <si>
    <t>Ayudante de Barra - Robinson Hernandez .pdf</t>
  </si>
  <si>
    <t>Ayudante de Mesonero</t>
  </si>
  <si>
    <t>VAC-049</t>
  </si>
  <si>
    <t>VAC-050</t>
  </si>
  <si>
    <t>VAC-051</t>
  </si>
  <si>
    <t>A. Cocina</t>
  </si>
  <si>
    <t>VAC-052</t>
  </si>
  <si>
    <t>VAC-053</t>
  </si>
  <si>
    <t>no tenemos feedback sede</t>
  </si>
  <si>
    <t>VAC-054</t>
  </si>
  <si>
    <t>Silvio Eduardo Inaga Carrion</t>
  </si>
  <si>
    <t>VAC-055</t>
  </si>
  <si>
    <t>August</t>
  </si>
  <si>
    <t>VAC-056</t>
  </si>
  <si>
    <t>Samuel Abel Peñaloza</t>
  </si>
  <si>
    <t>Cv con foto trabajo formal Samuel Peñaloza</t>
  </si>
  <si>
    <t>VAC-058</t>
  </si>
  <si>
    <t>VAC-059</t>
  </si>
  <si>
    <t>Fue llamado y tiene otro trabajo</t>
  </si>
  <si>
    <t>VAC-060</t>
  </si>
  <si>
    <t>Gabriel Alejandro Gonzalez Barreto</t>
  </si>
  <si>
    <t>VAC-061</t>
  </si>
  <si>
    <t>Comenzo el lunes 8/12</t>
  </si>
  <si>
    <t>Dayana Guanipa</t>
  </si>
  <si>
    <t>Dayana Guanipa Cajera 11am .pdf</t>
  </si>
  <si>
    <t>VAC-062</t>
  </si>
  <si>
    <t>Slob Supply</t>
  </si>
  <si>
    <t>VAC-063</t>
  </si>
  <si>
    <t>VAC-064</t>
  </si>
  <si>
    <t>Diego Ramirez</t>
  </si>
  <si>
    <t>Diego Ramirez Mesonero 10am.pdf</t>
  </si>
  <si>
    <t>VAC-065</t>
  </si>
  <si>
    <t>VAC-066</t>
  </si>
  <si>
    <t>Josrey Arturo Ramirez</t>
  </si>
  <si>
    <t>Mesonero Josrey Arturo Ramirez.jpg</t>
  </si>
  <si>
    <t>VAC-067</t>
  </si>
  <si>
    <t xml:space="preserve">Adrian Enmanuel Chavez </t>
  </si>
  <si>
    <t>VAC-070</t>
  </si>
  <si>
    <t>Felix  Jose Beltran Chavez Veliz</t>
  </si>
  <si>
    <t>VAC-071</t>
  </si>
  <si>
    <t xml:space="preserve">Se retiro indico no gustarle </t>
  </si>
  <si>
    <t>Cheyler Isael Calvo Morales</t>
  </si>
  <si>
    <t>VAC-072</t>
  </si>
  <si>
    <t>Mantenimiento Cheyler Isael Calvo</t>
  </si>
  <si>
    <t>VAC-073</t>
  </si>
  <si>
    <t>Cajera salon</t>
  </si>
  <si>
    <t>VAC-074</t>
  </si>
  <si>
    <t>indico no aceptar por motivio de viaje</t>
  </si>
  <si>
    <t xml:space="preserve">Ya estaba asignado con hora y dia para comenzar </t>
  </si>
  <si>
    <t>Jhonny Rojas Ramirez</t>
  </si>
  <si>
    <t>VAC-075</t>
  </si>
  <si>
    <t>Jeferson Josue Villegas Avila</t>
  </si>
  <si>
    <t>Rayber David Guzman Perez</t>
  </si>
  <si>
    <t>VAC-076</t>
  </si>
  <si>
    <t>Cajera Feria</t>
  </si>
  <si>
    <t xml:space="preserve">Sol Mayra Sarmiento </t>
  </si>
  <si>
    <t>curr petare sol.pdf</t>
  </si>
  <si>
    <t xml:space="preserve">Maria Fabiola Colmenares </t>
  </si>
  <si>
    <t>Maria Fabiola Colmenares Mesonero .pdf</t>
  </si>
  <si>
    <t>VAC-077</t>
  </si>
  <si>
    <t>Desiree Del Carmen Diaz Moreno</t>
  </si>
  <si>
    <t>VAC-078</t>
  </si>
  <si>
    <t>Desiree Diaz Mesonero 11am.pdf</t>
  </si>
  <si>
    <t>VAC-079</t>
  </si>
  <si>
    <t>VAC-080</t>
  </si>
  <si>
    <t>no asistio y no indico el por que</t>
  </si>
  <si>
    <t>Horeb Iguazu Pereira Micett</t>
  </si>
  <si>
    <t>VAC-083</t>
  </si>
  <si>
    <t>Currículum Vitae Horeb Pereira.pdf</t>
  </si>
  <si>
    <t>Alexis Javier Nuñez</t>
  </si>
  <si>
    <t>No acepto por horarios no puede trabajar de noche</t>
  </si>
  <si>
    <t>No elegible</t>
  </si>
  <si>
    <t>Edgary Palacios</t>
  </si>
  <si>
    <t>Ana Karina Vasque</t>
  </si>
  <si>
    <t>VAC-085</t>
  </si>
  <si>
    <t>Indico que no queria asistir y colgo el telefono</t>
  </si>
  <si>
    <t>Einyhel Paredes</t>
  </si>
  <si>
    <t>Curriculum Einyel paredes</t>
  </si>
  <si>
    <t>VAC-086</t>
  </si>
  <si>
    <t>VAC-084</t>
  </si>
  <si>
    <t>Scarlet Rivas</t>
  </si>
  <si>
    <t>Marketing</t>
  </si>
  <si>
    <t>September</t>
  </si>
  <si>
    <t xml:space="preserve">Fermin Eduardo Orta </t>
  </si>
  <si>
    <t xml:space="preserve">Abraham Jose Martinez Rodriguez </t>
  </si>
  <si>
    <t>Abraham Jose Martinez Rodriguez - Cocinero /.pdf</t>
  </si>
  <si>
    <t>VAC-087</t>
  </si>
  <si>
    <t>VAC-088</t>
  </si>
  <si>
    <t>VAC-089</t>
  </si>
  <si>
    <t>Brayan Aranguren</t>
  </si>
  <si>
    <t>Brayan Aranguren - Delirery /.jpg</t>
  </si>
  <si>
    <t>VAC-090</t>
  </si>
  <si>
    <t>VAC-091</t>
  </si>
  <si>
    <t>VAC-093</t>
  </si>
  <si>
    <t>Carlos Alberto Flores</t>
  </si>
  <si>
    <t>Carlos Alberto Flores -Delivery /.pdf</t>
  </si>
  <si>
    <t>VAC-094</t>
  </si>
  <si>
    <t>VAC-095</t>
  </si>
  <si>
    <t>VAC-097</t>
  </si>
  <si>
    <t>Delvis Gabriel Araque</t>
  </si>
  <si>
    <t>Delvis Gabriel Araque - Delivery /.docx</t>
  </si>
  <si>
    <t>VAC-098</t>
  </si>
  <si>
    <t>VAC-100</t>
  </si>
  <si>
    <t>VAC-101</t>
  </si>
  <si>
    <t>Eiverson Elietner Matute</t>
  </si>
  <si>
    <t>Eiverson Elietner Matute - Gerente /.docx</t>
  </si>
  <si>
    <t>VAC-102</t>
  </si>
  <si>
    <t>VAC-103</t>
  </si>
  <si>
    <t>Edward Jose Vasquez Valero</t>
  </si>
  <si>
    <t>Edward Jose Vasquez Valero Asistio 11/12/25 Si califica .docx</t>
  </si>
  <si>
    <t>VAC-104</t>
  </si>
  <si>
    <t>VAC-105</t>
  </si>
  <si>
    <t>VAC-107</t>
  </si>
  <si>
    <t>Fermin Antonio Hernandez</t>
  </si>
  <si>
    <t>Fermin Hernandez - Bartender pdf</t>
  </si>
  <si>
    <t>Motorizado</t>
  </si>
  <si>
    <t>VAC-106</t>
  </si>
  <si>
    <t>Oscar Daniel Contreras</t>
  </si>
  <si>
    <t>Oscar Daniel Contreras ay Integral asistio 11/12/25 No Califica</t>
  </si>
  <si>
    <t>Javier De Jesus Barrios</t>
  </si>
  <si>
    <t>VAC-108</t>
  </si>
  <si>
    <t>VAC-109</t>
  </si>
  <si>
    <t xml:space="preserve">Edgar Estaba </t>
  </si>
  <si>
    <t>Currículum CV Diseñador Gráfico Masculino Profesional Azul.pdf.pdf</t>
  </si>
  <si>
    <t>El joven puede empezar como motorizado pero puede aprender otras areas sin ningun problema. Muy educado y con intencion de estudiar</t>
  </si>
  <si>
    <t xml:space="preserve">Andri Marcano </t>
  </si>
  <si>
    <t>EL NUEVO 21.pdf</t>
  </si>
  <si>
    <t>El joven pueden empezar como Mesonero ya que tiene experiencia y tiene todas las caracteristicas para aprender mucho mas.</t>
  </si>
  <si>
    <t>Jefferson Escalona</t>
  </si>
  <si>
    <t>Jefferson Escalona - Delivery /.pdf</t>
  </si>
  <si>
    <t xml:space="preserve">Gian Franco Palencia </t>
  </si>
  <si>
    <t>Gian Franco Palencia Beleño entrev 11/12/25 si acepto.pdf</t>
  </si>
  <si>
    <t>Gian Franco informado para viernes 19</t>
  </si>
  <si>
    <t>Melvin James Donado</t>
  </si>
  <si>
    <t>Melvin James Donado entrev 11/12/25 acepto.pdf</t>
  </si>
  <si>
    <t>LEYENDA</t>
  </si>
  <si>
    <t>Personal Aprobado</t>
  </si>
  <si>
    <t>Personal Ingresado</t>
  </si>
  <si>
    <t>Franco Daniel Abache Frias</t>
  </si>
  <si>
    <t>Cv Franco Abache_20250112_224219_0000.pdf</t>
  </si>
  <si>
    <t>Necesidad</t>
  </si>
  <si>
    <t>Total Aprobado</t>
  </si>
  <si>
    <t>Total Ingresado</t>
  </si>
  <si>
    <t>Total Necesidad</t>
  </si>
  <si>
    <t xml:space="preserve">Moises Abraham Villareal </t>
  </si>
  <si>
    <t>Moisés Villarreal entrev 11/12/25 si asitio acepto.pdf</t>
  </si>
  <si>
    <t>Lo llame para asignar BAV indico que salio de viaje</t>
  </si>
  <si>
    <t>Moises Bolivar</t>
  </si>
  <si>
    <t>Moises Alexander Bolivar - Cocinero / .pdf</t>
  </si>
  <si>
    <t>El joven puede empezar inmediatamente no tiene experiencia en cocina asiatica por lo que empezaria como ayudante</t>
  </si>
  <si>
    <t>C. V_Raniel_Rodríguez_2025.pdf</t>
  </si>
  <si>
    <t>Angeli Katiuska Radriguez Farfan</t>
  </si>
  <si>
    <t xml:space="preserve">Alondra Alexandra Prieto </t>
  </si>
  <si>
    <t>Alondra Alexandra Prieto - Mesonera.pdf</t>
  </si>
  <si>
    <t>Asistio a laentrevista buen perfil para empaquetadora o mesera</t>
  </si>
  <si>
    <t>Carlos Perez Lobo</t>
  </si>
  <si>
    <t>Jefe de sala</t>
  </si>
  <si>
    <t>Carlos Perez Lobo - Barista.pdf</t>
  </si>
  <si>
    <t xml:space="preserve">Caroline  Palencia </t>
  </si>
  <si>
    <t>Caroline Palencia - Mesera.pdf</t>
  </si>
  <si>
    <t>Cesár Rodríguez</t>
  </si>
  <si>
    <t>Cesár Rodríguez_Mesonero / Anfitrion.pdf</t>
  </si>
  <si>
    <t>Glender Mendoza</t>
  </si>
  <si>
    <t>Glender Mendoza - Ayudante de Cocina.jpg</t>
  </si>
  <si>
    <t>Hector Ramses Ramos</t>
  </si>
  <si>
    <t>Luisana Rubio - Empaquetadora.jpg</t>
  </si>
  <si>
    <t>Maria Jose Estrada</t>
  </si>
  <si>
    <t>Maria Jose Estrada - Cajera .pdf</t>
  </si>
  <si>
    <t>Nicolle Anais Hernandez</t>
  </si>
  <si>
    <t>Nicolle Anais Hernandez -  Antitriona.pdf</t>
  </si>
  <si>
    <t xml:space="preserve">Sharin Alejandra Rodriguez </t>
  </si>
  <si>
    <t>Sharin Alejandra Rodriguez - Anfitriona y otros.pdf</t>
  </si>
  <si>
    <t>Sulimar Martinez Orellana</t>
  </si>
  <si>
    <t>Sulimar Martinez Orellana Gerente/supervisor.pdf</t>
  </si>
  <si>
    <t>Josue Piñango</t>
  </si>
  <si>
    <t>Josue Piñango - Ayudante de Cocina.pdf</t>
  </si>
  <si>
    <t>Fabrizio Moreno</t>
  </si>
  <si>
    <t>Fabrizio Moreno - Cocinero</t>
  </si>
  <si>
    <t>Gumercindo Buitrago</t>
  </si>
  <si>
    <t>Gumercindo Buitrago Mesonero.PDF</t>
  </si>
  <si>
    <t xml:space="preserve">David Jose Morales </t>
  </si>
  <si>
    <t>David Jose Morales - Mantenimiento.pdf</t>
  </si>
  <si>
    <t>Gabriela Alejandra Rosal</t>
  </si>
  <si>
    <t>Gabriela Alejandra Rosal - Cajera / Empaquetadora.png</t>
  </si>
  <si>
    <t>Daniel Delgado</t>
  </si>
  <si>
    <t>Daniel Delgado - Barra.pdf</t>
  </si>
  <si>
    <t>Daniela Rondon</t>
  </si>
  <si>
    <t>Daniela Rondon - Mesonera .pdf</t>
  </si>
  <si>
    <t>Luis Carlos Ocampo Bocanegra</t>
  </si>
  <si>
    <t>Luis Carlos Ocampo Bocanegra - Supervisor .docx</t>
  </si>
  <si>
    <t>No apto para el cargo de supervisor</t>
  </si>
  <si>
    <t>Simón Yanez Benitez</t>
  </si>
  <si>
    <t>Simón Yanez Benitez - Supervisor.pdf</t>
  </si>
  <si>
    <t>Maria Fernanda</t>
  </si>
  <si>
    <t xml:space="preserve">Jeudys Carolina Alvarado </t>
  </si>
  <si>
    <t>Jeudys Carolina Alvarado.pdf</t>
  </si>
  <si>
    <t>Magdalis Hernandez</t>
  </si>
  <si>
    <t>Magdalis Hernandez - Supervisorapdf</t>
  </si>
  <si>
    <t>Kevinn Arias</t>
  </si>
  <si>
    <t>Kevinn Arias - Bartender.pdf</t>
  </si>
  <si>
    <t>Mariana Rodriguez</t>
  </si>
  <si>
    <t>Mriana Rodriguez Anfitriona.pdf</t>
  </si>
  <si>
    <t>Leoneska Gomez</t>
  </si>
  <si>
    <t>Leoneska Gomez / Antitriona .pdf</t>
  </si>
  <si>
    <t>Emily Ramos</t>
  </si>
  <si>
    <t>Emily Ramos - Antitriona.pdfmily ramos</t>
  </si>
  <si>
    <t>Darianany Alejandra Gomez (baruta)</t>
  </si>
  <si>
    <t>Darianny Alejandra Gomez - Cajera.pdf</t>
  </si>
  <si>
    <t>Yilberlins Carolina Quiroz</t>
  </si>
  <si>
    <t>Yilberlins Carolina Quiroz - Cajera.pdf</t>
  </si>
  <si>
    <t>Jakamdri Garay</t>
  </si>
  <si>
    <t>Jakandri Garay - cajera - anfitriona .jpg</t>
  </si>
  <si>
    <t>Jonathan Pineda</t>
  </si>
  <si>
    <t>Jonathan Pineda - Bartender.pdf</t>
  </si>
  <si>
    <t>si asistio</t>
  </si>
  <si>
    <t>Gabriela Fagundez</t>
  </si>
  <si>
    <t>Gabriela Fagundez - Cajera.pdf</t>
  </si>
  <si>
    <t>Fabiana Olmedo</t>
  </si>
  <si>
    <t>Fabiana Olmedo - Cajera.pdf</t>
  </si>
  <si>
    <t>Karean Castillo</t>
  </si>
  <si>
    <t>Karean Castillo - Anfitriona .pdf</t>
  </si>
  <si>
    <t>Esdris Caraballo</t>
  </si>
  <si>
    <t>TIene experiencia en el area puede hacer la prubea inmediato en la boyera (Sushero)</t>
  </si>
  <si>
    <t xml:space="preserve">Keifrank Silva </t>
  </si>
  <si>
    <t>12/19/2025</t>
  </si>
  <si>
    <t>Bastian Del Campo</t>
  </si>
  <si>
    <t>Nelson Querales</t>
  </si>
  <si>
    <t>Luis De Asuke</t>
  </si>
  <si>
    <t>Daniel Ernesto  Espinoza</t>
  </si>
  <si>
    <t xml:space="preserve"> </t>
  </si>
  <si>
    <t>Hosnel Rubio</t>
  </si>
  <si>
    <t>Jose Dougla</t>
  </si>
  <si>
    <t>Hernandez, MF</t>
  </si>
  <si>
    <t>Francisco Patiño</t>
  </si>
  <si>
    <t>Lider de Cocina</t>
  </si>
  <si>
    <t>Prueba con el Sr Glenn</t>
  </si>
  <si>
    <t>Eduard Rodriguez</t>
  </si>
  <si>
    <t>Currículum vitae Edward Rodríguez .pdf</t>
  </si>
  <si>
    <t>Pablo Mejia</t>
  </si>
  <si>
    <t>Oscar</t>
  </si>
  <si>
    <t>Betzaida Elizabeth James Villamizar</t>
  </si>
  <si>
    <t>Charinga, S</t>
  </si>
  <si>
    <t>Raul Antonio Aguaran Petit</t>
  </si>
  <si>
    <t>Asistio dos dias, pero luego no continuo</t>
  </si>
  <si>
    <t>RRHH lo contacto, e indico que tenia otra oferta salarial</t>
  </si>
  <si>
    <t>Eudes Asnaldo Garcia Teran</t>
  </si>
  <si>
    <t>Jose Luis Nelo Diaz</t>
  </si>
  <si>
    <t>CC JLND.docx</t>
  </si>
  <si>
    <t>Wilfredo Jose Gomez Rodriguez</t>
  </si>
  <si>
    <t>Will Alejandro Macero Francia</t>
  </si>
  <si>
    <t>Jared Alberto Perez Herrera</t>
  </si>
  <si>
    <t>Currículo Jared Perez.pdf</t>
  </si>
  <si>
    <t>Simon Yanez Benitez</t>
  </si>
  <si>
    <t>En proceso</t>
  </si>
  <si>
    <t>Jenifer Carolina Savinon Romero</t>
  </si>
  <si>
    <t>no asistio por muerte de familiar. Fue contactada nuevamente y no asistio.</t>
  </si>
  <si>
    <t>Samuel Tadeo Mendoza Da Silva</t>
  </si>
  <si>
    <t>700$</t>
  </si>
  <si>
    <t>500$-600$</t>
  </si>
  <si>
    <t>Ana Cristina Cardenas Lobo</t>
  </si>
  <si>
    <t>Nestor Alejandro Paez Belisario</t>
  </si>
  <si>
    <t>no</t>
  </si>
  <si>
    <t>No pasa la fase de prueba ya que no maneja las herramientas ni tiene conocimiento en el area</t>
  </si>
  <si>
    <t>Maria Luna</t>
  </si>
  <si>
    <t xml:space="preserve">inicialmente reporto que no podia asistir para cuidar a su mascota. </t>
  </si>
  <si>
    <t>Fue contactada nuevamente por RRHH pero no contesto las llamadas - msjs</t>
  </si>
  <si>
    <t>Khristian Leonardo Tovar Ramirez</t>
  </si>
  <si>
    <t>220$</t>
  </si>
  <si>
    <t>no se presento a trabajar las dos veces que fue convocado</t>
  </si>
  <si>
    <t>Fransheska Patricia Astudillo Fernandez</t>
  </si>
  <si>
    <t>Jose Andres Jaramillo Zambrano</t>
  </si>
  <si>
    <t>130$ semanal</t>
  </si>
  <si>
    <t>fijo + comisiones</t>
  </si>
  <si>
    <t>converso con el lider de la sede e indico que el paquete salarial era muy bajo.</t>
  </si>
  <si>
    <t>Laury Yanileth Guerrero Gomez</t>
  </si>
  <si>
    <t>Jhoan Antonio Duran Rodriguez</t>
  </si>
  <si>
    <t>Yelitza Palencia</t>
  </si>
  <si>
    <t>Ayudante de Sala</t>
  </si>
  <si>
    <t>Jorge Martinez</t>
  </si>
  <si>
    <t>Mayerlin Barazarte</t>
  </si>
  <si>
    <t>Eliana Gil</t>
  </si>
  <si>
    <t>Cristian Parada</t>
  </si>
  <si>
    <t>Miguel Angel Mendez Gonzalez</t>
  </si>
  <si>
    <t>Adrian Gabriel Rodriguez Briceno</t>
  </si>
  <si>
    <t>Anahil Olivo</t>
  </si>
  <si>
    <t>Anahil Olivo - Cajara -Mesonera.pdf</t>
  </si>
  <si>
    <t>Walter Genaro Banquet Berrio</t>
  </si>
  <si>
    <t>Gabriel Alejandro Guillen Quintero</t>
  </si>
  <si>
    <t>Diego Jose Sanchez Fernandez</t>
  </si>
  <si>
    <t>Julio Cesar Mazzeo Chataing</t>
  </si>
  <si>
    <t>Jecson Daniel Pina Escalona</t>
  </si>
  <si>
    <t>Melvin Eduardo Montilla Rangel</t>
  </si>
  <si>
    <t>Kissbel Oriana Elorza Rejon</t>
  </si>
  <si>
    <t>Coord. Motorizados</t>
  </si>
  <si>
    <t>12/30/2025</t>
  </si>
  <si>
    <t>450$</t>
  </si>
  <si>
    <t>Kevin Raul Alarcon Benitez</t>
  </si>
  <si>
    <t>200$</t>
  </si>
  <si>
    <t>250$</t>
  </si>
  <si>
    <t>no asistio, e indico que no podria para ayudar a sus abuelos</t>
  </si>
  <si>
    <t>William Reinaldo Aponte Sulbaram</t>
  </si>
  <si>
    <t>Omir Pavel Eljuris Gonzalez</t>
  </si>
  <si>
    <t>250$ + propina</t>
  </si>
  <si>
    <t>600-700$</t>
  </si>
  <si>
    <t>no paso la evaluacion tecnica con Glenn Caraballo</t>
  </si>
  <si>
    <t>Angel Suarez</t>
  </si>
  <si>
    <t>Luisana Benavente</t>
  </si>
  <si>
    <t>Jennire Freire</t>
  </si>
  <si>
    <t>Jose Hernandez</t>
  </si>
  <si>
    <t>180$</t>
  </si>
  <si>
    <t>Fermin Hernandez</t>
  </si>
  <si>
    <t>Heiker Josue Flores Lopez</t>
  </si>
  <si>
    <t>Gleidy Leon</t>
  </si>
  <si>
    <t>400$</t>
  </si>
  <si>
    <t>Francely Velasquez</t>
  </si>
  <si>
    <t>Grace Vasquez</t>
  </si>
  <si>
    <t>800-900$</t>
  </si>
  <si>
    <t>Diswir RObert Aguirre</t>
  </si>
  <si>
    <t>250$ + propina + 10%</t>
  </si>
  <si>
    <t>Carlos Luis Tovar Pena</t>
  </si>
  <si>
    <t>320$</t>
  </si>
  <si>
    <t>Jeyderson Hernandez</t>
  </si>
  <si>
    <t>Heyser Abraham Hernandez Echenique</t>
  </si>
  <si>
    <t>Mauricio Torres</t>
  </si>
  <si>
    <t>370$</t>
  </si>
  <si>
    <t xml:space="preserve">no asistio y no indico el por que </t>
  </si>
  <si>
    <t>Oscar Antonio Lugo Landaeta</t>
  </si>
  <si>
    <t>235$</t>
  </si>
  <si>
    <t>encontro otra oportunidad laboral</t>
  </si>
  <si>
    <t>Nairubis Alexandra Chacon Diaz</t>
  </si>
  <si>
    <t>Gabriela Alexandra Guerra Azuaje</t>
  </si>
  <si>
    <t>Maikel Suarez</t>
  </si>
  <si>
    <t>520$</t>
  </si>
  <si>
    <t>Mariani Villamizar</t>
  </si>
  <si>
    <t>260$</t>
  </si>
  <si>
    <t>Ismael Pina</t>
  </si>
  <si>
    <t>Disenador Grafico</t>
  </si>
  <si>
    <t>600$</t>
  </si>
  <si>
    <t>800$</t>
  </si>
  <si>
    <t>Valentina Morillo</t>
  </si>
  <si>
    <t>Daniel Cedeno</t>
  </si>
  <si>
    <t>250-300$</t>
  </si>
  <si>
    <t>Ginneilys Fragoza</t>
  </si>
  <si>
    <t>300-400$</t>
  </si>
  <si>
    <t>Andrea Valentina Aponte Reyna</t>
  </si>
  <si>
    <t>Yoselyn Del Carmen LEzama Martinez</t>
  </si>
  <si>
    <t>Greys Carolina Rivero Jimenez</t>
  </si>
  <si>
    <t>&gt;460$</t>
  </si>
  <si>
    <t>Yorman Jose Contreras Gonzalez</t>
  </si>
  <si>
    <t>200$ - 250$</t>
  </si>
  <si>
    <t>VIviana Del Valle Guerra Guerra</t>
  </si>
  <si>
    <t>300$</t>
  </si>
  <si>
    <t>Julieudis Del Carmen Perez Pico</t>
  </si>
  <si>
    <t>160$</t>
  </si>
  <si>
    <t>&gt;160$</t>
  </si>
  <si>
    <t xml:space="preserve">ENTREVISTAS ADMINISTRATIVAS </t>
  </si>
  <si>
    <t xml:space="preserve">Contacto: </t>
  </si>
  <si>
    <t>Descripcion</t>
  </si>
  <si>
    <t>Cv</t>
  </si>
  <si>
    <t>Area</t>
  </si>
  <si>
    <t>Ezequiel Diaz: 04241839219</t>
  </si>
  <si>
    <t xml:space="preserve">Trabaja En richi tortas, desde el 2025 un año y dos meses, como analista de recursos humanos, llevo el porceso de liquidacion, el calculcuo, el historico de prestaciones soociales, el intra, las declraciones gubernamentanles, control de gastos de recursos humanos, eh uniforme y otro tipo de solicuitudes de la gerente, adiconalmente eso cualquier otra solicitud, egreso, kpi. reclutamientoa a veces. control de uniformes lo cree el control de prestaciones, y de liquidaciones. no habia un sistema como tal y lo desarolle como tal, son varias empresas, esta la empresa de industria richi, llevamos todo loq ue es la aprte de parafiscal. Yo soy tsu en gerencia finaciera, mi mayor expereincia en administracion. Cajero:  3 años cajero en el banco de venezuela, anteriomente asesor de negocio, cajero integral en taquilla. apertura de cuentas, cubri tesoreria, sali por salario. los procesos se cumplian bien, los bancos tienen procesos muy establecidos. Elaboraba el libro de ventas, libro de compras auditoria de caja recaudacion de divisas, delcaracion de iva. De Salva Food  egrese porque cerraron muchas surcusales, muchas deudas y reduccion de personal. me encanta administracion, control cuentas por pagar, conciliaciones bancarias.  despues inversiones la maxima. lo mismo control admiistrativ. dure poco porque no ke gustsba las recomendaciones que yo daba, no me queria y bueno hice la carta de renuncia, darle recomendaciones por el control de los prestamos. esto si fue algo nuevo para mi, le prestaba servicio a los ministerior de obras publicas, yo llevaba la relacion de pagos, control de cuentas por pagar. control de cuentas por cobrar, y le hacia una conciliacion caja chica. petare, pareja, no hijos. edad esposo 35. farmacia sub gerente, en petare. ver peliculas leer, investigar la parte de promagracion. me gustaria estudiar pero cuando exista la posibilidad. la ubicacion esta bien. aspiracion salarial 500/600. 450. mas el bono alimneticion. </t>
  </si>
  <si>
    <t>Ashley ezequiel.pdf</t>
  </si>
  <si>
    <t>Melanie Neoasis Mata Romero</t>
  </si>
  <si>
    <t>Yasmin Del Valle Teran Mendoza</t>
  </si>
  <si>
    <t>Osmar  Josue Campos Pacheco</t>
  </si>
  <si>
    <t>&gt;500$</t>
  </si>
  <si>
    <t>Albanis Yemirle Rios Romero</t>
  </si>
  <si>
    <t xml:space="preserve">Finanzas </t>
  </si>
  <si>
    <t xml:space="preserve">Integral </t>
  </si>
  <si>
    <t>Javier Eduardo Lozada Chacoa</t>
  </si>
  <si>
    <t>Nomina</t>
  </si>
  <si>
    <t>Eylis Mota</t>
  </si>
  <si>
    <t>680$</t>
  </si>
  <si>
    <t>&gt;600$</t>
  </si>
  <si>
    <t>Darianna Ceilet Hernandez Rivero</t>
  </si>
  <si>
    <t xml:space="preserve">Actualmente como cajera, ya que no conseguia nada, anteriomente ayudante de enfermeria, como cajera todo lo que va de año. Anteriomente en de panes, estaba en la parte de mercadeo, no sabia nada y mi jefa me dio la oportunidad, un año y 4 meses. me encaraba de la logistica de promocionar el pan, documentar cada parte donde ibamos, las desgutaciones, esa parte de cracion de contenido. sali por temas de salud. Anteriomente de eso en un bodegon y despues de eso un pool bunker bar, se la entregaron a la jamoneria el prado. Recbia la mercancia, le pagaba a los provedores, como 14 provedores, cuadrar la caja en la noche, en ese momento habia muchi flujo de efectivo. fue mi mejor trabajode roche mucho dinero.. anteriomente a eso en Banco occidental de descuento.  me gradue en la Unexca, pero antes de eso se llamaba francisco de Miranda, en el 2022 termine el tsu. Anteriomente habia trabajado con tres tipos de sistemas en el banco, uno el cual se trabaja con el gobierno. pero los dos ultimos he trabajado con Profit. Vivo en santa cruz del este, vivo con mi mama, y un sobrino. tengo 33 años. no hijos, no vehiculo propio. con disponibilidad horaria. trabaje en cuentas por pagar en manufacturas puro y simple. manejo  de excel 6, manejo de google drive. domingo y lunes de 6am hasta las 4pm y los otros dias es de 11am a 9pm. Misma aspiracion salarial. </t>
  </si>
  <si>
    <t>100$- 150$</t>
  </si>
  <si>
    <t>Darianny Alejandra Gomez Freites</t>
  </si>
  <si>
    <t>Jessica Andreina Sojo Sequena</t>
  </si>
  <si>
    <t xml:space="preserve">Petare </t>
  </si>
  <si>
    <t>Descaratado</t>
  </si>
  <si>
    <t>Yesica Torres</t>
  </si>
  <si>
    <t xml:space="preserve">Pasar entrevista </t>
  </si>
  <si>
    <t>CxP</t>
  </si>
  <si>
    <t>350$</t>
  </si>
  <si>
    <t>Gabriel</t>
  </si>
  <si>
    <t xml:space="preserve">Trabajo en arqui stor, distribuidora de laminas, estoy en el cargo de especialista de adminitrativo, cuentas por pagar, cuentas por cobrar, control de todo divisas, febrero siempre entre a ese cargo de especialista. todo se me acumulo, estoy estudiando administracion comercial, estudie contaduria publica 6 semestres, voy a empezar a estudiar administracion comercial, es online, no tengo horario pero es online, me compre la lapto. vivo en macaracuay, tengo carro, con mi esposa e hija y sus dos niños 15 y 18 años y mi niña que tien 4  años. estoy en 300, me gustaria mas, queda en lider, en la california, una bolsa un bono de 40 de la bebe. Por tema salarial, beneificios para mi hija. quiero estudiar, mi esposa es administradora en cruz alta, panaderia. </t>
  </si>
  <si>
    <t>Edwin Alejandro Penaranda Lineros</t>
  </si>
  <si>
    <t>Stefany Castillo</t>
  </si>
  <si>
    <t>Actualmente administrando un condominio en San Martin, soy tecnico medio en contabilidad, Asp. 350 a 400. buen dominio de  excel</t>
  </si>
  <si>
    <t>Finanzas</t>
  </si>
  <si>
    <t xml:space="preserve">CxP o CxC </t>
  </si>
  <si>
    <t>Michelle Vilora</t>
  </si>
  <si>
    <t>&gt;400$</t>
  </si>
  <si>
    <t xml:space="preserve">termo la que mas me costo tengo un año que me costo verla, al inicio era mas voy a clases y me voy y despues de hacer amigos, ya despues fue soltando un poquito. pase por muchas agrupaciones. cuestiones de los afaltos calcular la densidad, traian la arena de canada y buscaban que esa arena se pareciera a la de aqui. organizada cumplidora e innovadora. echada palante, nunca se rinde.        siempre lo intento, me gusta aprender, siempre estoy en movimiento.  Tiene una empresa administracion de empresas se envaragn de distirbuir de servillestas plastico, aspiracion,  apiracion: antes 600 u 800. entre ese rango. bs a bcv.. </t>
  </si>
  <si>
    <t xml:space="preserve">Juan Carlos, </t>
  </si>
  <si>
    <t xml:space="preserve">Grita cuando hablar. Termine de carga academica, en octubre, se siente raro a uno esta acostumbrado , contento como uno logra, dure 5 años y medio. la materia gestion de la cadena de susminiatro, procesode fabricacion, materiales, uno ve la parte quimica con tofos los materiales. esta el eje de la columna vertebral, cadena de suministro, mayor utilidad la vi, parte adimistrativa. mas que todo por el contesto matematica 2 estaba regresando la pandemia fue el contexto. con un grupo que, tengo un trabajo de medio tiempo en la propoias canchas, manager del sistema de la operatividad del deporte, si son importantes, me ayudo agarrar mas conocimeintos del dia a dia, tenia beca ayudantia desde el 2do a 3er simestre de la universidad hasta que culmine, en el area de comunicaciones integradas. mucha organizacion. mas estresante las materias. buena oratorio, hice futbol, tenis. Vivo en la urbanizacion, papas y morcho, cheff en la mariano morena, tiene varios años trabajando. mis papas son publicistas, mi papa esta semi retirado, tiene edad comunicacion social,  es abicion adicional, apiracion salarial, analitica analizar todo a convenir </t>
  </si>
  <si>
    <t>Kevin Enrique Mancini Gonzalez</t>
  </si>
  <si>
    <t>Rafael</t>
  </si>
  <si>
    <t xml:space="preserve">bastante dinamico, apiracion salarial. va a depender, paquete 800 mensual indezado, segura basico de la empres, beneficios de la banca, es ese momnto un bono trimestral de 300. vehiculo propio, facil traslado, </t>
  </si>
  <si>
    <t>&gt;200$</t>
  </si>
  <si>
    <t>Yosguar Waimber Amador Martinez</t>
  </si>
  <si>
    <t>Yeiber Yunay Pineda Martinez</t>
  </si>
  <si>
    <t>Carlos Daniel Hernandez</t>
  </si>
  <si>
    <t>Anais Espiniza</t>
  </si>
  <si>
    <t>Leandher Arturo Luisi Lovera</t>
  </si>
  <si>
    <t>Yosbel Humberto Jimenez Laya</t>
  </si>
  <si>
    <t>Jesus gabriel Rodriguez Gonzales</t>
  </si>
  <si>
    <t>Shaila Camargo</t>
  </si>
  <si>
    <t>Manuel Alejandro Sanchez Colmenares</t>
  </si>
  <si>
    <t>Arnaldo Andres Gonzalez Centeno</t>
  </si>
  <si>
    <t>Asly Alondra Gil Landaez</t>
  </si>
  <si>
    <t>Anderson Castro</t>
  </si>
  <si>
    <t>700$ (divisas), 1000$ (bs)</t>
  </si>
  <si>
    <t>Andres Guillen</t>
  </si>
  <si>
    <t>casi 400$</t>
  </si>
  <si>
    <t>Genesis Meneses</t>
  </si>
  <si>
    <t>Jose Gregorio Alvarez Bermudez</t>
  </si>
  <si>
    <t>Jhosnairy Wilyenferlys Labrador Carpio</t>
  </si>
  <si>
    <t>Sarai Alexandra Rodriguez Escobar</t>
  </si>
  <si>
    <t>&gt;150$</t>
  </si>
  <si>
    <t xml:space="preserve">Angel HErnandez </t>
  </si>
  <si>
    <t>Jennifer Acosta</t>
  </si>
  <si>
    <t>360$</t>
  </si>
  <si>
    <t>lo que ofrezca la empresa</t>
  </si>
  <si>
    <t>Daniela Bellorin</t>
  </si>
  <si>
    <t>500$ + propinas</t>
  </si>
  <si>
    <t>500$</t>
  </si>
  <si>
    <t>Francisco Avila</t>
  </si>
  <si>
    <t>Karixandra Fonseca</t>
  </si>
  <si>
    <t>Ana Hernandez</t>
  </si>
  <si>
    <t>&gt;260$</t>
  </si>
  <si>
    <t>Luis Enrique</t>
  </si>
  <si>
    <t>Scarlet Gonzalez</t>
  </si>
  <si>
    <t>Franyeli Ruiz</t>
  </si>
  <si>
    <t>Deximar Pernia</t>
  </si>
  <si>
    <t>&gt;300$</t>
  </si>
  <si>
    <t>Anthony Pena</t>
  </si>
  <si>
    <t>Yuri Lima Pariata</t>
  </si>
  <si>
    <t>550$ - 600$</t>
  </si>
  <si>
    <t>Aura Maria Espejo Benavides</t>
  </si>
  <si>
    <t>400$ - 450$</t>
  </si>
  <si>
    <t>Luis Garcia</t>
  </si>
  <si>
    <t>1020$</t>
  </si>
  <si>
    <t>Esp 800$ / Analista 500$</t>
  </si>
  <si>
    <t>Greyvi Olivier Vera Guevara</t>
  </si>
  <si>
    <t>Mariateresa Lopez Romero</t>
  </si>
  <si>
    <t>Creador de Contenido</t>
  </si>
  <si>
    <t>1040$ + HC 10k</t>
  </si>
  <si>
    <t>Darwin Depablos</t>
  </si>
  <si>
    <t>400$ - 500$</t>
  </si>
  <si>
    <t>500$ - 600$</t>
  </si>
  <si>
    <t>Yoandre Alberto Blanco Eduardo</t>
  </si>
  <si>
    <t>Bryant Chapellin Valera</t>
  </si>
  <si>
    <t>Jose Manuel Monzon Seijas</t>
  </si>
  <si>
    <t>300$ + propinas + 10%</t>
  </si>
  <si>
    <t>450$ - 500$</t>
  </si>
  <si>
    <t>Dioneci del Carmen Dun Garces</t>
  </si>
  <si>
    <t>190$</t>
  </si>
  <si>
    <t>Yoleidi Corro</t>
  </si>
  <si>
    <t>&gt; 400$</t>
  </si>
  <si>
    <t>Daniel Gonzalez</t>
  </si>
  <si>
    <t>&gt;450$</t>
  </si>
  <si>
    <t>Genesis Moreno</t>
  </si>
  <si>
    <t>200$ - 260$</t>
  </si>
  <si>
    <t>Leudys Leomar Louisy Leon</t>
  </si>
  <si>
    <t>Luis Camejo</t>
  </si>
  <si>
    <t>Samuel Eduardo Garcia Ramos</t>
  </si>
  <si>
    <t>Casi 500$</t>
  </si>
  <si>
    <t>Andreimar Nieves</t>
  </si>
  <si>
    <t>280$</t>
  </si>
  <si>
    <t>Anyelika Rodriguez</t>
  </si>
  <si>
    <t>Horlan Samir Vielma Ramirez</t>
  </si>
  <si>
    <t>Jonathan David Gregorio Noriega Castellano</t>
  </si>
  <si>
    <t>Wilber Enrique Rondon Navas</t>
  </si>
  <si>
    <t>Jesus Miguel Gudino Viera</t>
  </si>
  <si>
    <t>Barbara Andrade</t>
  </si>
  <si>
    <t>Carlos Enrique Marquez Campos</t>
  </si>
  <si>
    <t>Alejandro Franquiz</t>
  </si>
  <si>
    <t>Randy Alejandro Garcia Rodriguez</t>
  </si>
  <si>
    <t>Jahzeel Andres Bello Libre</t>
  </si>
  <si>
    <t>Maria Beatriz Moreno Charama</t>
  </si>
  <si>
    <t>Frank Amado Otero Marquez</t>
  </si>
  <si>
    <t>Westney Daniel Rosendo Moreno</t>
  </si>
  <si>
    <t>Alfonzo Azuaje</t>
  </si>
  <si>
    <t>650$</t>
  </si>
  <si>
    <t>BU18ZGB</t>
  </si>
  <si>
    <t>Miguelangel Pinango</t>
  </si>
  <si>
    <t>350$ - 400$</t>
  </si>
  <si>
    <t>Michel Iskey Obando Marrero</t>
  </si>
  <si>
    <t>Eliana Nohemi Mendoza Plaza</t>
  </si>
  <si>
    <t>450$ - 600$</t>
  </si>
  <si>
    <t>Jhornelys Unepero</t>
  </si>
  <si>
    <t>Yader Rondon</t>
  </si>
  <si>
    <t>380$</t>
  </si>
  <si>
    <t>Yonathan Alberto Moreno</t>
  </si>
  <si>
    <t>1300$</t>
  </si>
  <si>
    <t>no fue del agrado del Sr Bond</t>
  </si>
  <si>
    <t>Josue Daniel Bonilla Chinchilla</t>
  </si>
  <si>
    <t>Jean Carlos Hernandez</t>
  </si>
  <si>
    <t>400$ + propina + 10%</t>
  </si>
  <si>
    <t>400$ - 600$</t>
  </si>
  <si>
    <t>Eiverson Matute</t>
  </si>
  <si>
    <t>Pedro Zerpa</t>
  </si>
  <si>
    <t>Yonhanyer Gonzalez</t>
  </si>
  <si>
    <t>Jacdwin Mendoza</t>
  </si>
  <si>
    <t>950$</t>
  </si>
  <si>
    <t>900$</t>
  </si>
  <si>
    <t>Briana Romero</t>
  </si>
  <si>
    <t>Se intento comunicarse con ella, pero no fue posible.</t>
  </si>
  <si>
    <t>Marwin Villalobos</t>
  </si>
  <si>
    <t>Assier Dugarte</t>
  </si>
  <si>
    <t>Daniela Alejandra Milla Aray</t>
  </si>
  <si>
    <t>Gabriel Valera</t>
  </si>
  <si>
    <t>inconformidad con el pago</t>
  </si>
  <si>
    <t>Renzo Jose Dudamell Castillo</t>
  </si>
  <si>
    <t>Francis Andreina Nunez Barreto</t>
  </si>
  <si>
    <t>Danna Garcia</t>
  </si>
  <si>
    <t>Nestor Jose Materan Gil</t>
  </si>
  <si>
    <t>Maria Mejias</t>
  </si>
  <si>
    <t>Sebastian Velis</t>
  </si>
  <si>
    <t>Jasmary Daza</t>
  </si>
  <si>
    <t>Miguel Bula</t>
  </si>
  <si>
    <t>Andres Abarrategui</t>
  </si>
  <si>
    <t>Avril Camacho</t>
  </si>
  <si>
    <t>Hector Tejera</t>
  </si>
  <si>
    <t>Andres Esparza</t>
  </si>
  <si>
    <t>Francisco Hernandez</t>
  </si>
  <si>
    <t>250$ - 300$</t>
  </si>
  <si>
    <t>Choca con sus horarios de estudios</t>
  </si>
  <si>
    <t>Cesar Manuel Rada Lugo</t>
  </si>
  <si>
    <t>Yorgelis Briceno</t>
  </si>
  <si>
    <t>Claudia Becerra</t>
  </si>
  <si>
    <t>Victor Edgardo Aponte Pulido</t>
  </si>
  <si>
    <t>Maria Ortega</t>
  </si>
  <si>
    <t>750$ - 800$</t>
  </si>
  <si>
    <t>Dubrimar Barreto</t>
  </si>
  <si>
    <t>750$</t>
  </si>
  <si>
    <t>750$ a mas</t>
  </si>
  <si>
    <t>No quieres estar frente a camaras, mucha resistencia, no genera buen feeling</t>
  </si>
  <si>
    <t>Tifanny Garcia</t>
  </si>
  <si>
    <t>Wilson Perez</t>
  </si>
  <si>
    <t>300$ - 350$</t>
  </si>
  <si>
    <t>Alejandro Jose Ramirez Cova</t>
  </si>
  <si>
    <t>240$</t>
  </si>
  <si>
    <t>Jemarley Mijares</t>
  </si>
  <si>
    <t>Yuleitze Palma</t>
  </si>
  <si>
    <t>120$</t>
  </si>
  <si>
    <t>150$</t>
  </si>
  <si>
    <t>Cristian Gil</t>
  </si>
  <si>
    <t>Pablo Ramirez</t>
  </si>
  <si>
    <t>Tiene clases los sabados todo el dia. Adicionalmente indica que tiene adiccion al tlf y no trabaja bajo presion</t>
  </si>
  <si>
    <t>Sofia Rodriguez</t>
  </si>
  <si>
    <t>Gabriel Sanchez</t>
  </si>
  <si>
    <t>Es compeltamente sordo y mudo, no hay como ubicarlo</t>
  </si>
  <si>
    <t>Jesus Aldana</t>
  </si>
  <si>
    <t>Maria Morales</t>
  </si>
  <si>
    <t>300$-400$</t>
  </si>
  <si>
    <t>No desea estar frente a camaras, mucha resistencia</t>
  </si>
  <si>
    <t>Ruben Perez</t>
  </si>
  <si>
    <t>Quiere una propuesta con una bonificacion base</t>
  </si>
  <si>
    <t>Barbara Berrios</t>
  </si>
  <si>
    <t>Vetada</t>
  </si>
  <si>
    <t>William Yajure</t>
  </si>
  <si>
    <t>1000$</t>
  </si>
  <si>
    <t>Vive en Caricuao, no tiene medio de transporte</t>
  </si>
  <si>
    <t>Maria Rangel</t>
  </si>
  <si>
    <t>Engelbert Gonzalez</t>
  </si>
  <si>
    <t>Glenn no indico beunas referencias</t>
  </si>
  <si>
    <t>Yusmerduing Morales</t>
  </si>
  <si>
    <t>240$ - 300$</t>
  </si>
  <si>
    <t>No maneja Xetux, y no quiere estar alli, solo algo provisional</t>
  </si>
  <si>
    <t>Hengert Acosta</t>
  </si>
  <si>
    <t>No quiere unicamente comisiones, sino una base</t>
  </si>
  <si>
    <t>Marifer Diaz</t>
  </si>
  <si>
    <t>Franck Herrera</t>
  </si>
  <si>
    <t>Irene Tavera</t>
  </si>
  <si>
    <t>Wuineiber Contreras</t>
  </si>
  <si>
    <t>Freddy Contreras</t>
  </si>
  <si>
    <t>Juan Jose</t>
  </si>
  <si>
    <t>Daniela Quintero</t>
  </si>
  <si>
    <t>Carlos Da Silva</t>
  </si>
  <si>
    <t>Jose Villarroel</t>
  </si>
  <si>
    <t>Eli Nunez</t>
  </si>
  <si>
    <t>Vive en Los Teques, y ha sido retirado de sus empleos anteriores por la calidad y el gusto</t>
  </si>
  <si>
    <t>Theolser Jaramillo</t>
  </si>
  <si>
    <t>Adriano Oliveros</t>
  </si>
  <si>
    <t>Andrea Zambranoi</t>
  </si>
  <si>
    <t>Madeleine Carrasco</t>
  </si>
  <si>
    <t>Cindy Miranda</t>
  </si>
  <si>
    <t>Michael Meza</t>
  </si>
  <si>
    <t>para iniciar 300$</t>
  </si>
  <si>
    <t>Mariangel HErrera</t>
  </si>
  <si>
    <t>Keiber Castaneda</t>
  </si>
  <si>
    <t>Jesus Rodriguez</t>
  </si>
  <si>
    <t>Lizbella Marcano</t>
  </si>
  <si>
    <t>Nelyeli Mendoza</t>
  </si>
  <si>
    <t>Wendy Rodriguez</t>
  </si>
  <si>
    <t>750$ - 850$</t>
  </si>
  <si>
    <t>Barbara Mendez</t>
  </si>
  <si>
    <t>Luz Civira</t>
  </si>
  <si>
    <t>Luz Valor</t>
  </si>
  <si>
    <t>Dakeisy Gonzalez</t>
  </si>
  <si>
    <t>280$ - 300$</t>
  </si>
  <si>
    <t>Delvis Araque</t>
  </si>
  <si>
    <t>Carlos Flores</t>
  </si>
  <si>
    <t>Luis Mendez</t>
  </si>
  <si>
    <t xml:space="preserve">Juan DOminguez </t>
  </si>
  <si>
    <t>Dariannis Leon</t>
  </si>
  <si>
    <t>140$</t>
  </si>
  <si>
    <t>Zulay Teran</t>
  </si>
  <si>
    <t>No cumple con el perfil</t>
  </si>
  <si>
    <t>Jorman Carpio</t>
  </si>
  <si>
    <t>Joswalky De Sousa</t>
  </si>
  <si>
    <t>Katherin Luna</t>
  </si>
  <si>
    <t>200$ - 300$</t>
  </si>
  <si>
    <t>Mariana Alejandra Vasconcelos Cisneros</t>
  </si>
  <si>
    <t>250$-300$</t>
  </si>
  <si>
    <t>Maidelin Polo</t>
  </si>
  <si>
    <t>200$-300$</t>
  </si>
  <si>
    <t>Nahun Rodriguez</t>
  </si>
  <si>
    <t>Julio Torrealba</t>
  </si>
  <si>
    <t>430$</t>
  </si>
  <si>
    <t>Expectativas salariales altas</t>
  </si>
  <si>
    <t>Norka Rodriguez</t>
  </si>
  <si>
    <t>Temas actitudinales</t>
  </si>
  <si>
    <t>Dubran Hernandez</t>
  </si>
  <si>
    <t>Enmanuel Moleiro</t>
  </si>
  <si>
    <t>Daniela Rico</t>
  </si>
  <si>
    <t>Daniela Rico.jpeg</t>
  </si>
  <si>
    <t>260$ - 300$</t>
  </si>
  <si>
    <t>No disponible</t>
  </si>
  <si>
    <t>Wilmar Licona Salazar</t>
  </si>
  <si>
    <t>Cadena de Suministro</t>
  </si>
  <si>
    <t>580$</t>
  </si>
  <si>
    <t>Jose Acevedo</t>
  </si>
  <si>
    <t>Katiuska Chacin</t>
  </si>
  <si>
    <t>500$ - 550$</t>
  </si>
  <si>
    <t>Yerlis Betancourt</t>
  </si>
  <si>
    <t>480$</t>
  </si>
  <si>
    <t>inicia estudios en marzo con horario que compromete todos sus dias</t>
  </si>
  <si>
    <t>Keiber Echenique</t>
  </si>
  <si>
    <t>300$ - 800$ (variable)</t>
  </si>
  <si>
    <t>Jesus Castro</t>
  </si>
  <si>
    <t>&gt;350$</t>
  </si>
  <si>
    <t>Wendy Polo</t>
  </si>
  <si>
    <t>340$</t>
  </si>
  <si>
    <t>Daniela Utria</t>
  </si>
  <si>
    <t>Jose Marcano</t>
  </si>
  <si>
    <t>Esta para posiciones mayores</t>
  </si>
  <si>
    <t>Luis Manuel Perez</t>
  </si>
  <si>
    <t>240$ + bono + propinas</t>
  </si>
  <si>
    <t>400$ + propina</t>
  </si>
  <si>
    <t>Luis Linares</t>
  </si>
  <si>
    <t>200$ + comisiones</t>
  </si>
  <si>
    <t>no puede cubrir turno nocturno, se le complica</t>
  </si>
  <si>
    <t>Julio Matheus</t>
  </si>
  <si>
    <t>200$ + propina</t>
  </si>
  <si>
    <t>no cumple con el perfil (edad)</t>
  </si>
  <si>
    <t>Valentina D Lima</t>
  </si>
  <si>
    <t>Kelvin Rivero</t>
  </si>
  <si>
    <t>le falta madurez laboral, y tiene un bebe en camino (7m)</t>
  </si>
  <si>
    <t>Yeiber Pineda</t>
  </si>
  <si>
    <t>130$</t>
  </si>
  <si>
    <t>Will Macero</t>
  </si>
  <si>
    <t>Saulo Arellanos</t>
  </si>
  <si>
    <t>Chofer</t>
  </si>
  <si>
    <t>Jeison Alcala</t>
  </si>
  <si>
    <t>Victoria Landaeta</t>
  </si>
  <si>
    <t>Isbelys Torrealba</t>
  </si>
  <si>
    <t>Diego Polanco</t>
  </si>
  <si>
    <t>Sebastian Grisanti</t>
  </si>
  <si>
    <t>Erick Gouveia</t>
  </si>
  <si>
    <t>Jesus Moreno</t>
  </si>
  <si>
    <t>eventual</t>
  </si>
  <si>
    <t>Luisana Amundaray</t>
  </si>
  <si>
    <t>Christopher Castillo</t>
  </si>
  <si>
    <t>Ramses Tovar</t>
  </si>
  <si>
    <t>Katherine Burguillo</t>
  </si>
  <si>
    <t>Jose Vasquez</t>
  </si>
  <si>
    <t>Ilanys Silveira</t>
  </si>
  <si>
    <t>Engherbert Briceño</t>
  </si>
  <si>
    <t>Yonaiker Hernandez</t>
  </si>
  <si>
    <t>Yenire Garces</t>
  </si>
  <si>
    <t>Franklin Villamizar</t>
  </si>
  <si>
    <t>400$ negociable</t>
  </si>
  <si>
    <t>Yanelis Mendez</t>
  </si>
  <si>
    <t>Personal Eventual</t>
  </si>
  <si>
    <t>Luisa Sojo</t>
  </si>
  <si>
    <t>Carlos Marrero</t>
  </si>
  <si>
    <t>Esta en regimen de presentacion por robo</t>
  </si>
  <si>
    <t>Yuleisy Garcia</t>
  </si>
  <si>
    <t>Ashley Silva</t>
  </si>
  <si>
    <t>380$ - 400$</t>
  </si>
  <si>
    <t>No paso el periodo de prueba</t>
  </si>
  <si>
    <t>Kleiderling Hernandez</t>
  </si>
  <si>
    <t>&gt;280$</t>
  </si>
  <si>
    <t>Stefanny Nessy</t>
  </si>
  <si>
    <t>&gt;240$</t>
  </si>
  <si>
    <t>habria que verificar referencias. Tiene un proceso abierto ya que no le han cancelado sus prestaciones en el anterior trabajo</t>
  </si>
  <si>
    <t>Eymi Castro</t>
  </si>
  <si>
    <t>Eymi Castro.pdf</t>
  </si>
  <si>
    <t>270$</t>
  </si>
  <si>
    <t>250$ - 280$</t>
  </si>
  <si>
    <t>Phillipe Tirand</t>
  </si>
  <si>
    <t>Indico que no tenia papeles y se le hacia complicado</t>
  </si>
  <si>
    <t>Victoria Lugo</t>
  </si>
  <si>
    <t>200$ - 230$</t>
  </si>
  <si>
    <t>Adrian Rojas</t>
  </si>
  <si>
    <t>600$ - 650$</t>
  </si>
  <si>
    <t>Askhia Yanes</t>
  </si>
  <si>
    <t>Indico que tiene otro empleo</t>
  </si>
  <si>
    <t>Yolvis Sanchez</t>
  </si>
  <si>
    <t>Sherman Gonzalez</t>
  </si>
  <si>
    <t>Daibelis Albarran</t>
  </si>
  <si>
    <t>Maria Duarte</t>
  </si>
  <si>
    <t>Joseph Quintana</t>
  </si>
  <si>
    <t>Enyerber Torres</t>
  </si>
  <si>
    <t>Alberto Yanes</t>
  </si>
  <si>
    <t>Roberto Mejia</t>
  </si>
  <si>
    <t>Tiene un bebe en camino (5 meses)</t>
  </si>
  <si>
    <t>Heliana Solorzano</t>
  </si>
  <si>
    <t>No paso la prueba tecnica</t>
  </si>
  <si>
    <t>Juan Nieves</t>
  </si>
  <si>
    <t>250$ - 350$</t>
  </si>
  <si>
    <t>Eduar Cuevas</t>
  </si>
  <si>
    <t>Yonaiker Brito</t>
  </si>
  <si>
    <t>Nina Socarras</t>
  </si>
  <si>
    <t>Ricardo Bello</t>
  </si>
  <si>
    <t>Valentina Rodriguez</t>
  </si>
  <si>
    <t>No quiso asistir mas</t>
  </si>
  <si>
    <t>Ana Briceno</t>
  </si>
  <si>
    <t>Michael Rondon</t>
  </si>
  <si>
    <t>&gt;180$</t>
  </si>
  <si>
    <t>Yeiber Javier Anteliz Urbina</t>
  </si>
  <si>
    <t>Jorge Gonzalez</t>
  </si>
  <si>
    <t>1400 euros</t>
  </si>
  <si>
    <t>Yarelis Josefina Lujano Garcia</t>
  </si>
  <si>
    <t>Vive en el Ctera Petare Guarenas, se le dificulta el transporte</t>
  </si>
  <si>
    <t>Daniel Mendez</t>
  </si>
  <si>
    <t>15$ el dia</t>
  </si>
  <si>
    <t>No esta de acuerdo con el pago, muy bajo</t>
  </si>
  <si>
    <t>Sirianggy Araujo</t>
  </si>
  <si>
    <t>Alessandra Mesia</t>
  </si>
  <si>
    <t>Alessandra Mesia.jpeg</t>
  </si>
  <si>
    <t>18/03/2026 enviada a sede</t>
  </si>
  <si>
    <t>Hesneyder Romero</t>
  </si>
  <si>
    <t>Linoska Gil</t>
  </si>
  <si>
    <t>lo que quiere es avanzar</t>
  </si>
  <si>
    <t>José Gabriel Aguilera</t>
  </si>
  <si>
    <t>Santiago Hugo</t>
  </si>
  <si>
    <t xml:space="preserve">400$ </t>
  </si>
  <si>
    <t>Christian Sarabia</t>
  </si>
  <si>
    <t>No asistio mas ya que tiene mejor oferta salarial</t>
  </si>
  <si>
    <t>Deiker Vargas</t>
  </si>
  <si>
    <t>310$</t>
  </si>
  <si>
    <t>Rodrigo Monsalve</t>
  </si>
  <si>
    <t>Brayan Cano</t>
  </si>
  <si>
    <t>Yosmay Zerpa</t>
  </si>
  <si>
    <t>510$</t>
  </si>
  <si>
    <t>Aspiración salarial muy elevada</t>
  </si>
  <si>
    <t>Kleiver Chavez</t>
  </si>
  <si>
    <t>Kleiver Chavez.jpeg</t>
  </si>
  <si>
    <t>300$ - 400$</t>
  </si>
  <si>
    <t>No Disponible</t>
  </si>
  <si>
    <t>Brian Zavala</t>
  </si>
  <si>
    <t>Deixon Villanueva</t>
  </si>
  <si>
    <t>400$ + propinas</t>
  </si>
  <si>
    <t>Aneidy Navas</t>
  </si>
  <si>
    <t>Aura Ortega</t>
  </si>
  <si>
    <t>Maiker Diaz</t>
  </si>
  <si>
    <t xml:space="preserve">500$ - 600$ </t>
  </si>
  <si>
    <t>Moisee Jimenez</t>
  </si>
  <si>
    <t>330$</t>
  </si>
  <si>
    <t>Yaigle Bello</t>
  </si>
  <si>
    <t>Abraham Silva</t>
  </si>
  <si>
    <t xml:space="preserve">800$ - 920$ </t>
  </si>
  <si>
    <t>Mauricio Acosta</t>
  </si>
  <si>
    <t>Gabriela Peralta</t>
  </si>
  <si>
    <t>Eventual</t>
  </si>
  <si>
    <t>Luis Hernandez</t>
  </si>
  <si>
    <t>Enyerlver Rondon</t>
  </si>
  <si>
    <t>Jimmy Hernandez</t>
  </si>
  <si>
    <t>Yessica Molinares</t>
  </si>
  <si>
    <t>Winderlis Lamas</t>
  </si>
  <si>
    <t>Tiene disposicion unicamente en horarios matutinos</t>
  </si>
  <si>
    <t>Keyber Palacios</t>
  </si>
  <si>
    <t>Cristian Moreno</t>
  </si>
  <si>
    <t>Aspiraciones muy altas</t>
  </si>
  <si>
    <t>Jeremy Fernandez</t>
  </si>
  <si>
    <t>Tiene mas experiencia como suhero</t>
  </si>
  <si>
    <t>Eris Nieto</t>
  </si>
  <si>
    <t>Eventual. Temas de edad</t>
  </si>
  <si>
    <t>Lenis Martinez</t>
  </si>
  <si>
    <t>320$ - 350$</t>
  </si>
  <si>
    <t>Eliezer Posada</t>
  </si>
  <si>
    <t>140$ - 180$</t>
  </si>
  <si>
    <t>Juana Martinez</t>
  </si>
  <si>
    <t>No paso prueba tecnica</t>
  </si>
  <si>
    <t>Alexander Bencomo</t>
  </si>
  <si>
    <t>ALoha Escobar</t>
  </si>
  <si>
    <t>Wilmaris Colmenarez</t>
  </si>
  <si>
    <t>Endimar ROjas</t>
  </si>
  <si>
    <t>230$</t>
  </si>
  <si>
    <t>Johana Duque</t>
  </si>
  <si>
    <t>Joshua Hernandez</t>
  </si>
  <si>
    <t>Luis Espinoza</t>
  </si>
  <si>
    <t>440$</t>
  </si>
  <si>
    <t>Isaac Mendoza</t>
  </si>
  <si>
    <t>Yulfreidi Salas</t>
  </si>
  <si>
    <t>Anderson Aranguibel</t>
  </si>
  <si>
    <t>Elier Ramos</t>
  </si>
  <si>
    <t>Kimberly Llamoza</t>
  </si>
  <si>
    <t>240$ - 250$</t>
  </si>
  <si>
    <t>Mariangel Perez</t>
  </si>
  <si>
    <t>Freinyer Morales</t>
  </si>
  <si>
    <t>Jesus Herrera</t>
  </si>
  <si>
    <t>Natalia Baez</t>
  </si>
  <si>
    <t>Elihender Olivares</t>
  </si>
  <si>
    <t>150$ - 200$</t>
  </si>
  <si>
    <t>Jesus Blanco</t>
  </si>
  <si>
    <t>Ivan Pirela</t>
  </si>
  <si>
    <t>Deivy ROjas</t>
  </si>
  <si>
    <t>Jorge Tauroni</t>
  </si>
  <si>
    <t>Juan Flores</t>
  </si>
  <si>
    <t>Keyla Rodriguez</t>
  </si>
  <si>
    <t>Nicol Rosal</t>
  </si>
  <si>
    <t>Lucas Breto</t>
  </si>
  <si>
    <t>20$</t>
  </si>
  <si>
    <t>Evaluacion Glenn</t>
  </si>
  <si>
    <t>Claribel Zambrano</t>
  </si>
  <si>
    <t>Quintero, MF</t>
  </si>
  <si>
    <t>Aaron Graterol</t>
  </si>
  <si>
    <t>200$ - 240$</t>
  </si>
  <si>
    <t>Grecia Garcia</t>
  </si>
  <si>
    <t>Veruska Mata</t>
  </si>
  <si>
    <t>Johan Chapellin</t>
  </si>
  <si>
    <t>100$</t>
  </si>
  <si>
    <t>David Sanchez</t>
  </si>
  <si>
    <t>no tiene tanta experiencia como menciona</t>
  </si>
  <si>
    <t>Josue Zerpa</t>
  </si>
  <si>
    <t>Jorge Castillo</t>
  </si>
  <si>
    <t>Yohenmid Yanez</t>
  </si>
  <si>
    <t>no cumple con el perfil</t>
  </si>
  <si>
    <t>Victor Velasquez</t>
  </si>
  <si>
    <t>no cumple el perfil (actitud)</t>
  </si>
  <si>
    <t>Melannie Machado</t>
  </si>
  <si>
    <t>Jose Hurtado</t>
  </si>
  <si>
    <t>no cumple el perfil (experiencia en el area)</t>
  </si>
  <si>
    <t>Wilmer Reyes</t>
  </si>
  <si>
    <t>Jurihelis SIlva</t>
  </si>
  <si>
    <t>Aida Correa</t>
  </si>
  <si>
    <t>tiene 72 anos</t>
  </si>
  <si>
    <t>Shirley Rojas</t>
  </si>
  <si>
    <t>su perfil es netamente del area de seguridad</t>
  </si>
  <si>
    <t>Emily Ramirez</t>
  </si>
  <si>
    <t>Pablo Cabrales</t>
  </si>
  <si>
    <t>Tito Pineda</t>
  </si>
  <si>
    <t>400$ (negociable)</t>
  </si>
  <si>
    <t>Abraham Arnal</t>
  </si>
  <si>
    <t>Abraham Arnal.jpeg</t>
  </si>
  <si>
    <t>En prueba técnica / Ofertado Banda 4</t>
  </si>
  <si>
    <t>Victor Riera</t>
  </si>
  <si>
    <t>500$ minimoi</t>
  </si>
  <si>
    <t>solo conversa que es famoso, conflictivo, en sus experiencias se ha retirado porque indica que le tienen envidia</t>
  </si>
  <si>
    <t>Maikel Vallenilla</t>
  </si>
  <si>
    <t>200$ + propinas</t>
  </si>
  <si>
    <t>Richard Colmenares</t>
  </si>
  <si>
    <t>no cumple el perfil (edad)</t>
  </si>
  <si>
    <t>Kevin Urrieta</t>
  </si>
  <si>
    <t>Frank Parada</t>
  </si>
  <si>
    <t>Ernesto Kratc</t>
  </si>
  <si>
    <t>Isaac Naranjo</t>
  </si>
  <si>
    <t>Deyson Ortiz</t>
  </si>
  <si>
    <t>420$</t>
  </si>
  <si>
    <t>Kleyder Garcia</t>
  </si>
  <si>
    <t>CV Kleyder Jhosue Garcia</t>
  </si>
  <si>
    <t>475$ + propinas</t>
  </si>
  <si>
    <t>Anthony Urbina</t>
  </si>
  <si>
    <t>Andreina Angiolilli</t>
  </si>
  <si>
    <t>Carlos Madriz</t>
  </si>
  <si>
    <t>Carlos Madriz.jpeg</t>
  </si>
  <si>
    <t>Niscari Teran</t>
  </si>
  <si>
    <t>a conversar</t>
  </si>
  <si>
    <t>Jean Lopez</t>
  </si>
  <si>
    <t>Gilberto HErnandez</t>
  </si>
  <si>
    <t>vive en Fte Tiuna, no tiene forma de trasladarse</t>
  </si>
  <si>
    <t>Camila Zambrano</t>
  </si>
  <si>
    <t>Stephany GOnzalez</t>
  </si>
  <si>
    <t>Pedro Gonzalez</t>
  </si>
  <si>
    <t>Jonathan Monroy</t>
  </si>
  <si>
    <t>Gabriel Guerra</t>
  </si>
  <si>
    <t>Yorbis Paez</t>
  </si>
  <si>
    <t>Yorbis Paez.jpeg</t>
  </si>
  <si>
    <t>Maglenys Navarro</t>
  </si>
  <si>
    <t>Aiverson Blanco</t>
  </si>
  <si>
    <t>Jordi Perez</t>
  </si>
  <si>
    <t>Sandra MArtinez</t>
  </si>
  <si>
    <t>Ulises Tapia</t>
  </si>
  <si>
    <t>Ana Flores</t>
  </si>
  <si>
    <t>Thais Valenzuela</t>
  </si>
  <si>
    <t>Jhonny Morales</t>
  </si>
  <si>
    <t>Gabriel  Beroes</t>
  </si>
  <si>
    <t>Javier Diaz</t>
  </si>
  <si>
    <t>Estela Vargas</t>
  </si>
  <si>
    <t>Sergio Chirinos</t>
  </si>
  <si>
    <t>no cumple con el perfil, no cuenta con experiencioa</t>
  </si>
  <si>
    <t>Francheska Castillo</t>
  </si>
  <si>
    <t>Mishelle Medina</t>
  </si>
  <si>
    <t>persona muy introvertida, le cuesta establecer relaciones</t>
  </si>
  <si>
    <t>Giovanna Herrera</t>
  </si>
  <si>
    <t>550$</t>
  </si>
  <si>
    <t>Gree</t>
  </si>
  <si>
    <t>800$ (abierta)</t>
  </si>
  <si>
    <t>Sus aspiraciones son alta, hay que verificar su trabajo.</t>
  </si>
  <si>
    <t>Yoli Figuera</t>
  </si>
  <si>
    <t>cuenta con poca experiencia, tiene mas per</t>
  </si>
  <si>
    <t>Paola Marquez</t>
  </si>
  <si>
    <t>perfil muy junior para lo requerido</t>
  </si>
  <si>
    <t>Elena Ibarreto</t>
  </si>
  <si>
    <t>800$ - 1000$</t>
  </si>
  <si>
    <t>Aspiraciones muy por encima, no ha llevado RRSS ni requiere apoyo en la grabacion de contenido.</t>
  </si>
  <si>
    <t>Sarahi Marin</t>
  </si>
  <si>
    <t>Gilberth Hernandez</t>
  </si>
  <si>
    <t>Simon Garcia</t>
  </si>
  <si>
    <t>base minimo 200$ + propinas</t>
  </si>
  <si>
    <t>Aspiraciones salariales altas, y temas de actitud</t>
  </si>
  <si>
    <t>Anibal Barreto</t>
  </si>
  <si>
    <t>Aspiraciones salariales muy altas</t>
  </si>
  <si>
    <t>Ledis Carrillo</t>
  </si>
  <si>
    <t>Genesis Ruiz</t>
  </si>
  <si>
    <t>Harold Vidal</t>
  </si>
  <si>
    <t>Karianny Pinto</t>
  </si>
  <si>
    <t>400$ - 700$</t>
  </si>
  <si>
    <t>minimo 450$</t>
  </si>
  <si>
    <t>Aspiraciones salariales altas, pero se puede conversar</t>
  </si>
  <si>
    <t>Julio Cesar Matheus Melo</t>
  </si>
  <si>
    <t>Anthony Anachury</t>
  </si>
  <si>
    <t>300-350</t>
  </si>
  <si>
    <t>Victoria Luna</t>
  </si>
  <si>
    <t>250-300</t>
  </si>
  <si>
    <t>Luis David Blanco</t>
  </si>
  <si>
    <t>Aprobado</t>
  </si>
  <si>
    <t>Día de prueba 18/03/2026</t>
  </si>
  <si>
    <t>Wuilanyi Mariana Cardozo Rojas</t>
  </si>
  <si>
    <t>Día de prueba el 19/03/2026</t>
  </si>
  <si>
    <t>Franklin Teheran</t>
  </si>
  <si>
    <t>Santiago Matheus</t>
  </si>
  <si>
    <t>Mariangel Tobia</t>
  </si>
  <si>
    <t>Jean Pool Castro</t>
  </si>
  <si>
    <t>Keyller Alfonzo De Sousa</t>
  </si>
  <si>
    <t xml:space="preserve">Ricardo Bastidas </t>
  </si>
  <si>
    <t>Jackson Rafael Ocanto</t>
  </si>
  <si>
    <t>Francisco Nieves</t>
  </si>
  <si>
    <t>200-250</t>
  </si>
  <si>
    <t>Tomas Urbaez</t>
  </si>
  <si>
    <t xml:space="preserve">Eric Esaul Sanabria </t>
  </si>
  <si>
    <t>Abraham Blanco</t>
  </si>
  <si>
    <t>Jonathan Alejandro Pulido</t>
  </si>
  <si>
    <t xml:space="preserve">Matheus </t>
  </si>
  <si>
    <t>Anthony Quiroz</t>
  </si>
  <si>
    <t>200-300</t>
  </si>
  <si>
    <t>Negociable</t>
  </si>
  <si>
    <t>JOHANDER JOSÉ MARTÍNEZ</t>
  </si>
  <si>
    <t>Dia de prueba 20/03/2026</t>
  </si>
  <si>
    <t>Aryuma Carmassi</t>
  </si>
  <si>
    <t>Rosmery Ramos</t>
  </si>
  <si>
    <t>Carlos Catarí</t>
  </si>
  <si>
    <t xml:space="preserve">Alejandro David Mendoza </t>
  </si>
  <si>
    <t>Gustavo Adolfo Moreno</t>
  </si>
  <si>
    <t>Briyis Briceño</t>
  </si>
  <si>
    <t xml:space="preserve">Briannys Rodriguez </t>
  </si>
  <si>
    <t>Erick Hernandez</t>
  </si>
  <si>
    <t>Carlos Javier Paredes</t>
  </si>
  <si>
    <t>Carlos Javier Paredes.jpeg</t>
  </si>
  <si>
    <t xml:space="preserve">Henry Lopez </t>
  </si>
  <si>
    <t>Henry Lopez.jpeg</t>
  </si>
  <si>
    <t>Para enviar con Emiliano</t>
  </si>
  <si>
    <t>Andriu Javier Siso Rosas</t>
  </si>
  <si>
    <t>Andriu Javier Siso Rosas.jpeg</t>
  </si>
  <si>
    <t>Yader Rondon.jpeg</t>
  </si>
  <si>
    <t xml:space="preserve">Richard Perez </t>
  </si>
  <si>
    <t>Richard Perez.jpeg</t>
  </si>
  <si>
    <t>Jose Manuel Yusti</t>
  </si>
  <si>
    <t>Jose Manuel Yusti.jpeg</t>
  </si>
  <si>
    <t>Gonzalez, F</t>
  </si>
  <si>
    <t xml:space="preserve">Alejandro Acosta </t>
  </si>
  <si>
    <t>Alejandro Acosta.jpeg</t>
  </si>
  <si>
    <t xml:space="preserve">Jesus Escalona </t>
  </si>
  <si>
    <t>Jesus Escalona.jpeg</t>
  </si>
  <si>
    <t>No acepto otro tragajo por el tiempo de espera</t>
  </si>
  <si>
    <t>Jadelith Alejandra Tovar Brown</t>
  </si>
  <si>
    <t>Jadelith Tovar.jpeg</t>
  </si>
  <si>
    <t>Busqueda de algo fijo</t>
  </si>
  <si>
    <t>Ariadna Parra</t>
  </si>
  <si>
    <t>Ariadna Selena Parra.jpeg</t>
  </si>
  <si>
    <t xml:space="preserve">Carlos Fernandez </t>
  </si>
  <si>
    <t>Carlos Fernandez.jpeg</t>
  </si>
  <si>
    <t xml:space="preserve">Robinson Andres Lagos </t>
  </si>
  <si>
    <t>Robinson Andres Lagos Aguilera.jpeg</t>
  </si>
  <si>
    <t>No acepto comenzo a trabajar en otro negocio</t>
  </si>
  <si>
    <t>Jose Alexander Colina</t>
  </si>
  <si>
    <t>Jose Alexander Colina.jpeg</t>
  </si>
  <si>
    <t>Glenn</t>
  </si>
  <si>
    <t>Prueba en BU1BLT asignado a BU15EP</t>
  </si>
  <si>
    <t>Geiner de Jesus Chiquillo</t>
  </si>
  <si>
    <t>Geiner de Jesus Chiqillo Colina.jpeg</t>
  </si>
  <si>
    <t>Oscar Enrique</t>
  </si>
  <si>
    <t>Oscar Montes.jpeg</t>
  </si>
  <si>
    <t>Jose Anibal Guanda</t>
  </si>
  <si>
    <t>Jose Anibal Guanda Teran.jpeg</t>
  </si>
  <si>
    <t xml:space="preserve">Alberto Alfonso </t>
  </si>
  <si>
    <t>Alberto Montilla.jpeg</t>
  </si>
  <si>
    <t xml:space="preserve">Gustavo Helias Martinez </t>
  </si>
  <si>
    <t>Gustavo Martinez.jpeg</t>
  </si>
  <si>
    <t xml:space="preserve">Carlos Javier Paredes </t>
  </si>
  <si>
    <t>Carlos Javier Paredes (2).jpeg</t>
  </si>
  <si>
    <t>Xabiel Espinoza</t>
  </si>
  <si>
    <t>Xabiel Oscar Espinoza.jpeg</t>
  </si>
  <si>
    <t>Yaicary Daniela Zambrano</t>
  </si>
  <si>
    <t>Yaicary Daniela Zambrano.jpeg</t>
  </si>
  <si>
    <t>estaba engripada y no mostró ningún tipo de interes</t>
  </si>
  <si>
    <t>Yarezka Perez</t>
  </si>
  <si>
    <t>Yarezka Perez.jpeg</t>
  </si>
  <si>
    <t xml:space="preserve">Joel Rosales </t>
  </si>
  <si>
    <t>CV Joel Rosales 2026 (1).pdf</t>
  </si>
  <si>
    <t xml:space="preserve">Nairobis Abreu </t>
  </si>
  <si>
    <t>El Hatillo</t>
  </si>
  <si>
    <t>Nairobis Abreu.jpeg</t>
  </si>
  <si>
    <t>indica en la zona del Este pq vive en los naranjos</t>
  </si>
  <si>
    <t>Contactada a espera de aceptacion de oferta</t>
  </si>
  <si>
    <t xml:space="preserve">Jose Luis Paz </t>
  </si>
  <si>
    <t>Jose Luis Paz.jpeg</t>
  </si>
  <si>
    <t>Diego Marchena</t>
  </si>
  <si>
    <t>currículum.pdf</t>
  </si>
  <si>
    <t>A convenir</t>
  </si>
  <si>
    <t xml:space="preserve">Stifany Gomez </t>
  </si>
  <si>
    <t>Stifany Gomez.jpeg</t>
  </si>
  <si>
    <t>no tenía experiencia</t>
  </si>
  <si>
    <t>llamarla para otra sede</t>
  </si>
  <si>
    <t>Carmen Perez</t>
  </si>
  <si>
    <t>Carmen Perez.jpeg</t>
  </si>
  <si>
    <t xml:space="preserve">Angel Zalazar </t>
  </si>
  <si>
    <t>Angel Salazar.jpg</t>
  </si>
  <si>
    <t>Aryann Dayanna Bolivar</t>
  </si>
  <si>
    <t>Aryann Dayanna Bolívar Cusnir</t>
  </si>
  <si>
    <t xml:space="preserve">Entrevista telefonica No acepta la propuesta por los horarios. Ella entrena para carreras  </t>
  </si>
  <si>
    <t>Emir Nava</t>
  </si>
  <si>
    <t>La Trinidad (Presenta prueba sem que viene)</t>
  </si>
  <si>
    <t>Emir Nava.jpeg</t>
  </si>
  <si>
    <t>Puede realizar la prueba la semana que viene</t>
  </si>
  <si>
    <t>Ivi Manrique</t>
  </si>
  <si>
    <t>Ivi Sandrin Manrique.jpeg</t>
  </si>
  <si>
    <t>Denicces Zea</t>
  </si>
  <si>
    <t>Kelly Fernandez</t>
  </si>
  <si>
    <t>Kelly Fernandez .jpeg</t>
  </si>
  <si>
    <t>Tentativa la prueba, porque trabajo solo en eventos</t>
  </si>
  <si>
    <t>Abraham Crespo</t>
  </si>
  <si>
    <t>Magallanes de catia</t>
  </si>
  <si>
    <t>Abraham Crespo.jpeg</t>
  </si>
  <si>
    <t>Eiberlin Serrano</t>
  </si>
  <si>
    <t>Eiberlin Serrano.jpeg</t>
  </si>
  <si>
    <t>No maneja XETUX</t>
  </si>
  <si>
    <t>Joissi Cuartas</t>
  </si>
  <si>
    <t>Petare</t>
  </si>
  <si>
    <t>Joissi Cuartas.jpeg</t>
  </si>
  <si>
    <t>Anfitriona Nivel Feria</t>
  </si>
  <si>
    <t>Jhoinner Salas</t>
  </si>
  <si>
    <t>Rodriguez, E.</t>
  </si>
  <si>
    <t>Reimer Pineda</t>
  </si>
  <si>
    <t>Reimer Pineda.jpeg</t>
  </si>
  <si>
    <t>300$ a 350$</t>
  </si>
  <si>
    <t>Freddyalberto Gonzalez</t>
  </si>
  <si>
    <t>Freddy Gonzalesz .jpeg</t>
  </si>
  <si>
    <t>Javier Vivas</t>
  </si>
  <si>
    <t>Danyelis Gonzalez</t>
  </si>
  <si>
    <t>CV DANYELIS GONZALEZ.pdf</t>
  </si>
  <si>
    <t>250$ a 300$</t>
  </si>
  <si>
    <t>Yordani José Lucena Perez</t>
  </si>
  <si>
    <t>Chacao</t>
  </si>
  <si>
    <t>Yordani Lucena.jpeg</t>
  </si>
  <si>
    <t>Jhoneiber Albarran</t>
  </si>
  <si>
    <t>Jhoneiber Albarran.jpeg</t>
  </si>
  <si>
    <t xml:space="preserve">4/10 en su desempeño como ayudante, está sede por el poco personal que tengo, necesito a una persona que de verdad tenga mayor tiempo en la cocina, porque como solo tengo dos personas por turno, se pierde mucho tiempo en la explicación de cortes, uso de cuchillo, en las labores del día. </t>
  </si>
  <si>
    <t>Daniela Rodriguez</t>
  </si>
  <si>
    <t>A Convenir</t>
  </si>
  <si>
    <t>No le sirve el horario por temas de estudio</t>
  </si>
  <si>
    <t>Franklin Salazar</t>
  </si>
  <si>
    <t>Franklin Salazar.jpeg</t>
  </si>
  <si>
    <t>En espera de apertura de vacante</t>
  </si>
  <si>
    <t>Aleyan Madriz</t>
  </si>
  <si>
    <t>La Urbina</t>
  </si>
  <si>
    <t>Supervisor Aleyan Madriz.jpeg</t>
  </si>
  <si>
    <t>Felipe Arturo Chaya Chaya</t>
  </si>
  <si>
    <t>Andres bello</t>
  </si>
  <si>
    <t>Felipe Chaya.jpeg</t>
  </si>
  <si>
    <t>Antony Peña</t>
  </si>
  <si>
    <t>Anthony Peña.jpeg</t>
  </si>
  <si>
    <t>Oriana Olivares</t>
  </si>
  <si>
    <t>La Pastora</t>
  </si>
  <si>
    <t>Oriana Olivarez.jpeg</t>
  </si>
  <si>
    <t>Cindy Dayana Echeverria</t>
  </si>
  <si>
    <t xml:space="preserve">Padros del Este </t>
  </si>
  <si>
    <t>Cindy Echevarria.jpeg</t>
  </si>
  <si>
    <t>$300</t>
  </si>
  <si>
    <t xml:space="preserve">Genesis Medina </t>
  </si>
  <si>
    <t xml:space="preserve">Piedra Azul, Baruta </t>
  </si>
  <si>
    <t>Genesis Jose Medina.jpeg</t>
  </si>
  <si>
    <t>$600</t>
  </si>
  <si>
    <t>Mejor oferta laboral</t>
  </si>
  <si>
    <t xml:space="preserve">Daniela Rodriguez </t>
  </si>
  <si>
    <t xml:space="preserve">Propatria </t>
  </si>
  <si>
    <t>Daniela Rodriguez.jpeg</t>
  </si>
  <si>
    <t>$260</t>
  </si>
  <si>
    <t xml:space="preserve">Javier Armando Vivas </t>
  </si>
  <si>
    <t>Javier Armando Vivas.jpeg</t>
  </si>
  <si>
    <t>$350</t>
  </si>
  <si>
    <t>Pablo Luis Perez Solar</t>
  </si>
  <si>
    <t>Cocinero Pablo Perez.jpeg</t>
  </si>
  <si>
    <t>Glenn Caraballo</t>
  </si>
  <si>
    <t>Puede encajar en las unidades de negocio Annkara o La gringa, comenzando como Ayudante F-1.</t>
  </si>
  <si>
    <t>Ellyen Skinner</t>
  </si>
  <si>
    <t>Palo Verde</t>
  </si>
  <si>
    <t>Ellyen Skinner.jpeg</t>
  </si>
  <si>
    <t>No acepto oferta</t>
  </si>
  <si>
    <t>No tiene expericiencia, bachiler, joven de 18 años, le gustaria iniciar en el mundo de cocina</t>
  </si>
  <si>
    <t>Ashley Keisha Gallardo Castro</t>
  </si>
  <si>
    <t>Petare - Guarenas Km 15 Parr Caucaguita</t>
  </si>
  <si>
    <t>Ashley GallardoA.jpeg</t>
  </si>
  <si>
    <t>$250</t>
  </si>
  <si>
    <t>Yender Jose Romero Farias</t>
  </si>
  <si>
    <t>Petare-Carpintero</t>
  </si>
  <si>
    <t>Yender Romero.jpeg</t>
  </si>
  <si>
    <t>Jhon Jairo Rojas Millan</t>
  </si>
  <si>
    <t>Jhon Jairo Rojas .jpeg</t>
  </si>
  <si>
    <t>Franny Nazareth Machado Jaspe</t>
  </si>
  <si>
    <t>23 de Enero</t>
  </si>
  <si>
    <t>Franny Machado .jpeg</t>
  </si>
  <si>
    <t>Leydy Carol Moreno Gutierrez</t>
  </si>
  <si>
    <t>Junquito / Se queda en Carapita</t>
  </si>
  <si>
    <t>Leydy Carol Moreno Cajer.jpeg</t>
  </si>
  <si>
    <t xml:space="preserve">Mario Guillen </t>
  </si>
  <si>
    <t xml:space="preserve">La Vega </t>
  </si>
  <si>
    <t>Mario Gillen .jpeg</t>
  </si>
  <si>
    <t xml:space="preserve">Gianmar Colina </t>
  </si>
  <si>
    <t xml:space="preserve">23 de Enero </t>
  </si>
  <si>
    <t>Gianmar Colina.jpeg</t>
  </si>
  <si>
    <t>Wilmer David Romero Perez</t>
  </si>
  <si>
    <t>Baruta - Santa Fe</t>
  </si>
  <si>
    <t>Wilmer David Romero.jpeg</t>
  </si>
  <si>
    <t xml:space="preserve">Marian Garcia </t>
  </si>
  <si>
    <t xml:space="preserve">Los Jardenes del Valle </t>
  </si>
  <si>
    <t>Marian Garcia .jpeg</t>
  </si>
  <si>
    <t>$200</t>
  </si>
  <si>
    <t>Gabriel Manuel Ramirez</t>
  </si>
  <si>
    <t>Petare - Palo Verde</t>
  </si>
  <si>
    <t>Supervisor Gabriel Ramirez.jpeg</t>
  </si>
  <si>
    <t>Darwin Alexander Martinez</t>
  </si>
  <si>
    <t>Palo verde</t>
  </si>
  <si>
    <t>Darwin Martinez.jpeg</t>
  </si>
  <si>
    <t>Jorgelis Crespo</t>
  </si>
  <si>
    <t>Petare - Barrio Bolivar</t>
  </si>
  <si>
    <t>Jorgelis Crespo.jpeg</t>
  </si>
  <si>
    <t>17 diarios</t>
  </si>
  <si>
    <t>Jessika Damaris Agelviz Falcon</t>
  </si>
  <si>
    <t>Petare - San Blas</t>
  </si>
  <si>
    <t>Jessika Falcon .jpeg</t>
  </si>
  <si>
    <t>Sueldo Minimo</t>
  </si>
  <si>
    <t>Richard Antonio Hernandez Medina</t>
  </si>
  <si>
    <t>Av. Fuerzas Armadas</t>
  </si>
  <si>
    <t>Richard Hernandez .jpeg</t>
  </si>
  <si>
    <t>Eirilyng Paola Pacheco Torres</t>
  </si>
  <si>
    <t>Av. Baralt</t>
  </si>
  <si>
    <t>Eiriling Pacheco.jpeg</t>
  </si>
  <si>
    <t>Nikole Chauran</t>
  </si>
  <si>
    <t>San agustin Sur</t>
  </si>
  <si>
    <t>Jafran Jose Pinero Delgado</t>
  </si>
  <si>
    <t>Antimano</t>
  </si>
  <si>
    <t>Jose Piñero - Mesonero.pdf</t>
  </si>
  <si>
    <t>Jose Gregoria Fragozo Villamizar</t>
  </si>
  <si>
    <t>Douglas Cabrera.jpeg</t>
  </si>
  <si>
    <t>$1000</t>
  </si>
  <si>
    <t xml:space="preserve">Enyer Mendez </t>
  </si>
  <si>
    <t xml:space="preserve">San Bernardino </t>
  </si>
  <si>
    <t>Enyer Mendez .jpeg</t>
  </si>
  <si>
    <t xml:space="preserve">Breiner Navas </t>
  </si>
  <si>
    <t>Breiner David Navas .jpeg</t>
  </si>
  <si>
    <t xml:space="preserve">Yeny Martinez </t>
  </si>
  <si>
    <t>Yeny Martinez.jpeg</t>
  </si>
  <si>
    <t xml:space="preserve">Daniela Alejandra Rivas </t>
  </si>
  <si>
    <t>Daniela Alejandra Rivas .jpeg</t>
  </si>
  <si>
    <t>Anderson Andres Aranguibel Castellanos</t>
  </si>
  <si>
    <t>Av. Victoria</t>
  </si>
  <si>
    <t>Barbara Acosta</t>
  </si>
  <si>
    <t>,</t>
  </si>
  <si>
    <t>Barbara Acosta.jpeg</t>
  </si>
  <si>
    <t>Albis Yamilet Rivas</t>
  </si>
  <si>
    <t>Albis Rivas.jpeg</t>
  </si>
  <si>
    <t>Diego Andres Ferreira</t>
  </si>
  <si>
    <t>San Agustin del Norte</t>
  </si>
  <si>
    <t>Diego Ferreira.jpeg</t>
  </si>
  <si>
    <t>$280</t>
  </si>
  <si>
    <t>Yerlibet Castro</t>
  </si>
  <si>
    <t>El hatillo</t>
  </si>
  <si>
    <t>Yerlibet Castro.jpeg</t>
  </si>
  <si>
    <t>No acepto</t>
  </si>
  <si>
    <t>Luis Aguilar</t>
  </si>
  <si>
    <t>La California</t>
  </si>
  <si>
    <t>Luis Aguilar .jpeg</t>
  </si>
  <si>
    <t>$200-280</t>
  </si>
  <si>
    <t>Randal Perez</t>
  </si>
  <si>
    <t>Plaza Venezuela</t>
  </si>
  <si>
    <t>Randal Perez.jpeg</t>
  </si>
  <si>
    <t>No asistio por un problema personal</t>
  </si>
  <si>
    <t>Reynaldi Subero</t>
  </si>
  <si>
    <t>Reinaldi Subero .jpeg</t>
  </si>
  <si>
    <t>Julimar Gabriela Matos Carrillo</t>
  </si>
  <si>
    <t>El valle</t>
  </si>
  <si>
    <t>Julimar Matos.jpeg</t>
  </si>
  <si>
    <t>Jose Gregorio Berrios Briceno</t>
  </si>
  <si>
    <t>La vega</t>
  </si>
  <si>
    <t>Jose GregoriomBerrios.jpeg</t>
  </si>
  <si>
    <t>Maria Davianny Orta Rodriguez</t>
  </si>
  <si>
    <t>Palos Grandes</t>
  </si>
  <si>
    <t>CV Maria Danianny Orta.jpeg</t>
  </si>
  <si>
    <t>Eimy Dayana Barreto Farias</t>
  </si>
  <si>
    <t>Eimy Barreto.jpeg</t>
  </si>
  <si>
    <t>Kleiber Carta</t>
  </si>
  <si>
    <t>Catia Lomas De Urdaneta</t>
  </si>
  <si>
    <t>Kleiber Carta.jpeg</t>
  </si>
  <si>
    <t>Wuilquer Kaleth Garcia Rodriguez</t>
  </si>
  <si>
    <t>Petare - Jose Felix</t>
  </si>
  <si>
    <t>Wuiquer Garcia.jpeg</t>
  </si>
  <si>
    <t>Aaron Alejandro Alvarado Diaz</t>
  </si>
  <si>
    <t>El Valle</t>
  </si>
  <si>
    <t>Aron Alvarado.jpeg</t>
  </si>
  <si>
    <t>En espera por notificar ingreso a Melanny</t>
  </si>
  <si>
    <t>Elio Jean Pierre Casique Orozco</t>
  </si>
  <si>
    <t>San Bernardino</t>
  </si>
  <si>
    <t>Elio Pierre.jpeg</t>
  </si>
  <si>
    <t>Samuel Hernandez</t>
  </si>
  <si>
    <t>Samuel Hernandez.jpeg</t>
  </si>
  <si>
    <t>Darien Mendoza</t>
  </si>
  <si>
    <t>Petare - Maca</t>
  </si>
  <si>
    <t>Darien Mendoza.jpeg</t>
  </si>
  <si>
    <t>Jeremias Jonas Jaspe Jaspe</t>
  </si>
  <si>
    <t>Jeremias Jaspe.jpeg</t>
  </si>
  <si>
    <t xml:space="preserve">Roxanna Morey </t>
  </si>
  <si>
    <t>Municipio Libertador Av Sucre</t>
  </si>
  <si>
    <t>Roxanna Morey.jpeg</t>
  </si>
  <si>
    <t>$250-$300</t>
  </si>
  <si>
    <t>Wladimir Enrique Teran</t>
  </si>
  <si>
    <t>Colinas de Santa Monica</t>
  </si>
  <si>
    <t>Wladimir Teran.jpeg</t>
  </si>
  <si>
    <t>No tiene experiencia en ninguna gastronomia</t>
  </si>
  <si>
    <t xml:space="preserve">Jose Alejandro Parabacuto </t>
  </si>
  <si>
    <t xml:space="preserve">San Martin </t>
  </si>
  <si>
    <t>Jose Parabacuto .jpeg</t>
  </si>
  <si>
    <t>$340</t>
  </si>
  <si>
    <t>$400</t>
  </si>
  <si>
    <t xml:space="preserve">Haydee Tovar </t>
  </si>
  <si>
    <t>Aidee Tovar.jpeg</t>
  </si>
  <si>
    <t>$3000-$400</t>
  </si>
  <si>
    <t xml:space="preserve">Jeanmary Colmenarez </t>
  </si>
  <si>
    <t xml:space="preserve">Palo Verde </t>
  </si>
  <si>
    <t>Jeanmary Colmenarez .jpeg</t>
  </si>
  <si>
    <t>Fernando Abraham Laguado</t>
  </si>
  <si>
    <t>Popatria</t>
  </si>
  <si>
    <t>Fernando Abraham Laguado.jpeg</t>
  </si>
  <si>
    <t>Argenis Rivera</t>
  </si>
  <si>
    <t>Argenis Rivera.jpeg</t>
  </si>
  <si>
    <t xml:space="preserve">Erik Gonzalez </t>
  </si>
  <si>
    <t xml:space="preserve">Baruta </t>
  </si>
  <si>
    <t>Erik Gonzalez .jpeg</t>
  </si>
  <si>
    <t>$1500</t>
  </si>
  <si>
    <t>Sara  Mantilla</t>
  </si>
  <si>
    <t xml:space="preserve">Santa Teresa </t>
  </si>
  <si>
    <t>Sara Mantilla.jpeg</t>
  </si>
  <si>
    <t xml:space="preserve">Daymair Hernandez </t>
  </si>
  <si>
    <t xml:space="preserve">La Candelaria </t>
  </si>
  <si>
    <t>Daymir Hernandez.jpeg</t>
  </si>
  <si>
    <t>$100</t>
  </si>
  <si>
    <t>Buena Presencia. Solo Anfitriona Salon</t>
  </si>
  <si>
    <t xml:space="preserve">Genesis Camero </t>
  </si>
  <si>
    <t>Asesora de ventas</t>
  </si>
  <si>
    <t xml:space="preserve">Av. Sucre </t>
  </si>
  <si>
    <t>Genesis Camero.jpeg</t>
  </si>
  <si>
    <t xml:space="preserve">Omar Mujica Diaz </t>
  </si>
  <si>
    <t>Omar Mujica Diaz .jpeg</t>
  </si>
  <si>
    <t xml:space="preserve">Arelys Fernanda Morales </t>
  </si>
  <si>
    <t xml:space="preserve">Analista y Cuentas por Pagar </t>
  </si>
  <si>
    <t xml:space="preserve">Baruta - Los Picapiedra </t>
  </si>
  <si>
    <t>Arelys Fernanda Morales S..pdf</t>
  </si>
  <si>
    <t>$380</t>
  </si>
  <si>
    <t>Yoleida Emilia Baez</t>
  </si>
  <si>
    <t xml:space="preserve">Baruta, Barrio Ojo de Agua </t>
  </si>
  <si>
    <t>Yoleida Emilia Baez .jpeg</t>
  </si>
  <si>
    <t xml:space="preserve">$300 </t>
  </si>
  <si>
    <t xml:space="preserve">Rainer Gutierrez </t>
  </si>
  <si>
    <t xml:space="preserve">Fuerte Tiuna Alcabala 3, coche </t>
  </si>
  <si>
    <t>Rainer Gutierrez.jpeg 10/04/2026</t>
  </si>
  <si>
    <t xml:space="preserve">Victor Enrique Ibarra Morales </t>
  </si>
  <si>
    <t xml:space="preserve">Santa Fe - Baruta </t>
  </si>
  <si>
    <t>Victor Enrique Morales .jpeg</t>
  </si>
  <si>
    <t>$160/$200</t>
  </si>
  <si>
    <t xml:space="preserve">Michael Jose Fermin Rivas </t>
  </si>
  <si>
    <t>Los Palos Grandes</t>
  </si>
  <si>
    <t>Michael Jose Rivas.jpeg</t>
  </si>
  <si>
    <t xml:space="preserve">Alan Stevens Barreto </t>
  </si>
  <si>
    <t xml:space="preserve">Las Minas de Baruta </t>
  </si>
  <si>
    <t>Alan Stevens Barreto.jpeg</t>
  </si>
  <si>
    <t>Carlos Daniel Hernandez Brito</t>
  </si>
  <si>
    <t xml:space="preserve">Catia </t>
  </si>
  <si>
    <t>Richard Jose Graterol</t>
  </si>
  <si>
    <t>Baruta</t>
  </si>
  <si>
    <t>Alexander Jesus Villasmil Aguilar</t>
  </si>
  <si>
    <t>Brian Alejandro Laya Morette</t>
  </si>
  <si>
    <t>Eiverson Elietner Matute Vaquez</t>
  </si>
  <si>
    <t>Av. Intercomunal el valle</t>
  </si>
  <si>
    <t>4/16/2026</t>
  </si>
  <si>
    <t>Meryileth Rincon</t>
  </si>
  <si>
    <t>200$ a 250$</t>
  </si>
  <si>
    <t>Elvin Javier Perdomo Tona</t>
  </si>
  <si>
    <t>400$ a 500$</t>
  </si>
  <si>
    <t>Anthony Moises Carrillo Sanchez</t>
  </si>
  <si>
    <t>Leonela Diaz</t>
  </si>
  <si>
    <t>Yilda Josefina Baptista Martinez</t>
  </si>
  <si>
    <t>Daniel Eduardo Urango Esquivel</t>
  </si>
  <si>
    <t>Adriana Sanchez</t>
  </si>
  <si>
    <t>Antimano Santa Ana</t>
  </si>
  <si>
    <t>Rosallba Torres</t>
  </si>
  <si>
    <t>Roberto Carlos Doffiny Saez</t>
  </si>
  <si>
    <t>Gleidis Mata Madriz</t>
  </si>
  <si>
    <t>Richard Graterol</t>
  </si>
  <si>
    <t>4/15/2026</t>
  </si>
  <si>
    <t>Ariadny Rivas</t>
  </si>
  <si>
    <t>Maria de los Angeles Contreras Noya</t>
  </si>
  <si>
    <t>Los Samanes</t>
  </si>
  <si>
    <t>No Asistio</t>
  </si>
  <si>
    <t>Angely Wilmary Anaya Torres</t>
  </si>
  <si>
    <t>Descartada en prueba tecnica</t>
  </si>
  <si>
    <t>Wranyelis Anyelit Sifuentes</t>
  </si>
  <si>
    <t>Las Adjunta</t>
  </si>
  <si>
    <t>4/17/2026</t>
  </si>
  <si>
    <t>Nazareth Blanco</t>
  </si>
  <si>
    <t>Jose Felix Rivas</t>
  </si>
  <si>
    <t>Danis Daniel Contreras Roa</t>
  </si>
  <si>
    <t>Ruiz Pineda</t>
  </si>
  <si>
    <t>Zulay Coromoto Pena Rodriguez</t>
  </si>
  <si>
    <t>Barrio Tinajitas</t>
  </si>
  <si>
    <t>Dilmary Barradas Castillo</t>
  </si>
  <si>
    <t>El limon</t>
  </si>
  <si>
    <t>Haidelyne Yasire Pcheco Guilarte</t>
  </si>
  <si>
    <t>23 de enero</t>
  </si>
  <si>
    <t>Rosa Angela Luenga Lobo</t>
  </si>
  <si>
    <t>Propatria</t>
  </si>
  <si>
    <t>Barbara Odreman</t>
  </si>
  <si>
    <t>Guarenas</t>
  </si>
  <si>
    <t>Miguel Angel Morales Hernandez</t>
  </si>
  <si>
    <t>Los Teques</t>
  </si>
  <si>
    <t>Dany Alberto Mendoza Rios</t>
  </si>
  <si>
    <t>Juan Carlos Jimenez</t>
  </si>
  <si>
    <t>La Vega</t>
  </si>
  <si>
    <t>Jhonny Krikorean</t>
  </si>
  <si>
    <t>San Jose</t>
  </si>
  <si>
    <t>Yulis Maria Lopez</t>
  </si>
  <si>
    <t>La Bandera</t>
  </si>
  <si>
    <t>Elizabeth Santo</t>
  </si>
  <si>
    <t>Catia</t>
  </si>
  <si>
    <t>Jose Agustin Aguilar Montenegro</t>
  </si>
  <si>
    <t>Ashley Zumoza</t>
  </si>
  <si>
    <t>Isnardo Parra</t>
  </si>
  <si>
    <t>La candelaria</t>
  </si>
  <si>
    <t>Jhan Mota</t>
  </si>
  <si>
    <t>San Martin</t>
  </si>
  <si>
    <t>Alvaro Jose Duran Marquez</t>
  </si>
  <si>
    <t>Eliuska Arias</t>
  </si>
  <si>
    <t>Los Jardines Del Valle</t>
  </si>
  <si>
    <t>Giovanny Mora</t>
  </si>
  <si>
    <t>Las Minas De Baruta</t>
  </si>
  <si>
    <t>Cesar Coronel</t>
  </si>
  <si>
    <t>Los palos grandes</t>
  </si>
  <si>
    <t>Marelis Johana Hernandez</t>
  </si>
  <si>
    <t>Andres Bello</t>
  </si>
  <si>
    <t>Marelis Hernandez</t>
  </si>
  <si>
    <t>CV Elvin Javier Perdomo</t>
  </si>
  <si>
    <t>Diana Robles</t>
  </si>
  <si>
    <t>Oscar David Perdomo Rivas</t>
  </si>
  <si>
    <t>chacao</t>
  </si>
  <si>
    <t>Richard Enrique Cova Sanchez</t>
  </si>
  <si>
    <t>Petare-Barrio</t>
  </si>
  <si>
    <t>Richard Cova</t>
  </si>
  <si>
    <t>Lenin Rafael Garcia Arrieche</t>
  </si>
  <si>
    <t>Lidice</t>
  </si>
  <si>
    <t>Dennys Rafael Urbina Urbina</t>
  </si>
  <si>
    <t>Dennys Urbina</t>
  </si>
  <si>
    <t>Genesis Graterol</t>
  </si>
  <si>
    <t>Franklin Bayona</t>
  </si>
  <si>
    <t>Lebrum-Petare</t>
  </si>
  <si>
    <t>Mauricio Alejandro Brito Calderon</t>
  </si>
  <si>
    <t>D'Lorean Mota</t>
  </si>
  <si>
    <t>Jonathan Jose Sanchez Abreu</t>
  </si>
  <si>
    <t>Av. El Cuartel</t>
  </si>
  <si>
    <t>Jonathan Sanchez</t>
  </si>
  <si>
    <t>Janneth Gutierrez</t>
  </si>
  <si>
    <t>Yeremy Adrian Rodriguez Ramirez</t>
  </si>
  <si>
    <t>Yeremy Rodriguez</t>
  </si>
  <si>
    <t>Oscar Javier Mogollon Aguirre</t>
  </si>
  <si>
    <t>Oscar Mogollon</t>
  </si>
  <si>
    <t>Yusmarys Cordova</t>
  </si>
  <si>
    <t>Keila Geraldine Gonzalez</t>
  </si>
  <si>
    <t>Los frailes</t>
  </si>
  <si>
    <t>Keila Gonzalez</t>
  </si>
  <si>
    <t>Joselyn del Carmen Rodriguez Becerra</t>
  </si>
  <si>
    <t>La silsa</t>
  </si>
  <si>
    <t>Joselyn Rodriguez</t>
  </si>
  <si>
    <t>Oriana Marquez</t>
  </si>
  <si>
    <t>Oriana Marquez.jpeg</t>
  </si>
  <si>
    <t>Carolay del Milagro Medina Nunez</t>
  </si>
  <si>
    <t>Carolay Medina.jpeg</t>
  </si>
  <si>
    <t>Richard Alejandro Ramirez Acevedo</t>
  </si>
  <si>
    <t>Richard Ramirez.jpeg</t>
  </si>
  <si>
    <t>Ruben Dario Simancas Pacheco</t>
  </si>
  <si>
    <t>Ruben Simancas.jpeg</t>
  </si>
  <si>
    <t>Elizabeth Medolphe</t>
  </si>
  <si>
    <t>Av Andres Bello</t>
  </si>
  <si>
    <t>Elizabeth Medolphe.jpeg</t>
  </si>
  <si>
    <t>Erwin Lizcano Dondisa</t>
  </si>
  <si>
    <t>El retiro, parroq altagracia</t>
  </si>
  <si>
    <t>Erwin Lizcano.jpeg</t>
  </si>
  <si>
    <t>Francisco Javier Maricuto Rengifo</t>
  </si>
  <si>
    <t>Francisco Maricuto.jpeg</t>
  </si>
  <si>
    <t>Belgica Teran</t>
  </si>
  <si>
    <t>Belgica Teran.jpeg</t>
  </si>
  <si>
    <t>Juan Naveda</t>
  </si>
  <si>
    <t>Agua Salud</t>
  </si>
  <si>
    <t>Juan Naveda.jpeg</t>
  </si>
  <si>
    <t>Yilber Dorante</t>
  </si>
  <si>
    <t>Mamera</t>
  </si>
  <si>
    <t>Yilber Dorante.jpeg</t>
  </si>
  <si>
    <t>Jose Gregorio Camejo Flores</t>
  </si>
  <si>
    <t>Jose Gregorio Camejo.jpeg</t>
  </si>
  <si>
    <t>Yelfreson Gabriel Rios Silva</t>
  </si>
  <si>
    <t>La hoyada</t>
  </si>
  <si>
    <t>Yelfrenson Rios.jpeg</t>
  </si>
  <si>
    <t>Anae Teresa Vargas Gonzalez</t>
  </si>
  <si>
    <t>Anae Vargas.jpeg</t>
  </si>
  <si>
    <t>Leonardo David Girot Leal</t>
  </si>
  <si>
    <t>Gramoven</t>
  </si>
  <si>
    <t>Leonardo Girot.jpeg</t>
  </si>
  <si>
    <t>Meudis Rios</t>
  </si>
  <si>
    <t>San Agustin del Sur</t>
  </si>
  <si>
    <t>Meudis Rios.jpeg</t>
  </si>
  <si>
    <t>Daniel Espinoza</t>
  </si>
  <si>
    <t>El Silencio</t>
  </si>
  <si>
    <t>Daniel Espinoza.jpeg</t>
  </si>
  <si>
    <t>Alfredo Carmelo Carrera Martinez</t>
  </si>
  <si>
    <t>Alfredo Carrera.jpeg</t>
  </si>
  <si>
    <t>Manuel Leandro Arteaga Morales</t>
  </si>
  <si>
    <t>Sector Mmume Abajo</t>
  </si>
  <si>
    <t>Manuel Arteaga.jpeg</t>
  </si>
  <si>
    <t>Dainer Suazo</t>
  </si>
  <si>
    <t>Dainer Suazo.jpeg</t>
  </si>
  <si>
    <t>Luis Alberto Polo Pachecho</t>
  </si>
  <si>
    <t>Urb la Rosa</t>
  </si>
  <si>
    <t>Luis Polo.jpeg</t>
  </si>
  <si>
    <t>Brayan Rafael Jimenez Ortiz</t>
  </si>
  <si>
    <t>Brayan Jimenez.jpeg</t>
  </si>
  <si>
    <t>Jose Luis Vargas</t>
  </si>
  <si>
    <t>Jose Luis Vargas.jpeg</t>
  </si>
  <si>
    <t>Ricardo Jose Diaz Mora</t>
  </si>
  <si>
    <t>Caricuao</t>
  </si>
  <si>
    <t>Ricardo Diaz.jpeg</t>
  </si>
  <si>
    <t>Wilkender Alexander Flores Adrianza</t>
  </si>
  <si>
    <t>Wilkender Flores.jpeg</t>
  </si>
  <si>
    <t>Yonsi Gamboa</t>
  </si>
  <si>
    <t>Yonsi Gamboa.jpeg</t>
  </si>
  <si>
    <t>Revisar vino  a jornada 05/06/2026</t>
  </si>
  <si>
    <t>Wilmer Francisco Farfan Hernandez</t>
  </si>
  <si>
    <t>Chacao,la Castellana</t>
  </si>
  <si>
    <t>Wilmer Farfan.jpeg</t>
  </si>
  <si>
    <t>Williams Jaspe</t>
  </si>
  <si>
    <t>Barrio Sucre, Calle Miranda</t>
  </si>
  <si>
    <t>Willians Jaspe.jpeg</t>
  </si>
  <si>
    <t>Juan Carlos Cabriles Cabriles</t>
  </si>
  <si>
    <t>Juan Cabriles.jpeg</t>
  </si>
  <si>
    <t>Yanza Mendoza</t>
  </si>
  <si>
    <t>Yanza Mendoza.jpeg</t>
  </si>
  <si>
    <t>Leismar Quintero</t>
  </si>
  <si>
    <t>Montalban</t>
  </si>
  <si>
    <t>Leismar Quintero.jpeg</t>
  </si>
  <si>
    <t>Ariangely Paredes</t>
  </si>
  <si>
    <t>Ariangely Paredes.jpeg</t>
  </si>
  <si>
    <t>Yoelsi Alexandra Subero Zambrano</t>
  </si>
  <si>
    <t>Yoelsi Subero.jpeg</t>
  </si>
  <si>
    <t>Rafael David Perez</t>
  </si>
  <si>
    <t>Rafael Perez.jpeg</t>
  </si>
  <si>
    <t>Endira Maria Cira Vasquez</t>
  </si>
  <si>
    <t>Endira Cira.jpeg</t>
  </si>
  <si>
    <t>Alvin Ibrahim Moreno Baez</t>
  </si>
  <si>
    <t>Alvin Moreno.jpeg</t>
  </si>
  <si>
    <t>Sharon Otero</t>
  </si>
  <si>
    <t>Av Pricipla Mariperez</t>
  </si>
  <si>
    <t>Sharon Otero.jpeg</t>
  </si>
  <si>
    <t>Angely Rodriguez</t>
  </si>
  <si>
    <t>Angely Rodriguez.jpeg</t>
  </si>
  <si>
    <t>Suheidy Anibal</t>
  </si>
  <si>
    <t>Santa Luicia</t>
  </si>
  <si>
    <t>Suheidy Anibal.jpeg</t>
  </si>
  <si>
    <t>Luis Gonzalez</t>
  </si>
  <si>
    <t>Las Adjuntas</t>
  </si>
  <si>
    <t>Luis Gonzalez.jpeg</t>
  </si>
  <si>
    <t>Ender Rojas</t>
  </si>
  <si>
    <t>Santa Fe, Baruta</t>
  </si>
  <si>
    <t>Ender Rojas.jpeg</t>
  </si>
  <si>
    <t>Eliezer Jhoan Gomez Gomez</t>
  </si>
  <si>
    <t>La Guaira</t>
  </si>
  <si>
    <t>Eliezer Gomez.jpeg</t>
  </si>
  <si>
    <t>Oriannys Maury</t>
  </si>
  <si>
    <t>Av Principal de manicomio</t>
  </si>
  <si>
    <t>Oriannys Maury.jpeg</t>
  </si>
  <si>
    <t>Stefany Alejandra Ramos Rodriguez</t>
  </si>
  <si>
    <t>Stefany Ramos.jpeg</t>
  </si>
  <si>
    <t>Luis Manuel Solorzano</t>
  </si>
  <si>
    <t>Luis Solorzano.jpeg</t>
  </si>
  <si>
    <t>Landys Rafael Amarista Pinto</t>
  </si>
  <si>
    <t>Urb Las Acacias</t>
  </si>
  <si>
    <t>Landys Amarista.jpeg</t>
  </si>
  <si>
    <t>Deibys Rivero</t>
  </si>
  <si>
    <t>Deibys Rivero.jpeg</t>
  </si>
  <si>
    <t>Javier A Aviles Moya</t>
  </si>
  <si>
    <t>Javier A Aviles.jpeg</t>
  </si>
  <si>
    <t>Denny Oswaldo Betancourt Asuaje</t>
  </si>
  <si>
    <t>Denny Betancourt.jpeg</t>
  </si>
  <si>
    <t>Julio Cesar Perez Cuevas</t>
  </si>
  <si>
    <t>Julio Cesar Perez Cuevas.jpeg</t>
  </si>
  <si>
    <t>Josmer Alejandro Sierra Prieto</t>
  </si>
  <si>
    <t>Isaias Medina Angarita</t>
  </si>
  <si>
    <t>Josmer Sierra.jpeg</t>
  </si>
  <si>
    <t>Angelo Alexander de Freitas</t>
  </si>
  <si>
    <t>Urb la quebradita, Libertador</t>
  </si>
  <si>
    <t>Angelo de Freitas.jpeg</t>
  </si>
  <si>
    <t>Cesar Samuel Silva Daza</t>
  </si>
  <si>
    <t>Urb Paulo VI, Petare</t>
  </si>
  <si>
    <t>Cesar Samuel Silva.jpeg</t>
  </si>
  <si>
    <t>Carlos Israel Ramirez Rondon</t>
  </si>
  <si>
    <t>Carlos Israel Ramirez.jpeg</t>
  </si>
  <si>
    <t>Cleyder Contreras</t>
  </si>
  <si>
    <t>Av Fuerzas Armadas</t>
  </si>
  <si>
    <t>Cleyder Contreras.jpeg</t>
  </si>
  <si>
    <t>Gleidy Laya</t>
  </si>
  <si>
    <t>San Miguel,municipio Sucre</t>
  </si>
  <si>
    <t>Gleidy Laya.jpeg</t>
  </si>
  <si>
    <t>4/27/2026</t>
  </si>
  <si>
    <t>Joswed Jose Torres Saez</t>
  </si>
  <si>
    <t>San Blas, Petare</t>
  </si>
  <si>
    <t>Joswed Torrez.jpeg</t>
  </si>
  <si>
    <t>Genesis Cañas</t>
  </si>
  <si>
    <t>Av Baralt</t>
  </si>
  <si>
    <t>Genesis Caña.jpeg</t>
  </si>
  <si>
    <t>Estefania G Maldonado Castro</t>
  </si>
  <si>
    <t>Los Simbolos</t>
  </si>
  <si>
    <t>Estefania Maldonado.jpeg</t>
  </si>
  <si>
    <t>Luisfranyer Ochoa</t>
  </si>
  <si>
    <t>Av Principal del Cementerio</t>
  </si>
  <si>
    <t>Luisfranyer Ochoa.jpeg</t>
  </si>
  <si>
    <t>Wendy Alexander Blanco Muro</t>
  </si>
  <si>
    <t>Wendy Blanco .jpeg</t>
  </si>
  <si>
    <t>Heydimar Riera</t>
  </si>
  <si>
    <t>San Agustin Del  Sur</t>
  </si>
  <si>
    <t>Heydimar Riera.jpeg</t>
  </si>
  <si>
    <t>Vicente Cardenas</t>
  </si>
  <si>
    <t>Vicente Cardenas.jpeg</t>
  </si>
  <si>
    <t>Jesus Medina</t>
  </si>
  <si>
    <t>Santa Eduvigis</t>
  </si>
  <si>
    <t>Jesus Medina.jpeg</t>
  </si>
  <si>
    <t>Marlys Gonzalez</t>
  </si>
  <si>
    <t>Nicole Vargas</t>
  </si>
  <si>
    <t>Los Chaguaramos</t>
  </si>
  <si>
    <t>Nicole Vargas.jpeg</t>
  </si>
  <si>
    <t>Emerliany Yuribi Palacios Morillo</t>
  </si>
  <si>
    <t>Emerliany Yuribi.jpeg</t>
  </si>
  <si>
    <t>Mistic Shantal Berra Perez</t>
  </si>
  <si>
    <t>El Recreo</t>
  </si>
  <si>
    <t>Mistic Berra.jpeg</t>
  </si>
  <si>
    <t>Yanneliz Prieto</t>
  </si>
  <si>
    <t>Yanneliz Prieto.jpeg</t>
  </si>
  <si>
    <t>Revisar vino de nuevo a jornada 06/05/2026</t>
  </si>
  <si>
    <t>Barbara R Vielma Ch</t>
  </si>
  <si>
    <t>Barbara Vielma.jpeg</t>
  </si>
  <si>
    <t>Berbely Niño</t>
  </si>
  <si>
    <t>Final Av Paez del Paraiso</t>
  </si>
  <si>
    <t>Beverly Niño.pdf</t>
  </si>
  <si>
    <t>Yormay Alexandra Pereira Cordero</t>
  </si>
  <si>
    <t>SCAN0302.PDF</t>
  </si>
  <si>
    <t>Raiza Carolina Villalba Perez</t>
  </si>
  <si>
    <t>Raiza Villalba.PDF</t>
  </si>
  <si>
    <t xml:space="preserve">Bula. </t>
  </si>
  <si>
    <t>Jeanfrank Arellano</t>
  </si>
  <si>
    <t>Jheanfrank Arellano.PDF</t>
  </si>
  <si>
    <t>Yonathan Lee Rivero</t>
  </si>
  <si>
    <t>Yonathan Rivero.PDF</t>
  </si>
  <si>
    <t>Zadith Hung</t>
  </si>
  <si>
    <t>Los teques</t>
  </si>
  <si>
    <t>Zadith Hung.PDF</t>
  </si>
  <si>
    <t>Jorge Alejandro Diaz Avila</t>
  </si>
  <si>
    <t>Jorge Diaz</t>
  </si>
  <si>
    <t>Ender Jesus Montilla Fernadez</t>
  </si>
  <si>
    <t>Ender Montilla.PDF</t>
  </si>
  <si>
    <t>Carlos Vicente Guzman</t>
  </si>
  <si>
    <t>Ciudad Casarapa</t>
  </si>
  <si>
    <t>Carlos Guzman</t>
  </si>
  <si>
    <t>Andreina Valera</t>
  </si>
  <si>
    <t xml:space="preserve">Rahilet Dubraska Landaeta Perez </t>
  </si>
  <si>
    <t>Rahilet Landaeta</t>
  </si>
  <si>
    <t>Rafael Antonio Suarez Santander</t>
  </si>
  <si>
    <t>Ciudad Tiuna</t>
  </si>
  <si>
    <t>Estiven Alexander Mesia Rivas</t>
  </si>
  <si>
    <t>Jose Elias Chacon</t>
  </si>
  <si>
    <t>Jose chacon</t>
  </si>
  <si>
    <t>Luindelis Franyelis Piñero Lorant</t>
  </si>
  <si>
    <t>Ruiz Piñeda</t>
  </si>
  <si>
    <t>Luindelis Piñero</t>
  </si>
  <si>
    <t>Megan Farias</t>
  </si>
  <si>
    <t>Manuel Garcia</t>
  </si>
  <si>
    <t>Hoyo de la Puerta, Baruta</t>
  </si>
  <si>
    <t xml:space="preserve">Jose Gregorio Hernandez Diaz </t>
  </si>
  <si>
    <t>Bello Campo</t>
  </si>
  <si>
    <t>Jose Gregorio Hernandez Diaz</t>
  </si>
  <si>
    <t>Lucianny Medina</t>
  </si>
  <si>
    <t>Luisana Yureyka Lopez Ascanio</t>
  </si>
  <si>
    <t>Luisana Lopez</t>
  </si>
  <si>
    <t>Dayerlis Ruiz</t>
  </si>
  <si>
    <t>Dayelis Ruiz</t>
  </si>
  <si>
    <t>Lesly Yhovann Sanchez Perez</t>
  </si>
  <si>
    <t>Boleita Sur</t>
  </si>
  <si>
    <t>Lesly Sanchez</t>
  </si>
  <si>
    <t>Nelson Radames Blanco Rosales</t>
  </si>
  <si>
    <t>Nelson Blanco</t>
  </si>
  <si>
    <t>Edgar Marquez</t>
  </si>
  <si>
    <t>Edgar Gerardo</t>
  </si>
  <si>
    <t>Max Alejandro Guillent</t>
  </si>
  <si>
    <t>Max Guillent</t>
  </si>
  <si>
    <t>Diana Valentina Moreno Salas</t>
  </si>
  <si>
    <t>Macaracuay</t>
  </si>
  <si>
    <t>Diana Moreno</t>
  </si>
  <si>
    <t>Hosnily Yessica Nava Colina</t>
  </si>
  <si>
    <t>Casalta</t>
  </si>
  <si>
    <t>Hosnily Nava</t>
  </si>
  <si>
    <t>Jorge Moises Ulpino Mesia</t>
  </si>
  <si>
    <t>Brauta</t>
  </si>
  <si>
    <t>Jorge Ulpino</t>
  </si>
  <si>
    <t>Ylesy Tovar</t>
  </si>
  <si>
    <t>Miguel Angel Becerra Cabello</t>
  </si>
  <si>
    <t>Miguel Becerra</t>
  </si>
  <si>
    <t>Chirly Anyibel Garcia Rojas</t>
  </si>
  <si>
    <t>Chirly Garcia</t>
  </si>
  <si>
    <t>Eurimar Farias</t>
  </si>
  <si>
    <t>Eleyer Eduardo Chusmita Prieto</t>
  </si>
  <si>
    <t>El Cementerio</t>
  </si>
  <si>
    <t>Eleyer Chusmita</t>
  </si>
  <si>
    <t>Anyi Y Suatrez A</t>
  </si>
  <si>
    <t>Anyi Suarez</t>
  </si>
  <si>
    <t>Maria A Olivier R</t>
  </si>
  <si>
    <t>Maria Olivier</t>
  </si>
  <si>
    <t>Yurubi Joselin Rivero</t>
  </si>
  <si>
    <t>Yurubi Rivero</t>
  </si>
  <si>
    <t>Lisbeth Angulo Arraiz</t>
  </si>
  <si>
    <t>Lisbeth Arraiz</t>
  </si>
  <si>
    <t>Francis Eliane Franklin Rivero</t>
  </si>
  <si>
    <t>Nueva Granada</t>
  </si>
  <si>
    <t>Francis Rivero</t>
  </si>
  <si>
    <t>Bexi Rodriguez</t>
  </si>
  <si>
    <t>Deybis Liendo</t>
  </si>
  <si>
    <t>Av San Martin</t>
  </si>
  <si>
    <t>Las Minas de Baruta</t>
  </si>
  <si>
    <t>Carlos Luis Viloria Hernandez</t>
  </si>
  <si>
    <t>Carlos Viloria</t>
  </si>
  <si>
    <t>Idarli Elizabeth Linares Trompetero</t>
  </si>
  <si>
    <t>Av Intercomuinal el Valle</t>
  </si>
  <si>
    <t>Idarli Linares</t>
  </si>
  <si>
    <t>Stephanie Gleidymar Abreu Reveron</t>
  </si>
  <si>
    <t>Stephanie Abreu</t>
  </si>
  <si>
    <t>Julio Cesar Diaz Ortega</t>
  </si>
  <si>
    <t>Caracas, los mangos</t>
  </si>
  <si>
    <t>Julio Diaz</t>
  </si>
  <si>
    <t>Doresley A Rangel B</t>
  </si>
  <si>
    <t>Colinas del plan manzano</t>
  </si>
  <si>
    <t>Doresly Rangel</t>
  </si>
  <si>
    <t>Emily Santader</t>
  </si>
  <si>
    <t>Emily Santander</t>
  </si>
  <si>
    <t>Stephanie Vivas</t>
  </si>
  <si>
    <t>Catia la Mar</t>
  </si>
  <si>
    <t>Leonardo Espinoza</t>
  </si>
  <si>
    <t xml:space="preserve">Brayan Jaimes </t>
  </si>
  <si>
    <t>Brayan Jaimes</t>
  </si>
  <si>
    <t>Enyerly Vargas</t>
  </si>
  <si>
    <t>Marcos Maldonado</t>
  </si>
  <si>
    <t xml:space="preserve">Av cuatricentenario </t>
  </si>
  <si>
    <t>Ricardo Ruiz</t>
  </si>
  <si>
    <t>Jose Miguel Gonzalez Machado</t>
  </si>
  <si>
    <t>La Paz</t>
  </si>
  <si>
    <t>Jose Miguel Machado</t>
  </si>
  <si>
    <t>Marbelis Romero</t>
  </si>
  <si>
    <t>Calle principal Mesedores</t>
  </si>
  <si>
    <t>Walter Stewart Pacheco Correa</t>
  </si>
  <si>
    <t>Walter Pacheco</t>
  </si>
  <si>
    <t xml:space="preserve">Oscar Jose Gonzalez </t>
  </si>
  <si>
    <t>Altagracia de Orituco</t>
  </si>
  <si>
    <t>Oscar Gonzalez</t>
  </si>
  <si>
    <t>Ramses Ulises Salom Vasquez</t>
  </si>
  <si>
    <t>Av Panteon</t>
  </si>
  <si>
    <t>Ramses Salom</t>
  </si>
  <si>
    <t>Irving Jesus Linares Lessey</t>
  </si>
  <si>
    <t>Irving Linares</t>
  </si>
  <si>
    <t>Cristian Arraiz</t>
  </si>
  <si>
    <t>Fuerte Tiuna</t>
  </si>
  <si>
    <t>Christian Arraiz</t>
  </si>
  <si>
    <t>Jhonuel Michael Rojas Silva</t>
  </si>
  <si>
    <t>Bloque 35,letra I piso 6</t>
  </si>
  <si>
    <t>Jhonuel Rojas</t>
  </si>
  <si>
    <t>Mervin Enrrique Fernandez Ramirez</t>
  </si>
  <si>
    <t>Mervis Fernandez</t>
  </si>
  <si>
    <t>Wuilder Eduardo Rojas</t>
  </si>
  <si>
    <t>Los Jardines del Valle</t>
  </si>
  <si>
    <t>Wuilder Rojas</t>
  </si>
  <si>
    <t>Jose Felix Paiva Curvata</t>
  </si>
  <si>
    <t>Jose Paiva</t>
  </si>
  <si>
    <t>Jose Alejandro Hernandez G</t>
  </si>
  <si>
    <t>Willmaris Alondra Graterol Rivera</t>
  </si>
  <si>
    <t>Willmarys Graterol</t>
  </si>
  <si>
    <t>Laura Garcia</t>
  </si>
  <si>
    <t>Santa Monica</t>
  </si>
  <si>
    <t>Nayelis Carolina Pini Hernandez</t>
  </si>
  <si>
    <t>Nayelis Pini</t>
  </si>
  <si>
    <t>Patricia Alejandra Gonzalez Cañizalez</t>
  </si>
  <si>
    <t>Patricia Gonzalez</t>
  </si>
  <si>
    <t>Nancymar Pabon Rodon</t>
  </si>
  <si>
    <t>El Paraiso</t>
  </si>
  <si>
    <t>Nancymar Pabon</t>
  </si>
  <si>
    <t>Elsimar Carrillo</t>
  </si>
  <si>
    <t>Los Dos Caminos</t>
  </si>
  <si>
    <t>Ginarellys Thalya De Avila</t>
  </si>
  <si>
    <t>Ginarellys De Avila</t>
  </si>
  <si>
    <t>Orianis Molinares</t>
  </si>
  <si>
    <t>Wenrric Alexander Marrero Lopez</t>
  </si>
  <si>
    <t>Wenrric Marrero</t>
  </si>
  <si>
    <t>Geremi Alexander Garcias Camargo</t>
  </si>
  <si>
    <t>Geremi Garcias</t>
  </si>
  <si>
    <t>Reinaldo Calderon</t>
  </si>
  <si>
    <t>Gleyber Bernal</t>
  </si>
  <si>
    <t>Gleyker Bernal</t>
  </si>
  <si>
    <t>Javier Alfonso</t>
  </si>
  <si>
    <t>Ramon Enrique Martinez Jaspe</t>
  </si>
  <si>
    <t>El Marques</t>
  </si>
  <si>
    <t>Ramon Martinez</t>
  </si>
  <si>
    <t>Julie Valentina Morales Rivas</t>
  </si>
  <si>
    <t>Genesis Del Carmen Delgado Guzman</t>
  </si>
  <si>
    <t>Anthony Peña</t>
  </si>
  <si>
    <t>4/21/2026</t>
  </si>
  <si>
    <t>Andri Anairimel Mendez Vera</t>
  </si>
  <si>
    <t>Av. Moran</t>
  </si>
  <si>
    <t>Reniel Josue Chacon Serrano</t>
  </si>
  <si>
    <t>Leidys Adriana Contreras Mendoza</t>
  </si>
  <si>
    <t>Las Minitas</t>
  </si>
  <si>
    <t>Kevin Amaro</t>
  </si>
  <si>
    <t>Lorena Payares</t>
  </si>
  <si>
    <t>/</t>
  </si>
  <si>
    <t>Geraldine Iribarren</t>
  </si>
  <si>
    <t>Santiago Mosqueda Lopez</t>
  </si>
  <si>
    <t>Santiago Mosqueda</t>
  </si>
  <si>
    <t>Yubrainy Alexandra Urbina Toro</t>
  </si>
  <si>
    <t>San Agustin Sur</t>
  </si>
  <si>
    <t>Misael Raanses Bolivar Toro</t>
  </si>
  <si>
    <t>Hector Colmenares</t>
  </si>
  <si>
    <t>Osbell Alexander Bravo Salcedo</t>
  </si>
  <si>
    <t>Yorgelis Del Valle Marquez</t>
  </si>
  <si>
    <t>Rommeily Gutierrez</t>
  </si>
  <si>
    <t xml:space="preserve">Veronica Verdi </t>
  </si>
  <si>
    <t xml:space="preserve">Fuerte Tiuna </t>
  </si>
  <si>
    <t>Veronica Verdi</t>
  </si>
  <si>
    <t>Julie Marquez</t>
  </si>
  <si>
    <t>Cruz Eduardo Castro Caceres</t>
  </si>
  <si>
    <t>Cruz Eduardo Castro</t>
  </si>
  <si>
    <t>Jhon Hernandez</t>
  </si>
  <si>
    <t>Prolongacion Zulaga</t>
  </si>
  <si>
    <t>Josep Eduardo Espinoza Escalona</t>
  </si>
  <si>
    <t>Josep Espinoza</t>
  </si>
  <si>
    <t>Marcos Colmenares</t>
  </si>
  <si>
    <t>Khelinjyer Uzcategui</t>
  </si>
  <si>
    <t>Khelinyer Uzcategui</t>
  </si>
  <si>
    <t>Eliana Aguilera</t>
  </si>
  <si>
    <t>Wuiger Jose Villanueva</t>
  </si>
  <si>
    <t>Quinta Crespo</t>
  </si>
  <si>
    <t>Wuilger Villanueva</t>
  </si>
  <si>
    <t>Jason Zendron</t>
  </si>
  <si>
    <t>Cristal Rodriguez</t>
  </si>
  <si>
    <t>Aryeli Alexandra Alcala Contreras</t>
  </si>
  <si>
    <t>La Florida</t>
  </si>
  <si>
    <t>Aryeli Alcala</t>
  </si>
  <si>
    <t>Adriana Rivas</t>
  </si>
  <si>
    <t>Diego Valera</t>
  </si>
  <si>
    <t>El Cafetal</t>
  </si>
  <si>
    <t>Germary Carolina Lezama Gomez</t>
  </si>
  <si>
    <t>Santa Cruz, Baruta</t>
  </si>
  <si>
    <t>Germary Lezama</t>
  </si>
  <si>
    <t>Nairelys Arianna Rodriguez Hernandez</t>
  </si>
  <si>
    <t>Nairelys Rodriguez</t>
  </si>
  <si>
    <t>Sharlis Gregori Rodriguez Bleker</t>
  </si>
  <si>
    <t>Macuto</t>
  </si>
  <si>
    <t>Sharlis Rodriguez</t>
  </si>
  <si>
    <t>Larry Eduardo Palma Rodriguez</t>
  </si>
  <si>
    <t>Larry Rodriguez</t>
  </si>
  <si>
    <t>Cayberlyn Fonseca</t>
  </si>
  <si>
    <t>Angeles Palma</t>
  </si>
  <si>
    <t>Aileen Godoy</t>
  </si>
  <si>
    <t>Maria G Jimenez</t>
  </si>
  <si>
    <t>Roberth Emilio Bencomo Bermudez</t>
  </si>
  <si>
    <t>Robert Bencomo</t>
  </si>
  <si>
    <t>Edwar Enrique Niño Lerma</t>
  </si>
  <si>
    <t xml:space="preserve">Eduard Machado </t>
  </si>
  <si>
    <t>Eduard Machado</t>
  </si>
  <si>
    <t xml:space="preserve">Fabian Velasquez </t>
  </si>
  <si>
    <t>Fabian Velasquez</t>
  </si>
  <si>
    <t>Roderick Bolanos</t>
  </si>
  <si>
    <t>Urb San Juan, Av Sur</t>
  </si>
  <si>
    <t>Jesus Del Castillo</t>
  </si>
  <si>
    <t>Gabriel Hernesto Marquez Martinez</t>
  </si>
  <si>
    <t>Gabriel Marquez</t>
  </si>
  <si>
    <t>Joiner Sleither Alfaro Rengel</t>
  </si>
  <si>
    <t>Minas de Baruta</t>
  </si>
  <si>
    <t>Joiner Alfaro</t>
  </si>
  <si>
    <t>Danny Arellano</t>
  </si>
  <si>
    <t>La Polemera, Baruta</t>
  </si>
  <si>
    <t>Luis Torres</t>
  </si>
  <si>
    <t>Anyheson Gabriel Noguera Sanchez</t>
  </si>
  <si>
    <t>Anyheson Noguera</t>
  </si>
  <si>
    <t>Abelardo Jesus Mourad Nuñez</t>
  </si>
  <si>
    <t>Abelardo Mourad</t>
  </si>
  <si>
    <t>Kevin Maita</t>
  </si>
  <si>
    <t>Eddy Alejandro Navarro Salvatierra</t>
  </si>
  <si>
    <t>Eddy Navararro</t>
  </si>
  <si>
    <t xml:space="preserve">Alan Riveros </t>
  </si>
  <si>
    <t>Alan Riveros</t>
  </si>
  <si>
    <t>Freddy Alexander Guillen Hernandez</t>
  </si>
  <si>
    <t>Freddy Guillen</t>
  </si>
  <si>
    <t xml:space="preserve">Greiyer Miguel Hidalgo Escobar </t>
  </si>
  <si>
    <t>Greiyer Hidalgo</t>
  </si>
  <si>
    <t>Miguel Gutierrez</t>
  </si>
  <si>
    <t>Colinas de Bello Monte</t>
  </si>
  <si>
    <t>Omar Miguel Adan Urdaneta</t>
  </si>
  <si>
    <t>Omar Adan</t>
  </si>
  <si>
    <t>Douglas Reyes</t>
  </si>
  <si>
    <t>Yordan Jesus Vasquez Diaz</t>
  </si>
  <si>
    <t>Yordan Vasquez</t>
  </si>
  <si>
    <t>Douglas Cabrera</t>
  </si>
  <si>
    <t>Edison Jose Quintana Mendoza</t>
  </si>
  <si>
    <t>Edison Quintana</t>
  </si>
  <si>
    <t>Citado a prueba con Glen</t>
  </si>
  <si>
    <t>Gabriel Gomez</t>
  </si>
  <si>
    <t>Johanni Gabriel Galli Naveda</t>
  </si>
  <si>
    <t>Los Laureles</t>
  </si>
  <si>
    <t>Johanni Galli</t>
  </si>
  <si>
    <t>Francisco Javier Sanz Marchan</t>
  </si>
  <si>
    <t xml:space="preserve">23 de enero </t>
  </si>
  <si>
    <t>Francisco Sanz.PDF</t>
  </si>
  <si>
    <t>Yenderlin Del Valle Matos Zambrano</t>
  </si>
  <si>
    <t>Sabana Grande</t>
  </si>
  <si>
    <t>Yenderlin Matos.PDF</t>
  </si>
  <si>
    <t>Yusbely Andreina Becerra Laya</t>
  </si>
  <si>
    <t>El valle, San Andres</t>
  </si>
  <si>
    <t>Yusbely Becerra.PDF</t>
  </si>
  <si>
    <t>Johneilys Gabriela Guutierrez</t>
  </si>
  <si>
    <t>Petare-El llanito</t>
  </si>
  <si>
    <t>Jhohneilys Gutierrez.PDF</t>
  </si>
  <si>
    <t>Luisana Rodriguez</t>
  </si>
  <si>
    <t>Luisana Rodriguez.PDF</t>
  </si>
  <si>
    <t>Veronica Alexandra Orta Chirinos</t>
  </si>
  <si>
    <t>Veronica Orta Chirinos.PDF</t>
  </si>
  <si>
    <t>Yeiker Enrique Reyes Labrador</t>
  </si>
  <si>
    <t>Fuerte tiuna</t>
  </si>
  <si>
    <t>Yeiker Reyes Labrador.PDF</t>
  </si>
  <si>
    <t>Citado a prueba con Miguel Bula</t>
  </si>
  <si>
    <t>Jesus Olivo</t>
  </si>
  <si>
    <t>Daniel Torres</t>
  </si>
  <si>
    <t>Hoyo de la puerta</t>
  </si>
  <si>
    <t>Daniel Torrez.PDF</t>
  </si>
  <si>
    <t>Maikel Jose Sanchez Rojas</t>
  </si>
  <si>
    <t>Rosa Yaritza Pena Pimentel</t>
  </si>
  <si>
    <t>Emilce Espinoza</t>
  </si>
  <si>
    <t>Luis Olivo</t>
  </si>
  <si>
    <t>La trinidad</t>
  </si>
  <si>
    <t>Marcos Baez</t>
  </si>
  <si>
    <t>Terrazas de Gaicoco</t>
  </si>
  <si>
    <t>Luis Urbina Sachez</t>
  </si>
  <si>
    <t>Gabriela Castro</t>
  </si>
  <si>
    <t>La dolorita</t>
  </si>
  <si>
    <t>Jeferson Emilio Rojas Segovia</t>
  </si>
  <si>
    <t>Adriangely Cervantes</t>
  </si>
  <si>
    <t>Adriangely Cervantes.PDF</t>
  </si>
  <si>
    <t>Leonardo Cedeno</t>
  </si>
  <si>
    <t>Leonardo Cedeño.PDF</t>
  </si>
  <si>
    <t>Eunice Mendoza</t>
  </si>
  <si>
    <t>Euricce Mendoza.PDF</t>
  </si>
  <si>
    <t>Harrison Alexander Underwood Navas</t>
  </si>
  <si>
    <t>Harrinson Uderwoond.PDF</t>
  </si>
  <si>
    <t>Eliezer Daniel Ramirez Torrelles</t>
  </si>
  <si>
    <t>Petare-Maca</t>
  </si>
  <si>
    <t>Eliezer Ramirez Torrelles.PDF</t>
  </si>
  <si>
    <t>Yesjalimar Carolina Olivo Barrios</t>
  </si>
  <si>
    <t>Yesjalimar Olivo.PDF</t>
  </si>
  <si>
    <t>Andreina Julio Buelvas</t>
  </si>
  <si>
    <t>Petare-Palo Verde</t>
  </si>
  <si>
    <t>Andreina Julio Buelvas.PDF</t>
  </si>
  <si>
    <t>Marianghelys Jose Perez Rodriguez</t>
  </si>
  <si>
    <t>Marianghelys Perez.PDF</t>
  </si>
  <si>
    <t>Carelys Andreina Campos Baez</t>
  </si>
  <si>
    <t>Carelys Campos.PDF</t>
  </si>
  <si>
    <t>Jessica Alexandra Valero Perez</t>
  </si>
  <si>
    <t>Jessica Valero.PDF</t>
  </si>
  <si>
    <t>Isrrael Colmenares</t>
  </si>
  <si>
    <t>Coche</t>
  </si>
  <si>
    <t>Isrrael Colmenarez.PDF</t>
  </si>
  <si>
    <t>Christian Pinango</t>
  </si>
  <si>
    <t>Hector Fuenmayor</t>
  </si>
  <si>
    <t>el Hatillo</t>
  </si>
  <si>
    <t>Hector Fuenmayor.PDF</t>
  </si>
  <si>
    <t>Jeanverlis Hernandez</t>
  </si>
  <si>
    <t>Las Brisas Del Paraiso</t>
  </si>
  <si>
    <t>Nairobis Perez</t>
  </si>
  <si>
    <t>Nairobis Perez.PDF</t>
  </si>
  <si>
    <t>Alegna Andara</t>
  </si>
  <si>
    <t>Las Palmas</t>
  </si>
  <si>
    <t>Alegna Andara.PDF</t>
  </si>
  <si>
    <t>Ariadna Isabela Sosa Ramirez</t>
  </si>
  <si>
    <t>Los Flores de Catia</t>
  </si>
  <si>
    <t>Ariadna Sosa.PDF</t>
  </si>
  <si>
    <t>Kevin Yonaiker Balmaceda Aldana</t>
  </si>
  <si>
    <t>Av. Andres Bello</t>
  </si>
  <si>
    <t>Kevin Balmaceda.PDF</t>
  </si>
  <si>
    <t>Giovanni Enrique Hurtado Abreu</t>
  </si>
  <si>
    <t>Giovanny Hurtado.PDF</t>
  </si>
  <si>
    <t>Francis Josefina Flores</t>
  </si>
  <si>
    <t>El cementerio</t>
  </si>
  <si>
    <t>Francis Josefina Flores.PDF</t>
  </si>
  <si>
    <t>Robert Jose Hernandez</t>
  </si>
  <si>
    <t>Robert Jose.PDF</t>
  </si>
  <si>
    <t>Roger Alexander Betancourt</t>
  </si>
  <si>
    <t>San blas</t>
  </si>
  <si>
    <t>Roger Betancourt.PDF</t>
  </si>
  <si>
    <t>Andrea Alejandra Mujica Diaz</t>
  </si>
  <si>
    <t>Andrea Mujica Diaz.PDF</t>
  </si>
  <si>
    <t>Daymar Asuaje</t>
  </si>
  <si>
    <t>Gery Suarez</t>
  </si>
  <si>
    <t>Pinto Salinas</t>
  </si>
  <si>
    <t>Douglas Paisan Salazar</t>
  </si>
  <si>
    <t>Albert Gabriel Ortega Mirena</t>
  </si>
  <si>
    <t>Albert Gabriel Ortega</t>
  </si>
  <si>
    <t>Yoxces Isaac Aguilar Silva</t>
  </si>
  <si>
    <t xml:space="preserve">Jhonny Moran </t>
  </si>
  <si>
    <t xml:space="preserve">Av Andres Bello </t>
  </si>
  <si>
    <t>Jhonny Moran</t>
  </si>
  <si>
    <t xml:space="preserve">Keiwer Alexander Contreras </t>
  </si>
  <si>
    <t>Cua</t>
  </si>
  <si>
    <t>Keiwer Contreras</t>
  </si>
  <si>
    <t>Adrian Alexander Molgado Almerida</t>
  </si>
  <si>
    <t>El paraiso</t>
  </si>
  <si>
    <t>Adrian Molgado</t>
  </si>
  <si>
    <t>Jonathan Jose Porras Pena</t>
  </si>
  <si>
    <t>Caracas-La Guaira</t>
  </si>
  <si>
    <t>Jonathan Porras</t>
  </si>
  <si>
    <t>Gregory Echenique Infante</t>
  </si>
  <si>
    <t>Gregory Echenique</t>
  </si>
  <si>
    <t>300$-350$</t>
  </si>
  <si>
    <t>Ceiklin Done</t>
  </si>
  <si>
    <t>Av. Lecuna</t>
  </si>
  <si>
    <t>Victoria Morillo</t>
  </si>
  <si>
    <t>La urbina</t>
  </si>
  <si>
    <t>Yineska Paola Morales Cohen</t>
  </si>
  <si>
    <t>Yineska Morales</t>
  </si>
  <si>
    <t>Melanie Volcan</t>
  </si>
  <si>
    <t>Jhon Carvajal</t>
  </si>
  <si>
    <t>400-500</t>
  </si>
  <si>
    <t>Enviado a Prueba Con Bula</t>
  </si>
  <si>
    <t>Yornis Fuentes</t>
  </si>
  <si>
    <t>Otto Villalobos</t>
  </si>
  <si>
    <t>Maikel Enrique Requi Bermudez</t>
  </si>
  <si>
    <t>Maikel Requi</t>
  </si>
  <si>
    <t>Udar Stiphens Correa Brito</t>
  </si>
  <si>
    <t>Udar Correa</t>
  </si>
  <si>
    <t xml:space="preserve">Abel Palacios </t>
  </si>
  <si>
    <t>Abel Palacios</t>
  </si>
  <si>
    <t>Jonathan Grabiel Vivas Carvajal</t>
  </si>
  <si>
    <t>los teques</t>
  </si>
  <si>
    <t>Jonathan Vivas Carvajal</t>
  </si>
  <si>
    <t>Emmanuel Jose Martinez Perez</t>
  </si>
  <si>
    <t>Emmanuel Martinez</t>
  </si>
  <si>
    <t>Rancel Christofeel</t>
  </si>
  <si>
    <t>Marlon De Jesus Ulacio Almeida</t>
  </si>
  <si>
    <t>Marlon Ulacio</t>
  </si>
  <si>
    <t>Hector Morales</t>
  </si>
  <si>
    <t xml:space="preserve"> Jorge Albarran </t>
  </si>
  <si>
    <t>Jose Albarran</t>
  </si>
  <si>
    <t>Enviado a Prueba Con Olmos</t>
  </si>
  <si>
    <t>Jose Leonardo Alcala Hernandez</t>
  </si>
  <si>
    <t>baruta</t>
  </si>
  <si>
    <t>Jose Alcala Hernandez</t>
  </si>
  <si>
    <t>Francisco Antonio Mercado Moreno</t>
  </si>
  <si>
    <t>La florida</t>
  </si>
  <si>
    <t>Francisco Mercado Moreno</t>
  </si>
  <si>
    <t>a convenir</t>
  </si>
  <si>
    <t>Elsy Yaritza Uzcategui</t>
  </si>
  <si>
    <t>Romulo Gallegos</t>
  </si>
  <si>
    <t>Elsy Uzcategui</t>
  </si>
  <si>
    <t>Yosneida Lisandra Peralta Pena</t>
  </si>
  <si>
    <t>Alta vista- Catia</t>
  </si>
  <si>
    <t>Yosneida Peralta</t>
  </si>
  <si>
    <t>Giovanny Ramos</t>
  </si>
  <si>
    <t>Jossy Stefanic Oropeza</t>
  </si>
  <si>
    <t>Jossy Oropeza</t>
  </si>
  <si>
    <t>Junior Rojas</t>
  </si>
  <si>
    <t>Angel Wilfredo Toro Mejia</t>
  </si>
  <si>
    <t>Angel Toro Mejia</t>
  </si>
  <si>
    <t>Donnymar Tapias Marchena</t>
  </si>
  <si>
    <t>Donnymar Tapias</t>
  </si>
  <si>
    <t>Aconvenir</t>
  </si>
  <si>
    <t>Jenifer Carolina</t>
  </si>
  <si>
    <t>Roximar Franyelis Velasco Pineda</t>
  </si>
  <si>
    <t>Fuerzas Armadas</t>
  </si>
  <si>
    <t>Roximar Velasco</t>
  </si>
  <si>
    <t>Yorlimar Katherine Campoverde Pena</t>
  </si>
  <si>
    <t>Yolimar Campoverde</t>
  </si>
  <si>
    <t>Maylin Yesenia Cabrera Ramirez</t>
  </si>
  <si>
    <t>Maylin Cabrera</t>
  </si>
  <si>
    <t>Kelly Johana Tejeda Sanchez</t>
  </si>
  <si>
    <t>La castellana</t>
  </si>
  <si>
    <t>Kelly Tejeda</t>
  </si>
  <si>
    <t>Yoselin Prado</t>
  </si>
  <si>
    <t>Nicole Beatriz Castillo Linares</t>
  </si>
  <si>
    <t>Nicole Castillo Linares</t>
  </si>
  <si>
    <t>Jonanderly Carolina Ortiz Calderon</t>
  </si>
  <si>
    <t>Ocumare del Tuy</t>
  </si>
  <si>
    <t>Jonanderly Ortiz</t>
  </si>
  <si>
    <t>Quiere un horario de oficina</t>
  </si>
  <si>
    <t>Angel Luis Zambrano Brito</t>
  </si>
  <si>
    <t xml:space="preserve">Eucaris Yunesky Barrio Tovar </t>
  </si>
  <si>
    <t xml:space="preserve">La Guiara </t>
  </si>
  <si>
    <t>5/20/2026</t>
  </si>
  <si>
    <t xml:space="preserve">Keisly Rodriguez </t>
  </si>
  <si>
    <t xml:space="preserve">La Pastora </t>
  </si>
  <si>
    <t xml:space="preserve">Elianne Yetsibeth Castañeda Bolivfar </t>
  </si>
  <si>
    <t xml:space="preserve">Santa Fe </t>
  </si>
  <si>
    <t>Jessica Aexandra Valero Perez</t>
  </si>
  <si>
    <t>Elba Yobedith Bello Ramirez</t>
  </si>
  <si>
    <t>A  convenir</t>
  </si>
  <si>
    <t xml:space="preserve">Irene Carolina Tavera </t>
  </si>
  <si>
    <t>Irene Tavera.jpeg</t>
  </si>
  <si>
    <t>Sugun acuerdo</t>
  </si>
  <si>
    <t>Jose Jesus Garcia Freitez</t>
  </si>
  <si>
    <t>Alexander Pellegrini</t>
  </si>
  <si>
    <t>Av Andres Eloy Blanco</t>
  </si>
  <si>
    <t>Kevin Josue Marcano</t>
  </si>
  <si>
    <t>Genaro Fabian Baez Sampson</t>
  </si>
  <si>
    <t>Parque Central</t>
  </si>
  <si>
    <t>400$ mensual</t>
  </si>
  <si>
    <t xml:space="preserve">Stiven Hernandez </t>
  </si>
  <si>
    <t>Stiven Hernandez</t>
  </si>
  <si>
    <t>Nayerich Nazareth Pinto Alonzo</t>
  </si>
  <si>
    <t>Nayerich Nazaret</t>
  </si>
  <si>
    <t>Reidy Bolivar</t>
  </si>
  <si>
    <t>Jose Daniel Negron Silva</t>
  </si>
  <si>
    <t>300 a 350</t>
  </si>
  <si>
    <t>Anyer Jesus Sequera Vargas</t>
  </si>
  <si>
    <t>Lara</t>
  </si>
  <si>
    <t>Josue Alejandro Trujillo Gomez</t>
  </si>
  <si>
    <t>Gato Negro</t>
  </si>
  <si>
    <t>350 a 400</t>
  </si>
  <si>
    <t>Breikler Antonio Cambero Cabrera</t>
  </si>
  <si>
    <t>Urb cacique tiuna</t>
  </si>
  <si>
    <t>Williams Antonio Jaspe</t>
  </si>
  <si>
    <t>Barrio Sucre</t>
  </si>
  <si>
    <t>Luwin Jesus Hernandez Baez</t>
  </si>
  <si>
    <t>600 a 800</t>
  </si>
  <si>
    <t xml:space="preserve">Carolina Deglis Arteaga Cuenca </t>
  </si>
  <si>
    <t xml:space="preserve">Av Sucre </t>
  </si>
  <si>
    <t>Carolina Deglis Arteaga Cuenca</t>
  </si>
  <si>
    <t>Marielys Galviz Guerreo</t>
  </si>
  <si>
    <t xml:space="preserve">las minas </t>
  </si>
  <si>
    <t>Josbely Dayerlin Parada Diaz</t>
  </si>
  <si>
    <t>Parroquia Altagracia</t>
  </si>
  <si>
    <t>Daniela Morales Villa</t>
  </si>
  <si>
    <t>las minas de baruta</t>
  </si>
  <si>
    <t xml:space="preserve">Gabriel Rivas </t>
  </si>
  <si>
    <t>Gabriel Rivas</t>
  </si>
  <si>
    <t>Mariainy Amaris</t>
  </si>
  <si>
    <t>Maria Berrios Crespo</t>
  </si>
  <si>
    <t xml:space="preserve">No asistio mas </t>
  </si>
  <si>
    <t>Victoria Melo</t>
  </si>
  <si>
    <t>No paso prueba</t>
  </si>
  <si>
    <t>Jetsuli Alejandra</t>
  </si>
  <si>
    <t>Jessica Andreina Sojo Sequera</t>
  </si>
  <si>
    <t>Briyid Araque Moreno</t>
  </si>
  <si>
    <t xml:space="preserve">Carol Adriana Padron Campos </t>
  </si>
  <si>
    <t>Carol Adriana Padron Campos</t>
  </si>
  <si>
    <t xml:space="preserve">Karina Marcano Blanco </t>
  </si>
  <si>
    <t>Realizando curso presencial bartende 8 a 1</t>
  </si>
  <si>
    <t xml:space="preserve">Mariangel Jose Ruiz Estepa </t>
  </si>
  <si>
    <t>Mariangel Jose Ruiz Estepa</t>
  </si>
  <si>
    <t>350$ a 400$</t>
  </si>
  <si>
    <t>Roberto Frias</t>
  </si>
  <si>
    <t>Se postula como ayudante pero su asp salarial supera lo ofrecido</t>
  </si>
  <si>
    <t xml:space="preserve">Erick Johan Franco </t>
  </si>
  <si>
    <t xml:space="preserve">La Bandera </t>
  </si>
  <si>
    <t>Erick Johan Franco</t>
  </si>
  <si>
    <t>Abraham Reyes</t>
  </si>
  <si>
    <t>Abrahan Reyes</t>
  </si>
  <si>
    <t>Trabajo en coco sushi como ayudante y cocinero</t>
  </si>
  <si>
    <t>Mayela Adriana Acosta Guerrero</t>
  </si>
  <si>
    <t xml:space="preserve">Guarenas </t>
  </si>
  <si>
    <t>Charly Alexander Urbina Viloria</t>
  </si>
  <si>
    <t>Charly Urbina Viloria</t>
  </si>
  <si>
    <t xml:space="preserve">A convenir </t>
  </si>
  <si>
    <t>Maryangely Ortega</t>
  </si>
  <si>
    <t>Santa Ines-Baruta</t>
  </si>
  <si>
    <t>Enviada a prueba con Miguel</t>
  </si>
  <si>
    <t>Aprobada (No asistio mas)</t>
  </si>
  <si>
    <t>Milagros Salazar</t>
  </si>
  <si>
    <t>Janeysi Cuello</t>
  </si>
  <si>
    <t xml:space="preserve">Jesus Alberto Carrillo Martinez </t>
  </si>
  <si>
    <t>Jardines del Valle</t>
  </si>
  <si>
    <t>Jesus Alberto Carrillo</t>
  </si>
  <si>
    <t>280$ a 300$</t>
  </si>
  <si>
    <t xml:space="preserve">Jose Escalante </t>
  </si>
  <si>
    <t>Jose Escalante</t>
  </si>
  <si>
    <t>100$ a 120$</t>
  </si>
  <si>
    <t>Eilyn Gamarra</t>
  </si>
  <si>
    <t>El Junquito</t>
  </si>
  <si>
    <t>Cajera o anfitriona no sabe xetux</t>
  </si>
  <si>
    <t>Jarem Kisbeol Sulbaran Gutierrez</t>
  </si>
  <si>
    <t>Jarem Kisbel Sulbaran Gutierrez</t>
  </si>
  <si>
    <t xml:space="preserve">Preferiblemente turno mañana </t>
  </si>
  <si>
    <t>Elvis Anderson Camacho Marrero</t>
  </si>
  <si>
    <t>Elvis Camacho Marrero</t>
  </si>
  <si>
    <t>De acuerdo al mercado</t>
  </si>
  <si>
    <t xml:space="preserve">Jennifer Diaz </t>
  </si>
  <si>
    <t xml:space="preserve">Los Valles de Tuy </t>
  </si>
  <si>
    <t>Jennifer Diaz</t>
  </si>
  <si>
    <t xml:space="preserve">Anfitriona o Mesera </t>
  </si>
  <si>
    <t xml:space="preserve">Francisco Rodriguez </t>
  </si>
  <si>
    <t xml:space="preserve">Av Baralt </t>
  </si>
  <si>
    <t>Francisco Rodriguez</t>
  </si>
  <si>
    <t>Sueldo minimo</t>
  </si>
  <si>
    <t xml:space="preserve">Luis Miguel Adrian Arias </t>
  </si>
  <si>
    <t>La Palomera, Baruta</t>
  </si>
  <si>
    <t>Luis Miguel Adrian Arias</t>
  </si>
  <si>
    <t>cocinero (china, italiana, mediterranea y japonesa)</t>
  </si>
  <si>
    <t>Nathibel Jaramillo</t>
  </si>
  <si>
    <t>No conoce xetux</t>
  </si>
  <si>
    <t>Yaliani Sanchez</t>
  </si>
  <si>
    <t xml:space="preserve">Dice que puede trabajar lo que salga </t>
  </si>
  <si>
    <t>Silvia Isturdy</t>
  </si>
  <si>
    <t>70$ semanal</t>
  </si>
  <si>
    <t>Luis Gerardo Zambrano</t>
  </si>
  <si>
    <t xml:space="preserve">La Urbina </t>
  </si>
  <si>
    <t xml:space="preserve">Andres Velasquez </t>
  </si>
  <si>
    <t xml:space="preserve">Pinto Salinas, Andres Bello </t>
  </si>
  <si>
    <t>Andres Velasquez</t>
  </si>
  <si>
    <t xml:space="preserve">120$ a 150$ semanal </t>
  </si>
  <si>
    <t xml:space="preserve">500$ a 550$ </t>
  </si>
  <si>
    <t xml:space="preserve">conoce xetux y lo maneja </t>
  </si>
  <si>
    <t>Angel Gabriel Mendoza Marquez</t>
  </si>
  <si>
    <t>Angel Mendoza Marquez</t>
  </si>
  <si>
    <t xml:space="preserve">140$ mensual </t>
  </si>
  <si>
    <t xml:space="preserve">Ibrahym Antonio Olivo Clemente </t>
  </si>
  <si>
    <t xml:space="preserve">Coche, urb la Floresta </t>
  </si>
  <si>
    <t>Ibrahym Antonio Olivo Clemente</t>
  </si>
  <si>
    <t>300$ semanal</t>
  </si>
  <si>
    <t xml:space="preserve">Mariana Alejandra Mendez Marval </t>
  </si>
  <si>
    <t>Mariana Mendez Marval</t>
  </si>
  <si>
    <t xml:space="preserve">60$ semanal </t>
  </si>
  <si>
    <t xml:space="preserve">Crisleivi Yusdeilin Vergara Rojas </t>
  </si>
  <si>
    <t>Crisleivi Vergara</t>
  </si>
  <si>
    <t>Omar Steven Mujica Diaz</t>
  </si>
  <si>
    <t xml:space="preserve">Av Fuerzas Armadas </t>
  </si>
  <si>
    <t xml:space="preserve">Lismary Gonzalez </t>
  </si>
  <si>
    <t>Lismary Gonzalez</t>
  </si>
  <si>
    <t>Citada a prueba con Miguel, aprobada.</t>
  </si>
  <si>
    <t xml:space="preserve">Jhudreily Valentina Vizcaino Ochoa </t>
  </si>
  <si>
    <t>Jhudreily Vizcaino</t>
  </si>
  <si>
    <t xml:space="preserve">Conoce xetux </t>
  </si>
  <si>
    <t xml:space="preserve">Yosneiver Rodriguez </t>
  </si>
  <si>
    <t>Yosneiver Rodriguez</t>
  </si>
  <si>
    <t>Yosibel Sarai Aponte Gomez</t>
  </si>
  <si>
    <t>Enviada con Miguel, No asistio</t>
  </si>
  <si>
    <t>yulianny Molina</t>
  </si>
  <si>
    <t>Gionmary Guerrero</t>
  </si>
  <si>
    <t>Enviada con Miguel, No paso la prueba, sirve para sede</t>
  </si>
  <si>
    <t>Alejandra Rios</t>
  </si>
  <si>
    <t>El cigarral</t>
  </si>
  <si>
    <t>Enviada a prueba con Miguel, Aprobada</t>
  </si>
  <si>
    <t>Kevin Jonas Paternina Reyes</t>
  </si>
  <si>
    <t>La palomera-baruta</t>
  </si>
  <si>
    <t>Kevin Paternina</t>
  </si>
  <si>
    <t xml:space="preserve">Jesus Tovar </t>
  </si>
  <si>
    <t>Jesus Tovar</t>
  </si>
  <si>
    <t>enviado a prueba altamira</t>
  </si>
  <si>
    <t>Marcos Samuel Muñoz Andrade</t>
  </si>
  <si>
    <t>La guaira</t>
  </si>
  <si>
    <t>enviado con Bula</t>
  </si>
  <si>
    <t>Jaccson Peche</t>
  </si>
  <si>
    <t>Carapita</t>
  </si>
  <si>
    <t>Ginyer Graterol</t>
  </si>
  <si>
    <t xml:space="preserve">Eudys Fragoza </t>
  </si>
  <si>
    <t>Eudys Fragoza</t>
  </si>
  <si>
    <t xml:space="preserve">Nicolle Alejandra Torres Jurado </t>
  </si>
  <si>
    <t xml:space="preserve">Chacao </t>
  </si>
  <si>
    <t>Nicolle Alejandra Torres Jurado</t>
  </si>
  <si>
    <t xml:space="preserve">Reyner Alexander Padron Ochoa </t>
  </si>
  <si>
    <t>Reyner Alexander Padron Ochoa</t>
  </si>
  <si>
    <t>Jaicel  Ruiz</t>
  </si>
  <si>
    <t>Jose Gregorio Meriño Romero</t>
  </si>
  <si>
    <t xml:space="preserve">Anderson Sepulveda </t>
  </si>
  <si>
    <t xml:space="preserve">Altamira Sur </t>
  </si>
  <si>
    <t>Anderson Sepulveda</t>
  </si>
  <si>
    <t>Yasir Braiker Gabriel Bustamante Perez</t>
  </si>
  <si>
    <t xml:space="preserve">Gramoven </t>
  </si>
  <si>
    <t>Emily Paola Salgado</t>
  </si>
  <si>
    <t>Kevin Eduardo Gomez</t>
  </si>
  <si>
    <t>Yissell Escalona</t>
  </si>
  <si>
    <t>Santa cruz-baruta</t>
  </si>
  <si>
    <t xml:space="preserve">William Suarez </t>
  </si>
  <si>
    <t>William Suarez</t>
  </si>
  <si>
    <t>Humberto Jose Ruiz Figuera</t>
  </si>
  <si>
    <t>Pedro Luis Palacios Pacheco</t>
  </si>
  <si>
    <t>Caucagua</t>
  </si>
  <si>
    <t>Angel Garcia</t>
  </si>
  <si>
    <t>5/27/2026</t>
  </si>
  <si>
    <t xml:space="preserve">Deivis Aponte </t>
  </si>
  <si>
    <t>Deivis Aponte</t>
  </si>
  <si>
    <t xml:space="preserve">Josbel Yeison Rivas Nina </t>
  </si>
  <si>
    <t>Josbel Yeison Rivas Nina</t>
  </si>
  <si>
    <t xml:space="preserve">Jorge Puerta </t>
  </si>
  <si>
    <t>Jorge Puerta</t>
  </si>
  <si>
    <t>Angelis Torres</t>
  </si>
  <si>
    <t xml:space="preserve">El Valle </t>
  </si>
  <si>
    <t>Yoel Gabriel Rangel Amundarain</t>
  </si>
  <si>
    <t xml:space="preserve">Las Adjuntas </t>
  </si>
  <si>
    <t xml:space="preserve">Alex Daniel Rodriguez Ramos </t>
  </si>
  <si>
    <t xml:space="preserve">Av principal del Cuartel </t>
  </si>
  <si>
    <t xml:space="preserve">Erick Martinez </t>
  </si>
  <si>
    <t>Erick Martinez</t>
  </si>
  <si>
    <t xml:space="preserve">Gustavo Perozo </t>
  </si>
  <si>
    <t>Gustavo Perozo</t>
  </si>
  <si>
    <t xml:space="preserve">Edward Rodriguez </t>
  </si>
  <si>
    <t>Edward Rodriguez</t>
  </si>
  <si>
    <t xml:space="preserve">Thaislivik Del Carmen Petroski Villanueva </t>
  </si>
  <si>
    <t>Thaislivik Del Carmen Petroski Villanueva</t>
  </si>
  <si>
    <t xml:space="preserve">Geikary Yoceany Monascal Naranjo </t>
  </si>
  <si>
    <t>Geikary Yoceany Monascal Naranjo</t>
  </si>
  <si>
    <t xml:space="preserve">Estefany Mujica </t>
  </si>
  <si>
    <t>Estefany Mujica</t>
  </si>
  <si>
    <t xml:space="preserve">Cristian Carmona </t>
  </si>
  <si>
    <t xml:space="preserve">Av ppal la Carlota </t>
  </si>
  <si>
    <t>Cristian Carmona</t>
  </si>
  <si>
    <t xml:space="preserve">Esta en la gringa periodo de prueba </t>
  </si>
  <si>
    <t>Victor Eduardo Marquez Espinoza</t>
  </si>
  <si>
    <t xml:space="preserve">Orianny Dubraska Flores Suarez </t>
  </si>
  <si>
    <t>Orianny Dubraska Flores Suarez</t>
  </si>
  <si>
    <t xml:space="preserve">Ronaiber Jesus Zacarias Palma </t>
  </si>
  <si>
    <t>Ronaiber Jesus Zacarias Palma</t>
  </si>
  <si>
    <t xml:space="preserve">Soid Ruiz </t>
  </si>
  <si>
    <t xml:space="preserve">El Paraiso </t>
  </si>
  <si>
    <t>Soid Ruiz.jpg</t>
  </si>
  <si>
    <t>6/4/0206</t>
  </si>
  <si>
    <t xml:space="preserve">Andreina Andrade </t>
  </si>
  <si>
    <t xml:space="preserve">Las Minas-Baruta </t>
  </si>
  <si>
    <t>Cv Andreina Andrade</t>
  </si>
  <si>
    <t xml:space="preserve">Periodo de prueba </t>
  </si>
  <si>
    <t xml:space="preserve">Gabriela Herrera </t>
  </si>
  <si>
    <t>Gabriela Herrera</t>
  </si>
  <si>
    <t xml:space="preserve">Solo esta disponible los fines de semana </t>
  </si>
  <si>
    <t xml:space="preserve">Dariannys Trujillo </t>
  </si>
  <si>
    <t>Dariannys Trujillo</t>
  </si>
  <si>
    <t xml:space="preserve">40 a 50$ semanal </t>
  </si>
  <si>
    <t>Jose Gonzalez Blanco</t>
  </si>
  <si>
    <t xml:space="preserve">Geremy Calderon </t>
  </si>
  <si>
    <t>Geremy Calderon</t>
  </si>
  <si>
    <t xml:space="preserve">Sebastian Vicente Gonzalez Rodriguez </t>
  </si>
  <si>
    <t>Sebastian Vicente Gonzalez Rodriguez</t>
  </si>
  <si>
    <t>Fue enviado a la candelaria, pero no lo notificaron</t>
  </si>
  <si>
    <t xml:space="preserve">Juan Mass Zuñiga </t>
  </si>
  <si>
    <t>Palvo verde</t>
  </si>
  <si>
    <t xml:space="preserve">Yulveris Alvarado </t>
  </si>
  <si>
    <t xml:space="preserve">No tiene la experiencia a nivel operativo en restautantes </t>
  </si>
  <si>
    <t xml:space="preserve">Yohana Olachea </t>
  </si>
  <si>
    <t xml:space="preserve">Agua salud </t>
  </si>
  <si>
    <t xml:space="preserve">150$ quincenal </t>
  </si>
  <si>
    <t xml:space="preserve">Estudia en horarios distintos </t>
  </si>
  <si>
    <t xml:space="preserve">Maikel Hernandez </t>
  </si>
  <si>
    <t xml:space="preserve">El valle </t>
  </si>
  <si>
    <t>Maikel Hernandez</t>
  </si>
  <si>
    <t>Leiver Alejandro Rodriguez Mayora</t>
  </si>
  <si>
    <t xml:space="preserve">Las acaias </t>
  </si>
  <si>
    <t xml:space="preserve">100$ semanal </t>
  </si>
  <si>
    <t xml:space="preserve">Keiber Daniel Dias Fuentes </t>
  </si>
  <si>
    <t xml:space="preserve">Gato negro </t>
  </si>
  <si>
    <t>Keiber Daniel Dias Fuentes</t>
  </si>
  <si>
    <t>100$ semanal</t>
  </si>
  <si>
    <t xml:space="preserve">Johanms Jose Acosta Gimenez </t>
  </si>
  <si>
    <t>Johanms Jose Acosta Gimenez</t>
  </si>
  <si>
    <t xml:space="preserve">400$ mensual </t>
  </si>
  <si>
    <t xml:space="preserve">Kevin Jose Sojo Hernandez </t>
  </si>
  <si>
    <t>Kevin Jose Sojo Hernandez</t>
  </si>
  <si>
    <t xml:space="preserve">Geiberson Mejias </t>
  </si>
  <si>
    <t>Geiberson Mejias</t>
  </si>
  <si>
    <t xml:space="preserve">300 a 400$ mensual </t>
  </si>
  <si>
    <t>se postula para ayudante de ccoina o delivery</t>
  </si>
  <si>
    <t xml:space="preserve">Deiver Josue Peña Carrizo </t>
  </si>
  <si>
    <t xml:space="preserve">La vega </t>
  </si>
  <si>
    <t>320$ a$ 340</t>
  </si>
  <si>
    <t xml:space="preserve">Geyser De Jesud Villalta Blanco </t>
  </si>
  <si>
    <t>Rayko Stevan Duarte Leskoscheck</t>
  </si>
  <si>
    <t>estudia publicida en la urbina lunes a viernes de 7am a 11 am</t>
  </si>
  <si>
    <t xml:space="preserve">Jeremil Aguilera </t>
  </si>
  <si>
    <t>Jeremil Aguilera</t>
  </si>
  <si>
    <t>Jose Gregorio Ramos Mozo</t>
  </si>
  <si>
    <t xml:space="preserve">San agustin del sur </t>
  </si>
  <si>
    <t>Yoelby Aljenadro Rodriguez Martinez</t>
  </si>
  <si>
    <t xml:space="preserve">Cotiza </t>
  </si>
  <si>
    <t xml:space="preserve">40$semanal </t>
  </si>
  <si>
    <t xml:space="preserve">a convenir </t>
  </si>
  <si>
    <t>Daniel Peña</t>
  </si>
  <si>
    <t xml:space="preserve">Sabana grande </t>
  </si>
  <si>
    <t xml:space="preserve">Lisbeli Maria Rodriguez Hernandez </t>
  </si>
  <si>
    <t>Lisbeli Maria Rodriguez Hernandez</t>
  </si>
  <si>
    <t xml:space="preserve">200$ a 300$ </t>
  </si>
  <si>
    <t xml:space="preserve">Wilber Rodriguez </t>
  </si>
  <si>
    <t>Av roosevelt</t>
  </si>
  <si>
    <t>Wilber Rodriguez</t>
  </si>
  <si>
    <t xml:space="preserve">300$ en adelante </t>
  </si>
  <si>
    <t xml:space="preserve">Beilimar Del Carmen Raga Hernandez </t>
  </si>
  <si>
    <t>Beilimar Del Carmen Raga Hernandez</t>
  </si>
  <si>
    <t xml:space="preserve">65$ semanal </t>
  </si>
  <si>
    <t xml:space="preserve">ayudante de mesonero o empaquetadora </t>
  </si>
  <si>
    <t xml:space="preserve">Jonathan Moreno </t>
  </si>
  <si>
    <t xml:space="preserve">Roca tarpeya </t>
  </si>
  <si>
    <t>Jonathan Moreno</t>
  </si>
  <si>
    <t>140$ semanal</t>
  </si>
  <si>
    <t xml:space="preserve">Rafael Lamania </t>
  </si>
  <si>
    <t xml:space="preserve">La candelaria </t>
  </si>
  <si>
    <t>Rafael Lamania</t>
  </si>
  <si>
    <t>1250$</t>
  </si>
  <si>
    <t xml:space="preserve">Jose Gustavo Bolivar Campos </t>
  </si>
  <si>
    <t>Jose Gustavo Bolivar Campos</t>
  </si>
  <si>
    <t>600 a 700$</t>
  </si>
  <si>
    <t xml:space="preserve">Simon Garcia </t>
  </si>
  <si>
    <t>400$ sueldo base</t>
  </si>
  <si>
    <t>Walter Cordova</t>
  </si>
  <si>
    <t>Macarao</t>
  </si>
  <si>
    <t xml:space="preserve">Yonatan Espinoza </t>
  </si>
  <si>
    <t>Yonatan Espinoza</t>
  </si>
  <si>
    <t xml:space="preserve">580$ o mas </t>
  </si>
  <si>
    <t xml:space="preserve">Keviangely Saracual </t>
  </si>
  <si>
    <t>Keviangely Saracual</t>
  </si>
  <si>
    <t>40$ semanal</t>
  </si>
  <si>
    <t xml:space="preserve">200$ </t>
  </si>
  <si>
    <t>Joselyn Sumabila</t>
  </si>
  <si>
    <t xml:space="preserve">Chacaito </t>
  </si>
  <si>
    <t>100$ quincenal</t>
  </si>
  <si>
    <t xml:space="preserve">Santiago Garcia </t>
  </si>
  <si>
    <t xml:space="preserve">Av fuerzas armadas </t>
  </si>
  <si>
    <t>Santiago Garcia</t>
  </si>
  <si>
    <t xml:space="preserve">Raifer Unamo </t>
  </si>
  <si>
    <t>Raifer Unamo</t>
  </si>
  <si>
    <t>110$</t>
  </si>
  <si>
    <t xml:space="preserve">Alfonzo Daniel Cadena Arteaga </t>
  </si>
  <si>
    <t xml:space="preserve">La concordia </t>
  </si>
  <si>
    <t>Alfonzo Daniel Cadena Arteaga</t>
  </si>
  <si>
    <t xml:space="preserve">Gleifrelis Miranda </t>
  </si>
  <si>
    <t>Gleifrelis Miranda</t>
  </si>
  <si>
    <t xml:space="preserve">Enviada con Bula </t>
  </si>
  <si>
    <t xml:space="preserve">Angie Carolina Ortega Vallenilla </t>
  </si>
  <si>
    <t>Angie Carolina Ortega Vallenilla</t>
  </si>
  <si>
    <t xml:space="preserve">enviada con Bula </t>
  </si>
  <si>
    <t xml:space="preserve">Scarleth Machado </t>
  </si>
  <si>
    <t>Scarleth Machado</t>
  </si>
  <si>
    <t xml:space="preserve">Wilbert Espinoza </t>
  </si>
  <si>
    <t xml:space="preserve">Prado de maria </t>
  </si>
  <si>
    <t>Wilbert Espinoza</t>
  </si>
  <si>
    <t>300 a 500$</t>
  </si>
  <si>
    <t xml:space="preserve">coordinar entrevista con emiliano </t>
  </si>
  <si>
    <t xml:space="preserve">Moises Mendoza </t>
  </si>
  <si>
    <t>Quinta crepo</t>
  </si>
  <si>
    <t>Moises Mendoza</t>
  </si>
  <si>
    <t xml:space="preserve">Jhon Alexander Castellanos Sanchez </t>
  </si>
  <si>
    <t xml:space="preserve">Plaza venezuela </t>
  </si>
  <si>
    <t>Jhon Alexander Castellanos Sanchez</t>
  </si>
  <si>
    <t xml:space="preserve">Abel Jhosue Guerrero Estanga </t>
  </si>
  <si>
    <t>Caño amarillo</t>
  </si>
  <si>
    <t>Abel Jhosue Guerrero Estanga</t>
  </si>
  <si>
    <t>250 a 300$</t>
  </si>
  <si>
    <t>Daniel A Mendoza O</t>
  </si>
  <si>
    <t xml:space="preserve">El paraiso </t>
  </si>
  <si>
    <t xml:space="preserve">Angel Gabriel Diaz </t>
  </si>
  <si>
    <t>Angel Gabriel Diaz</t>
  </si>
  <si>
    <t>300 a 400$</t>
  </si>
  <si>
    <t xml:space="preserve">Yurguey Oriana Ramos Castro </t>
  </si>
  <si>
    <t>110$ quincenal</t>
  </si>
  <si>
    <t>280$ mensual</t>
  </si>
  <si>
    <t xml:space="preserve">Emilyn Johana Ramos Oropeza </t>
  </si>
  <si>
    <t>petare</t>
  </si>
  <si>
    <t>Emilyn Johana Ramos Oropeza</t>
  </si>
  <si>
    <t>245$</t>
  </si>
  <si>
    <t xml:space="preserve">Jesus Alejandro Martinez Contreras </t>
  </si>
  <si>
    <t>Jesus Alejandro Martinez Contreras</t>
  </si>
  <si>
    <t>500$ mensual</t>
  </si>
  <si>
    <t xml:space="preserve">Charlie Antonio Ramos Oropeza </t>
  </si>
  <si>
    <t>Charlie Antonio Ramos Oropeza</t>
  </si>
  <si>
    <t>Stephanie Brembos</t>
  </si>
  <si>
    <t>Av san martin</t>
  </si>
  <si>
    <t>300 a 350$</t>
  </si>
  <si>
    <t>maneja xetux</t>
  </si>
  <si>
    <t xml:space="preserve">Meiverly Gabriela Lopéz Paredes </t>
  </si>
  <si>
    <t>Meiverly Gabriela Lopéz Paredes</t>
  </si>
  <si>
    <t>60 a 80$ semanal</t>
  </si>
  <si>
    <t xml:space="preserve">Valeri Sarimar Montero Barboza </t>
  </si>
  <si>
    <t>Jardines de valle</t>
  </si>
  <si>
    <t>Valeri Sarimar Montero Barboza</t>
  </si>
  <si>
    <t xml:space="preserve">300 a 350$ </t>
  </si>
  <si>
    <t xml:space="preserve">Harold Capote </t>
  </si>
  <si>
    <t>Nueva granada</t>
  </si>
  <si>
    <t>Harold Capote</t>
  </si>
  <si>
    <t>Conoimiento en todas las cocinas</t>
  </si>
  <si>
    <t>Jorge Luis Piña Atencio</t>
  </si>
  <si>
    <t>500 a 600$</t>
  </si>
  <si>
    <t>Cocina, italiana, china, criolla, arabe.</t>
  </si>
  <si>
    <t xml:space="preserve">Gabriel Leon </t>
  </si>
  <si>
    <t>El peñon</t>
  </si>
  <si>
    <t>700 a 800$</t>
  </si>
  <si>
    <t xml:space="preserve">Pablo Antonio Camacho Martinez </t>
  </si>
  <si>
    <t>Amilkar Jose Daniel Marquez Pire</t>
  </si>
  <si>
    <t>120$ semanal</t>
  </si>
  <si>
    <t>No tiene experiencia</t>
  </si>
  <si>
    <t xml:space="preserve">Diana Padron </t>
  </si>
  <si>
    <t xml:space="preserve">Anyelin Paiva Cardona </t>
  </si>
  <si>
    <t xml:space="preserve">Angel A Silva M </t>
  </si>
  <si>
    <t>Jeremias J Rojas G</t>
  </si>
  <si>
    <t xml:space="preserve">Josmar Abraham Alcala </t>
  </si>
  <si>
    <t>300$+ticket</t>
  </si>
  <si>
    <t xml:space="preserve">Jean Gregori Delgado Sanchez </t>
  </si>
  <si>
    <t>25$ diario</t>
  </si>
  <si>
    <t>400 a 450$</t>
  </si>
  <si>
    <t>Joel A Solorzano R</t>
  </si>
  <si>
    <t>600 a 650$</t>
  </si>
  <si>
    <t xml:space="preserve">Junior Serrano </t>
  </si>
  <si>
    <t xml:space="preserve">200$ semanal </t>
  </si>
  <si>
    <t>Adriana Torres</t>
  </si>
  <si>
    <t>Las minas de baruta</t>
  </si>
  <si>
    <t xml:space="preserve">Estudia los fines de semana </t>
  </si>
  <si>
    <t>Frank Luis Medina Granado</t>
  </si>
  <si>
    <t xml:space="preserve">Santa Cruz de Este </t>
  </si>
  <si>
    <t xml:space="preserve">Jean Carlos Ramos Lopez </t>
  </si>
  <si>
    <t>La Palomera</t>
  </si>
  <si>
    <t>Jean Carlos Ramos Lopez</t>
  </si>
  <si>
    <t xml:space="preserve">Daniel Alexander Simoza Vargas </t>
  </si>
  <si>
    <t>Daniel Alexander Simoza Vargas</t>
  </si>
  <si>
    <t>6/17/2026</t>
  </si>
  <si>
    <t xml:space="preserve">Dayoed Jaime Tejera Ventura </t>
  </si>
  <si>
    <t>Dayoed Jaime Tejera Ventura</t>
  </si>
  <si>
    <t>Sebastian Enmanuel Hernandez Gelvis</t>
  </si>
  <si>
    <t>Ingresa el viernes 19/06/2026 en naranjos, evaluado por Olmos.</t>
  </si>
  <si>
    <t>Adrian G Rojas R</t>
  </si>
  <si>
    <t>470 ba 500$</t>
  </si>
  <si>
    <t>350 a 500$</t>
  </si>
  <si>
    <t>Anthony Johan Medina Granado</t>
  </si>
  <si>
    <t>Jade Nazareth Sanchez  Cuadro</t>
  </si>
  <si>
    <t>Jade Nazareth Sanchez Cuadro</t>
  </si>
  <si>
    <t>Annkara El Recreo</t>
  </si>
  <si>
    <t>Jose Aleixis Oviedo Trujillo</t>
  </si>
  <si>
    <t>Jose Alexis Oviedo Trujillo</t>
  </si>
  <si>
    <t xml:space="preserve">110$ mensual </t>
  </si>
  <si>
    <t>Angel Hermoso</t>
  </si>
  <si>
    <t xml:space="preserve">La Campiña </t>
  </si>
  <si>
    <t xml:space="preserve">Persona de alto valor, evaluado por Olmos </t>
  </si>
  <si>
    <t xml:space="preserve">Oliver Acosta </t>
  </si>
  <si>
    <t>Oliver Acosta</t>
  </si>
  <si>
    <t xml:space="preserve">80$ semanal </t>
  </si>
  <si>
    <t>300$ quincenal</t>
  </si>
  <si>
    <t xml:space="preserve">Personal de alto valor, evaluado por Olmos </t>
  </si>
  <si>
    <t xml:space="preserve">Jhosman Jose Rodriguez Larez </t>
  </si>
  <si>
    <t>Jhosman Jose Rodriguez Larez</t>
  </si>
  <si>
    <t xml:space="preserve">Jean Carlos Balsa Sahid </t>
  </si>
  <si>
    <t>Capitolio</t>
  </si>
  <si>
    <t>Jean Carlos Balsa Sahid</t>
  </si>
  <si>
    <t xml:space="preserve">Altamira-Tahona </t>
  </si>
  <si>
    <t xml:space="preserve">Jose Junior Liendo Silva </t>
  </si>
  <si>
    <t>Santa Cruz de Este, Baruta.</t>
  </si>
  <si>
    <t>Jose Junior Liendo Silva</t>
  </si>
  <si>
    <t>Eleaxis Jesus Carvajalino Muñoz</t>
  </si>
  <si>
    <t>Guatire</t>
  </si>
  <si>
    <t xml:space="preserve">Ruben Rangel </t>
  </si>
  <si>
    <t>La Rinconada</t>
  </si>
  <si>
    <t>Ruben Rangel</t>
  </si>
  <si>
    <t>Ricardo Martinez</t>
  </si>
  <si>
    <t>120$ quincenal</t>
  </si>
  <si>
    <t xml:space="preserve">Gerardo Antonio Oropeza Hernandez </t>
  </si>
  <si>
    <t xml:space="preserve">Barrio las Mayas </t>
  </si>
  <si>
    <t>Jose Enrique Chacaliaza Sifontes</t>
  </si>
  <si>
    <t xml:space="preserve">160$ + bono alimentacion </t>
  </si>
  <si>
    <t xml:space="preserve">Lech Anthony Carrizo Garcia </t>
  </si>
  <si>
    <t>Lech Anthony Carrizo Garcia</t>
  </si>
  <si>
    <t xml:space="preserve">Dayana Tineo Marquez </t>
  </si>
  <si>
    <t>Dayana Tineo Marquez</t>
  </si>
  <si>
    <t>350 a 400$</t>
  </si>
  <si>
    <t xml:space="preserve">Javier Perez </t>
  </si>
  <si>
    <t>Javier Perez</t>
  </si>
  <si>
    <t xml:space="preserve">25$ semanal </t>
  </si>
  <si>
    <t>70 a 100$</t>
  </si>
  <si>
    <t xml:space="preserve">Valeria Riguey Gil Osorio </t>
  </si>
  <si>
    <t xml:space="preserve">Av San Martin </t>
  </si>
  <si>
    <t>Valeria Riguey Gil Osorio</t>
  </si>
  <si>
    <t xml:space="preserve">80$ quincenal </t>
  </si>
  <si>
    <t xml:space="preserve">Nairoby Gonzalez </t>
  </si>
  <si>
    <t xml:space="preserve">La Hoyada </t>
  </si>
  <si>
    <t xml:space="preserve">270$ </t>
  </si>
  <si>
    <t>maneja Xetux</t>
  </si>
  <si>
    <t xml:space="preserve">Henrique Diaz </t>
  </si>
  <si>
    <t>60$ semanal</t>
  </si>
  <si>
    <t xml:space="preserve">Luis Gonzalez </t>
  </si>
  <si>
    <t>800 a 1000$</t>
  </si>
  <si>
    <t xml:space="preserve">Deyker Aiverson Hurtado Piñero </t>
  </si>
  <si>
    <t>Deyker Aiverson Hurtado Piñero</t>
  </si>
  <si>
    <t xml:space="preserve">Miguel Eduardo Ortega Blanco </t>
  </si>
  <si>
    <t xml:space="preserve">Antimano </t>
  </si>
  <si>
    <t xml:space="preserve">600$ </t>
  </si>
  <si>
    <t xml:space="preserve">Daniel Alberto Torres Leon </t>
  </si>
  <si>
    <t>260 280$</t>
  </si>
  <si>
    <t xml:space="preserve">Carlos Eduardo Ahumedo Sanchez </t>
  </si>
  <si>
    <t>400 a 500$</t>
  </si>
  <si>
    <t xml:space="preserve">Ramon Antonio Medina </t>
  </si>
  <si>
    <t xml:space="preserve">2000$ mensual </t>
  </si>
  <si>
    <t xml:space="preserve">Arianny Quezada </t>
  </si>
  <si>
    <t xml:space="preserve">Sarria </t>
  </si>
  <si>
    <t>reingreso, salio por motivos personales</t>
  </si>
  <si>
    <t xml:space="preserve">Nairis Milagros Silva Flores </t>
  </si>
  <si>
    <t>Los Valles de Tuy</t>
  </si>
  <si>
    <t xml:space="preserve">150$ semanal </t>
  </si>
  <si>
    <t xml:space="preserve">Wilmer Francis Rodriguez Barrios </t>
  </si>
  <si>
    <t>1200 a 1500$</t>
  </si>
  <si>
    <t xml:space="preserve">Moises Marrugo </t>
  </si>
  <si>
    <t xml:space="preserve">Maria Auxiliadora Cantillo Medina </t>
  </si>
  <si>
    <t xml:space="preserve">Jean Carlos Villa Guerrero </t>
  </si>
  <si>
    <t>Jean Carlos Villa Guerrero</t>
  </si>
  <si>
    <t xml:space="preserve">enviado annkara candelaria </t>
  </si>
  <si>
    <t xml:space="preserve">Deyker Alberto Gonzalez Ochoa </t>
  </si>
  <si>
    <t>Deyker Alberto Gonzalez Ochoa</t>
  </si>
  <si>
    <t>Jose Antonio Del Castillo</t>
  </si>
  <si>
    <t>Jose Antonio Del Castillo Sapiain</t>
  </si>
  <si>
    <t>Zamir Josue Rivero Martinez</t>
  </si>
  <si>
    <t>Beijing Altamira</t>
  </si>
  <si>
    <t>Heriberto Gomez Barcha</t>
  </si>
  <si>
    <t>Ronald Ramirez</t>
  </si>
  <si>
    <t>ayudante de cocina o mesonero</t>
  </si>
  <si>
    <t>Yeison Jaramillo</t>
  </si>
  <si>
    <t xml:space="preserve">Cocinero comida china </t>
  </si>
  <si>
    <t xml:space="preserve">David Veliz </t>
  </si>
  <si>
    <t>Paraiso</t>
  </si>
  <si>
    <t>David Veliz .pdf</t>
  </si>
  <si>
    <t>David Eduardo Carrillo Hernandez</t>
  </si>
  <si>
    <t>Cocina Arabe</t>
  </si>
  <si>
    <t xml:space="preserve">Carlos Puerta </t>
  </si>
  <si>
    <t>Carlos Puerta</t>
  </si>
  <si>
    <t>600 o 700$</t>
  </si>
  <si>
    <t xml:space="preserve">Uriel Castillo </t>
  </si>
  <si>
    <t>La Yaguara</t>
  </si>
  <si>
    <t>Uriel Castillo</t>
  </si>
  <si>
    <t>Eddyellys Esther Jimenez Vasquez</t>
  </si>
  <si>
    <t>ayudante de cocina o mesonera</t>
  </si>
  <si>
    <t xml:space="preserve">Emily Julieth Olivero Valencia </t>
  </si>
  <si>
    <t>Emily Julieth Olivero Valencia</t>
  </si>
  <si>
    <t>390$</t>
  </si>
  <si>
    <t xml:space="preserve">Xetux </t>
  </si>
  <si>
    <t xml:space="preserve">Yorgelis Carolina Polanco Valladares </t>
  </si>
  <si>
    <t xml:space="preserve">Santa Cruz del este </t>
  </si>
  <si>
    <t>Yorgelis Carolina Polanco Valladares</t>
  </si>
  <si>
    <t>320$ a 350$</t>
  </si>
  <si>
    <t xml:space="preserve">Reymarvi Machado </t>
  </si>
  <si>
    <t>Av Fuerzas Armada</t>
  </si>
  <si>
    <t>Reymarvi Machado</t>
  </si>
  <si>
    <t xml:space="preserve">Jhon Hernandez </t>
  </si>
  <si>
    <t xml:space="preserve">El valle sector cerro grande </t>
  </si>
  <si>
    <t>Jhon Hernadez</t>
  </si>
  <si>
    <t>Xetux</t>
  </si>
  <si>
    <t>Victor Manuel Chirino Guerrero</t>
  </si>
  <si>
    <t>Víctor Manuel Chirino Guerrero .pdf</t>
  </si>
  <si>
    <t>80$ semanal</t>
  </si>
  <si>
    <t>Jesus Poncho</t>
  </si>
  <si>
    <t xml:space="preserve">Los valles del tuy </t>
  </si>
  <si>
    <t>80$ a 100% quincenal</t>
  </si>
  <si>
    <t>200 a 250$</t>
  </si>
  <si>
    <t xml:space="preserve">Se llamo ya tiene trabajo </t>
  </si>
  <si>
    <t xml:space="preserve">Erick Alexander Larez Fuentes </t>
  </si>
  <si>
    <t>Erick Alexander Larez Fuentes</t>
  </si>
  <si>
    <t xml:space="preserve">Xetux, odoo, </t>
  </si>
  <si>
    <t xml:space="preserve">Luis David Diminguez Diaz </t>
  </si>
  <si>
    <t>Petarle el llanito</t>
  </si>
  <si>
    <t>Luis David Dominguez Diaz</t>
  </si>
  <si>
    <t xml:space="preserve">200$ base </t>
  </si>
  <si>
    <t>Kerwuiz Blanquez</t>
  </si>
  <si>
    <t xml:space="preserve">500$ a 600$ </t>
  </si>
  <si>
    <t xml:space="preserve">Barbara Glott </t>
  </si>
  <si>
    <t>Barbara Glott</t>
  </si>
  <si>
    <t>Oscar Antonio Gonzales Jaspe</t>
  </si>
  <si>
    <t>Oscar Antonio Gonzalez Jaspe</t>
  </si>
  <si>
    <t>Natasha Niño</t>
  </si>
  <si>
    <t>Noyiber Josefina Oliveros Montoya</t>
  </si>
  <si>
    <t>Noyiber Josefina Oliveros Montoya .pdf</t>
  </si>
  <si>
    <t>Marie Glys Lugo</t>
  </si>
  <si>
    <t>Parque Caiza Mariche</t>
  </si>
  <si>
    <t xml:space="preserve">No llevó Cv. 33 años </t>
  </si>
  <si>
    <t xml:space="preserve">Omar Landaeta </t>
  </si>
  <si>
    <t xml:space="preserve">No llevó Cv </t>
  </si>
  <si>
    <t xml:space="preserve">Getsymar Azuaje </t>
  </si>
  <si>
    <t>Getsymar Azuaje</t>
  </si>
  <si>
    <t>Ruben Rico</t>
  </si>
  <si>
    <t xml:space="preserve">El Cafetal </t>
  </si>
  <si>
    <t>Cristhian Perez Castillo</t>
  </si>
  <si>
    <t>Cristhian Perez Castillo .pdf</t>
  </si>
  <si>
    <t>Yorgi Alexander Ramirez Castro</t>
  </si>
  <si>
    <t xml:space="preserve">Grikseit Machado </t>
  </si>
  <si>
    <t>Candelaria</t>
  </si>
  <si>
    <t>Grikseit Machado</t>
  </si>
  <si>
    <t>Jesus Unamo</t>
  </si>
  <si>
    <t>Jesús Unamo</t>
  </si>
  <si>
    <t>90$ quincenal</t>
  </si>
  <si>
    <t xml:space="preserve">Valeska Arteaga </t>
  </si>
  <si>
    <t>Valeska Arteaga</t>
  </si>
  <si>
    <t>Karina Alejandra Carrillo Pereira</t>
  </si>
  <si>
    <t>La Union - El Hatillo</t>
  </si>
  <si>
    <t>90$ semanal</t>
  </si>
  <si>
    <t>Jorge Omar Garcia Huerta</t>
  </si>
  <si>
    <t>Frayner Nuñez</t>
  </si>
  <si>
    <t xml:space="preserve">La california </t>
  </si>
  <si>
    <t xml:space="preserve">200$ a 250$ </t>
  </si>
  <si>
    <t>Luigi Jhon Arteaga Lopez</t>
  </si>
  <si>
    <t>270$ Mensual</t>
  </si>
  <si>
    <t>260$ a 300$</t>
  </si>
  <si>
    <t>Cristian Berrio Castro</t>
  </si>
  <si>
    <t>Turumo</t>
  </si>
  <si>
    <t>500$ en adelante</t>
  </si>
  <si>
    <t>Eskeiberth Eusneider Garcia</t>
  </si>
  <si>
    <t>Yaigle Mayerling Bello Gonzalez</t>
  </si>
  <si>
    <t xml:space="preserve">no reingreso </t>
  </si>
  <si>
    <t>Jesus Manuel Donado Correa</t>
  </si>
  <si>
    <t>150$ base + propina 30 o 40$</t>
  </si>
  <si>
    <t>150$ base</t>
  </si>
  <si>
    <t>Jaritzom Gonzalez</t>
  </si>
  <si>
    <t>Cementerio</t>
  </si>
  <si>
    <t xml:space="preserve">Jaritzom Gonzalez </t>
  </si>
  <si>
    <t xml:space="preserve">550$ a 600$ </t>
  </si>
  <si>
    <t>Jaider Osneiber Velasquez Pinto</t>
  </si>
  <si>
    <t>Oswaldo Enriquez Petit Osuna</t>
  </si>
  <si>
    <t xml:space="preserve">300$ a 400$ </t>
  </si>
  <si>
    <t>No Llevó Cv</t>
  </si>
  <si>
    <t xml:space="preserve">Irvin Francouce Alvarez Concepción </t>
  </si>
  <si>
    <t xml:space="preserve">El recreo </t>
  </si>
  <si>
    <t>Starlin Eduardo Gordon</t>
  </si>
  <si>
    <t xml:space="preserve">La pastora </t>
  </si>
  <si>
    <t>103$ quincenal</t>
  </si>
  <si>
    <t>230$ a 250$</t>
  </si>
  <si>
    <t>Maikel Nieto</t>
  </si>
  <si>
    <t>106$ semanal + propina</t>
  </si>
  <si>
    <t>dependiendo</t>
  </si>
  <si>
    <t xml:space="preserve">Luisa Maria Rivera Pulido </t>
  </si>
  <si>
    <t>Hatillo - La union</t>
  </si>
  <si>
    <t>Luisa Maria Rivera Pulido</t>
  </si>
  <si>
    <t xml:space="preserve">Argenis Jose Gonzalez Blanco </t>
  </si>
  <si>
    <t>Argenis Jose Gonzalez Blanco</t>
  </si>
  <si>
    <t xml:space="preserve">75$ semanal </t>
  </si>
  <si>
    <t>75$ a 80$ semanal</t>
  </si>
  <si>
    <t>Jean Franklin Piñero Borges</t>
  </si>
  <si>
    <t>mas de 100$</t>
  </si>
  <si>
    <t xml:space="preserve">Anibal David Ibarra Roman </t>
  </si>
  <si>
    <t>Anibal David Ibarra Roman</t>
  </si>
  <si>
    <t xml:space="preserve">Albert Yogney Berroteran Avila </t>
  </si>
  <si>
    <t>Albert Yogney Berroteran Avila</t>
  </si>
  <si>
    <t xml:space="preserve">Luis Daniel Boada Marcano </t>
  </si>
  <si>
    <t>Luis Daniel Boada Marcano</t>
  </si>
  <si>
    <t>Diego Rafael Diaz Soler</t>
  </si>
  <si>
    <t xml:space="preserve">Idiel Peñalver </t>
  </si>
  <si>
    <t>Idiel Peñalver</t>
  </si>
  <si>
    <t>Mayuri Cristina Reyes Reyes</t>
  </si>
  <si>
    <t xml:space="preserve">120$ mensual </t>
  </si>
  <si>
    <t>depende del cargo</t>
  </si>
  <si>
    <t>Rosa Izarra</t>
  </si>
  <si>
    <t>300$ mas propina</t>
  </si>
  <si>
    <t xml:space="preserve">Angel Manuel Ordaz Vegas </t>
  </si>
  <si>
    <t xml:space="preserve">Los Magallanes </t>
  </si>
  <si>
    <t>Angel Manuel Ordaz Vegas</t>
  </si>
  <si>
    <t xml:space="preserve">200$ o mas </t>
  </si>
  <si>
    <t>Fue enviado 23/7/2026</t>
  </si>
  <si>
    <t>Carmen Rosa Echenique</t>
  </si>
  <si>
    <t>Roiner Josue Saracual Perez</t>
  </si>
  <si>
    <t>Douglas Jose Franquiz Martinez</t>
  </si>
  <si>
    <t>Mairelys Diaz</t>
  </si>
  <si>
    <t>La Guaira Naiguata</t>
  </si>
  <si>
    <t xml:space="preserve">Sueldo minimo </t>
  </si>
  <si>
    <t>Emily Katiuska Ortiz Castillo</t>
  </si>
  <si>
    <t xml:space="preserve">130$ semanal </t>
  </si>
  <si>
    <t>Kahiry Salas</t>
  </si>
  <si>
    <t xml:space="preserve">Magnulys Landaeta </t>
  </si>
  <si>
    <t>Magnulys Landaeta</t>
  </si>
  <si>
    <t xml:space="preserve">300$ </t>
  </si>
  <si>
    <t>Vivianny Luvimar Calzadilla Lopez</t>
  </si>
  <si>
    <t xml:space="preserve">Los jardines del valle </t>
  </si>
  <si>
    <t>50$ semanal a bcv</t>
  </si>
  <si>
    <t>350$ dependiendo del trabajo</t>
  </si>
  <si>
    <t xml:space="preserve">Maifel Rodriguez </t>
  </si>
  <si>
    <t xml:space="preserve">El valle los jardines </t>
  </si>
  <si>
    <t>Maifel Rodriguez</t>
  </si>
  <si>
    <t xml:space="preserve">70$ </t>
  </si>
  <si>
    <t>Doriana Montero</t>
  </si>
  <si>
    <t>Los rosales -  la bandera</t>
  </si>
  <si>
    <t xml:space="preserve">60$ </t>
  </si>
  <si>
    <t>70$ a 80$ semanal</t>
  </si>
  <si>
    <t>Joberlin Desiree Gonzalez Salazar</t>
  </si>
  <si>
    <t>250$ a 350$</t>
  </si>
  <si>
    <t>Isaura Minneli Maiz</t>
  </si>
  <si>
    <t>75$ semanal</t>
  </si>
  <si>
    <t>Yulianny Centero</t>
  </si>
  <si>
    <t>Las adjuntas</t>
  </si>
  <si>
    <t>Yulianny Centeno</t>
  </si>
  <si>
    <t>300$ en adelante</t>
  </si>
  <si>
    <t>si Xetux</t>
  </si>
  <si>
    <t>Dayaridt Alejandra Izquiel Perdomo</t>
  </si>
  <si>
    <t>Petare Palo verde</t>
  </si>
  <si>
    <t xml:space="preserve">50$ semanal </t>
  </si>
  <si>
    <t>Yoderlin Bencomo</t>
  </si>
  <si>
    <t xml:space="preserve">300$ a 320$ </t>
  </si>
  <si>
    <t>Si Xetux</t>
  </si>
  <si>
    <t>Nunca contesto</t>
  </si>
  <si>
    <t xml:space="preserve">Yoylin Jackeline Velazquez Hidalgo </t>
  </si>
  <si>
    <t>Yoylin Jackeline Velazquez Hidalgo</t>
  </si>
  <si>
    <t>80$ a 90$ semanal</t>
  </si>
  <si>
    <t>Profic</t>
  </si>
  <si>
    <t>Shantal Gonzalez</t>
  </si>
  <si>
    <t>200$ quincenal</t>
  </si>
  <si>
    <t>250$ a 320$</t>
  </si>
  <si>
    <t xml:space="preserve">Eduardo Jose Campos Pineda </t>
  </si>
  <si>
    <t xml:space="preserve">av fuerzas armadas </t>
  </si>
  <si>
    <t>Eduardo Jose Campos Pineda .pdf</t>
  </si>
  <si>
    <t>300$ a 400$</t>
  </si>
  <si>
    <t>Carlos Sanchez</t>
  </si>
  <si>
    <t>Carlos Sanchez .pdf</t>
  </si>
  <si>
    <t>300$ + 1200$</t>
  </si>
  <si>
    <t>1000$ a 1200$</t>
  </si>
  <si>
    <t xml:space="preserve">Yanexy Garcia </t>
  </si>
  <si>
    <t>Yanexy Garcia</t>
  </si>
  <si>
    <t>350$ en adelante</t>
  </si>
  <si>
    <t xml:space="preserve">Maria Teresa Rodriguez </t>
  </si>
  <si>
    <t>Maria Teresa Rodriguez</t>
  </si>
  <si>
    <t xml:space="preserve">No fue mas. </t>
  </si>
  <si>
    <t>Carlos Daniel Manzano Ramos</t>
  </si>
  <si>
    <t>El hatillo - La Guairita</t>
  </si>
  <si>
    <t>dependiendo del cargo</t>
  </si>
  <si>
    <t>Carlos Eduardo Manzano Ramos</t>
  </si>
  <si>
    <t xml:space="preserve">El hatillo </t>
  </si>
  <si>
    <t xml:space="preserve">80$ diurno semanal 150$ nocturno </t>
  </si>
  <si>
    <t xml:space="preserve">Dany Rafael Azuaje Garcia </t>
  </si>
  <si>
    <t>Dany Rafael Azuaje Garcia</t>
  </si>
  <si>
    <t xml:space="preserve">180$ semanal </t>
  </si>
  <si>
    <t>Citado con Glen</t>
  </si>
  <si>
    <t xml:space="preserve">Jonathan Alvarez </t>
  </si>
  <si>
    <t>Jonathan Alvarez</t>
  </si>
  <si>
    <t>500$ mas propinas</t>
  </si>
  <si>
    <t>Jesus Rafael Rengel Chacon</t>
  </si>
  <si>
    <t>150$ semanal</t>
  </si>
  <si>
    <t>Lousimar Salazar</t>
  </si>
  <si>
    <t>500$ a 600$</t>
  </si>
  <si>
    <t xml:space="preserve">Angel Grimaldo </t>
  </si>
  <si>
    <t>Angel Grimaldo</t>
  </si>
  <si>
    <t xml:space="preserve">Jenisci Vargas </t>
  </si>
  <si>
    <t>Andrea Velasco</t>
  </si>
  <si>
    <t>Maria De Los Angeles Guevara Camejo</t>
  </si>
  <si>
    <t>Los magallanes de Catia</t>
  </si>
  <si>
    <t xml:space="preserve">390$ </t>
  </si>
  <si>
    <t>Carlos Mareano</t>
  </si>
  <si>
    <t xml:space="preserve">Rosange Teran </t>
  </si>
  <si>
    <t>80$ mensual</t>
  </si>
  <si>
    <t>120$ mensual</t>
  </si>
  <si>
    <t>Leonela Gallardo Valera</t>
  </si>
  <si>
    <t>140$ quincenal</t>
  </si>
  <si>
    <t>Carolina Peña</t>
  </si>
  <si>
    <t>Joselyn Del Carme Duno Mendoza</t>
  </si>
  <si>
    <t>Daniela Carolina Ramirez Duno</t>
  </si>
  <si>
    <t>50$ semanal</t>
  </si>
  <si>
    <t>Luskardhitt Juneiska Francia Rodriguez</t>
  </si>
  <si>
    <t xml:space="preserve">Valle Coche </t>
  </si>
  <si>
    <t xml:space="preserve">400$ a 450$ </t>
  </si>
  <si>
    <t>Oscar Eduardo Palacio</t>
  </si>
  <si>
    <t xml:space="preserve">Yeudelin Piñango </t>
  </si>
  <si>
    <t xml:space="preserve">Francisco Roman </t>
  </si>
  <si>
    <t>Minas de baruta</t>
  </si>
  <si>
    <t xml:space="preserve">Mariangel Perez Larez </t>
  </si>
  <si>
    <t>Greivan Bethania Peroza Ramos</t>
  </si>
  <si>
    <t>Greivan Bethania Peroza Ramos.pdf</t>
  </si>
  <si>
    <t>Colmenares, E</t>
  </si>
  <si>
    <t>80$ semanal y punto de servicio</t>
  </si>
  <si>
    <t xml:space="preserve">Maria Jimenez </t>
  </si>
  <si>
    <t>Maria Jimenez .pdf</t>
  </si>
  <si>
    <t xml:space="preserve">100$ quincenal y 40$ alimentacion </t>
  </si>
  <si>
    <t xml:space="preserve">250$ </t>
  </si>
  <si>
    <t>Enviada 22/7/2026</t>
  </si>
  <si>
    <t xml:space="preserve">Melissa Anerlin Vallenilla </t>
  </si>
  <si>
    <t>Melissa Anerlin Vallenilla Vallenilla .pdf</t>
  </si>
  <si>
    <t xml:space="preserve">Ya tiene otro trabajo </t>
  </si>
  <si>
    <t>Jenniffer Creanny Gutierrez</t>
  </si>
  <si>
    <t>Jenniffer Creanny Gutierrez .pdf</t>
  </si>
  <si>
    <t xml:space="preserve">SE contrato como empaquetadora en la Candelaria </t>
  </si>
  <si>
    <t>no xetux</t>
  </si>
  <si>
    <t xml:space="preserve">Oscar Guardia </t>
  </si>
  <si>
    <t xml:space="preserve">Teatros la concordia </t>
  </si>
  <si>
    <t>Oscar Guardia .pdf</t>
  </si>
  <si>
    <t>mas 250$</t>
  </si>
  <si>
    <t xml:space="preserve">Xetux mesonero </t>
  </si>
  <si>
    <t xml:space="preserve">Heilen Coy </t>
  </si>
  <si>
    <t>Hoyada</t>
  </si>
  <si>
    <t>Heilen Coy .pdf</t>
  </si>
  <si>
    <t xml:space="preserve">mas 60$ </t>
  </si>
  <si>
    <t xml:space="preserve">Danyalith Rosales </t>
  </si>
  <si>
    <t>Danyalith Rosales .pdf</t>
  </si>
  <si>
    <t>Kelly Sarabia</t>
  </si>
  <si>
    <t>Kelly Sarabia .pdf</t>
  </si>
  <si>
    <t xml:space="preserve">Karelys Ferrer </t>
  </si>
  <si>
    <t>Karelys Ferrer .pdf</t>
  </si>
  <si>
    <t xml:space="preserve">poco xetux </t>
  </si>
  <si>
    <t xml:space="preserve">Daniela Milla </t>
  </si>
  <si>
    <t>Daniela Milla</t>
  </si>
  <si>
    <t xml:space="preserve">Joisbert Sulbaran </t>
  </si>
  <si>
    <t>Joisbert Sulbaran .pdf</t>
  </si>
  <si>
    <t xml:space="preserve">Elegible cuando haya una vacanate de ayudante de cocina </t>
  </si>
  <si>
    <t xml:space="preserve">Ya trabajo con nosotros en Ankara los naranjos. Por motivos de viaje se fue. Validar </t>
  </si>
  <si>
    <t>Manuel Gomez</t>
  </si>
  <si>
    <t>El Llanito</t>
  </si>
  <si>
    <t>Manuel Gomez .pdf</t>
  </si>
  <si>
    <t xml:space="preserve">400$ a 500$ </t>
  </si>
  <si>
    <t>Victoria Flores</t>
  </si>
  <si>
    <t>Victoria Flores .pdf</t>
  </si>
  <si>
    <t>Kenny Samuel Cedeño Uzcategui</t>
  </si>
  <si>
    <t>Kenny Samuel Cedeño Uzcategui .pdf</t>
  </si>
  <si>
    <t xml:space="preserve">Adrian David Sanz Garcia </t>
  </si>
  <si>
    <t>Adrian David Sanz Garcia .pdf</t>
  </si>
  <si>
    <t xml:space="preserve">Julie Marquez </t>
  </si>
  <si>
    <t>Julie Marquez .pdf</t>
  </si>
  <si>
    <t xml:space="preserve">No asistio en dos ocasiones que se le informo </t>
  </si>
  <si>
    <t>Jean Anzola</t>
  </si>
  <si>
    <t xml:space="preserve">No tiene numero de tlf </t>
  </si>
  <si>
    <t>No llevo Cv 04242948435</t>
  </si>
  <si>
    <t>Cruz Armando Yendiz Ledezma</t>
  </si>
  <si>
    <t>Cruz Armando Yendiz Ledezma .pdf</t>
  </si>
  <si>
    <t>350$ quinceanl</t>
  </si>
  <si>
    <t xml:space="preserve">No asistio </t>
  </si>
  <si>
    <t>Nelson Jatniel Gonzalez La Cruz</t>
  </si>
  <si>
    <t>Nelson Jatniel Gonzalez La Cruz .pdf</t>
  </si>
  <si>
    <t xml:space="preserve">Mileidis Yepes </t>
  </si>
  <si>
    <t>Las Minas</t>
  </si>
  <si>
    <t>Mileidis Yepes .pdf</t>
  </si>
  <si>
    <t>aconvenir</t>
  </si>
  <si>
    <t xml:space="preserve">Jorge Daniel Diaz Castro </t>
  </si>
  <si>
    <t>Santa Cruz</t>
  </si>
  <si>
    <t>Jorge Daniel Díaz Castro .pdf</t>
  </si>
  <si>
    <t>Yaritzabel Gutierrez</t>
  </si>
  <si>
    <t>Yaritzabel Gutierrez .pdf</t>
  </si>
  <si>
    <t>80$ quincenal</t>
  </si>
  <si>
    <t>Enviada 29/07/2026</t>
  </si>
  <si>
    <t>Mariamelys Zuñiga</t>
  </si>
  <si>
    <t>El llanito</t>
  </si>
  <si>
    <t>Mariamelys Zuñiga .pdf</t>
  </si>
  <si>
    <t>Moises Echezuria</t>
  </si>
  <si>
    <t>Moises Echezuria .pdf</t>
  </si>
  <si>
    <t>Enviados a Prueba Con Glen</t>
  </si>
  <si>
    <t>Jampier Jhon Alejandro Vega Peñaloza</t>
  </si>
  <si>
    <t>Jampier Jhon Alejandro Vega Peñaloza .pdf</t>
  </si>
  <si>
    <t>Darwin Alejandro Diaz Hidalgo</t>
  </si>
  <si>
    <t>Darwin Alejandro Diaz Hidalgo .pdf</t>
  </si>
  <si>
    <t xml:space="preserve">400$ a 350$ </t>
  </si>
  <si>
    <t>Wuilian Efrain Rojas Molina</t>
  </si>
  <si>
    <t>Wuilian Efrain Rojas Molina.pdf</t>
  </si>
  <si>
    <t>Luis Serrano</t>
  </si>
  <si>
    <t>Luis Serrano .pdf</t>
  </si>
  <si>
    <t xml:space="preserve">Ya trabajo con nosotrso validar </t>
  </si>
  <si>
    <t xml:space="preserve">Irene Guarata </t>
  </si>
  <si>
    <t>Catia av Sucre</t>
  </si>
  <si>
    <t>Irene Guarata .pdf</t>
  </si>
  <si>
    <t xml:space="preserve">Esta trabajando con nosotros </t>
  </si>
  <si>
    <t>Marianny Velasquez</t>
  </si>
  <si>
    <t>Marianny Velasquez .pdf</t>
  </si>
  <si>
    <t>Cajera, mesonera, anfitriona</t>
  </si>
  <si>
    <t xml:space="preserve">Cristian Moreno </t>
  </si>
  <si>
    <t>La Candelaria</t>
  </si>
  <si>
    <t>No llevo Cv 04241395839</t>
  </si>
  <si>
    <t xml:space="preserve">Cheylys Calvo </t>
  </si>
  <si>
    <t>San Agustin</t>
  </si>
  <si>
    <t>250$ a 280$</t>
  </si>
  <si>
    <t xml:space="preserve">numero equivocado </t>
  </si>
  <si>
    <t>No llevo Cv 04129868436</t>
  </si>
  <si>
    <t xml:space="preserve">Jose Daniel Castro Cordoba </t>
  </si>
  <si>
    <t>La Guaira tiene donde quedarse en las mercedes</t>
  </si>
  <si>
    <t>José Daniel Castro Cordova .pdf</t>
  </si>
  <si>
    <t xml:space="preserve">Valeria Gonzalez </t>
  </si>
  <si>
    <t>Valeria Gonzalez .pdf</t>
  </si>
  <si>
    <t xml:space="preserve">Estudia gastronomia Mariano Moreno Lune a Viernes 8am a 12pm </t>
  </si>
  <si>
    <t>Paola Hernandez Oliveros</t>
  </si>
  <si>
    <t>Paola Hernández Oliveros .pdf</t>
  </si>
  <si>
    <t xml:space="preserve">Curso Estetica lun y sabado 1pm a 5pm </t>
  </si>
  <si>
    <t>Victoria Melo .pdf</t>
  </si>
  <si>
    <t>380$ a 450$</t>
  </si>
  <si>
    <t>Jesus Zambrano</t>
  </si>
  <si>
    <t>Pasante de Tecnologia</t>
  </si>
  <si>
    <t>Casalta Propatria Puede quedarse en Altamira</t>
  </si>
  <si>
    <t>Jesus Zambrano.pdf</t>
  </si>
  <si>
    <t>200$ a 300$</t>
  </si>
  <si>
    <t xml:space="preserve">Raul Rojas </t>
  </si>
  <si>
    <t>Fuerte Triuna</t>
  </si>
  <si>
    <t>Raul Rojas .pdf</t>
  </si>
  <si>
    <t>400$ o mas</t>
  </si>
  <si>
    <t xml:space="preserve">6 años de experiencia </t>
  </si>
  <si>
    <t>William Alberto Castellanos Gonzalez</t>
  </si>
  <si>
    <t>William Alberto Castellanos Gonzalez.pdf</t>
  </si>
  <si>
    <t>Jokabeth Yosuanny Perez Ramirez</t>
  </si>
  <si>
    <t>Jokabeth Yosuanny Perez Ramirez .pdf</t>
  </si>
  <si>
    <t>Luis Alejandro Pernia Ramirez</t>
  </si>
  <si>
    <t>Agua Sal</t>
  </si>
  <si>
    <t>Luis Alejandro Pernia Ramirez .pdf</t>
  </si>
  <si>
    <t>60 quincenal</t>
  </si>
  <si>
    <t>100 semanal</t>
  </si>
  <si>
    <t>Danny Bermudez</t>
  </si>
  <si>
    <t>Distribucion y Logistica</t>
  </si>
  <si>
    <t>Av principal Cementerio</t>
  </si>
  <si>
    <t>Danny Bermudez .pdf</t>
  </si>
  <si>
    <t>Rhowis Valencia Castro</t>
  </si>
  <si>
    <t>Las minas de Baruta</t>
  </si>
  <si>
    <t>Rhowis Valencia Castro .pdf</t>
  </si>
  <si>
    <t>Fanny Mendez</t>
  </si>
  <si>
    <t>Fanny Mendez .pdf</t>
  </si>
  <si>
    <t>600$ mas sueldo base 20$</t>
  </si>
  <si>
    <t xml:space="preserve">Juan Diego Castillo </t>
  </si>
  <si>
    <t>Hatillo La Union</t>
  </si>
  <si>
    <t>Juan Diego Castillo .pdf</t>
  </si>
  <si>
    <t>Enviado a pruebas con Olmos</t>
  </si>
  <si>
    <t xml:space="preserve">no le conviene oferta laboral </t>
  </si>
  <si>
    <t>Valentina Paredes</t>
  </si>
  <si>
    <t>Catia Horizonte</t>
  </si>
  <si>
    <t>Valentina Paredes .pdf</t>
  </si>
  <si>
    <t>300 mensual</t>
  </si>
  <si>
    <t xml:space="preserve">Jorge Perez </t>
  </si>
  <si>
    <t>Jorge Perez .pdf</t>
  </si>
  <si>
    <t>400 a 420$</t>
  </si>
  <si>
    <t>Estefani Hidrogo</t>
  </si>
  <si>
    <t>Estefani Hidrogo .pdf</t>
  </si>
  <si>
    <t xml:space="preserve">no paso el periodo de prueba </t>
  </si>
  <si>
    <t>Cesar Idykel Estteffen Serrano</t>
  </si>
  <si>
    <t>servicios generales</t>
  </si>
  <si>
    <t>Cesar Idykel Estteffen Serrano .pdf</t>
  </si>
  <si>
    <t>Beverly Anhely Maitland Richardson</t>
  </si>
  <si>
    <t>Beverly Anhel Maitland Richardson .pdf</t>
  </si>
  <si>
    <t xml:space="preserve">Trabajó inicios de 2026 en el cargo y la sede. Se retiró por estudios. Volvio a trabajar con nosotros </t>
  </si>
  <si>
    <t xml:space="preserve">La paremicana </t>
  </si>
  <si>
    <t>Ramses Ulises Salom Vasquez .pdf</t>
  </si>
  <si>
    <t xml:space="preserve">Moto </t>
  </si>
  <si>
    <t>Jhoel Romero</t>
  </si>
  <si>
    <t>Jhoel Romero .pdf</t>
  </si>
  <si>
    <t>Depende del cargo</t>
  </si>
  <si>
    <t>Tiene experiencia jefe de cocina</t>
  </si>
  <si>
    <t xml:space="preserve">Melany Garcia </t>
  </si>
  <si>
    <t xml:space="preserve">Catia Lomas Urdaneta </t>
  </si>
  <si>
    <t>Melany Garcia .pdf</t>
  </si>
  <si>
    <t>Puede ser empaquetadora, Anfitriona</t>
  </si>
  <si>
    <t>Frank Lenz</t>
  </si>
  <si>
    <t>Mandar a prueba con Gleen</t>
  </si>
  <si>
    <t xml:space="preserve">ya fue a prueba. paso la prueba. hay que negociar la banda </t>
  </si>
  <si>
    <t>Blas Augusto Martos Miratias</t>
  </si>
  <si>
    <t>Blas Augusto Martos Miratias .pdf</t>
  </si>
  <si>
    <t>70 semanal</t>
  </si>
  <si>
    <t>Enviado a sede el 1/8/2026</t>
  </si>
  <si>
    <t>Meyker Bravo</t>
  </si>
  <si>
    <t>Plaza de Venezuela</t>
  </si>
  <si>
    <t>Meyker Bravo .pdf</t>
  </si>
  <si>
    <t>Dependiendo del cargo 350$</t>
  </si>
  <si>
    <t>Miguel Cisneros</t>
  </si>
  <si>
    <t>Miguel Cisneros .pdf</t>
  </si>
  <si>
    <t xml:space="preserve">Estudio nocturnos  necesita salir a las 4pm </t>
  </si>
  <si>
    <t xml:space="preserve">Estefania Martinez </t>
  </si>
  <si>
    <t>Estefania Martinez .pdf</t>
  </si>
  <si>
    <t xml:space="preserve">Poco Xetux, puede tambien para anfitriona empaquetadora </t>
  </si>
  <si>
    <t>se envio a sede el 1/8/2026</t>
  </si>
  <si>
    <t xml:space="preserve">Yuleisy Maria Paz Castro </t>
  </si>
  <si>
    <t>Yuleisy Maria Paz Castro .pdf</t>
  </si>
  <si>
    <t>Luis Alejandro Guerra Valera</t>
  </si>
  <si>
    <t>Luis Alejandro Guerra Valera .pdf</t>
  </si>
  <si>
    <t xml:space="preserve">Amerissis Parra </t>
  </si>
  <si>
    <t>Amerissis Parra .pdf</t>
  </si>
  <si>
    <t>Miguel Angel Brito Marquez</t>
  </si>
  <si>
    <t>La Carlota</t>
  </si>
  <si>
    <t>Miguel Angel Brito Marquez .pdf</t>
  </si>
  <si>
    <t>Agendar con Heber</t>
  </si>
  <si>
    <t>Jose Luis Torres Uriepe</t>
  </si>
  <si>
    <t>Jose Luis Torres Uriepe.pdf</t>
  </si>
  <si>
    <t xml:space="preserve">600$ mas punto de propina </t>
  </si>
  <si>
    <t xml:space="preserve">fue a prueba con Gleen </t>
  </si>
  <si>
    <t xml:space="preserve">B4 ayudante de cocina </t>
  </si>
  <si>
    <t xml:space="preserve">Maikol Bolivar </t>
  </si>
  <si>
    <t>Maikol Bolivar .pdf</t>
  </si>
  <si>
    <t xml:space="preserve">fue solo un dia </t>
  </si>
  <si>
    <t>Karolain Barreto</t>
  </si>
  <si>
    <t>Carretera Petare via a Guarenas</t>
  </si>
  <si>
    <t>Karolain Barreto.pdf</t>
  </si>
  <si>
    <t xml:space="preserve">Ronny Alexander Nuñez </t>
  </si>
  <si>
    <t>Brisas de Propatria</t>
  </si>
  <si>
    <t>Ronny Alexander Nuñez .pdf</t>
  </si>
  <si>
    <t>Nileska Ivannova Rodriguez Oropeza</t>
  </si>
  <si>
    <t>Nileska Ivannova Rodriguez Oropeza .pdf</t>
  </si>
  <si>
    <t>Le gustaria aprender de Cajera</t>
  </si>
  <si>
    <t xml:space="preserve">Se llamo, no acepto la oferta </t>
  </si>
  <si>
    <t>Rogelio Ruiz</t>
  </si>
  <si>
    <t>Rogelio Ruiz .pdf</t>
  </si>
  <si>
    <t xml:space="preserve">Fue solo un dia </t>
  </si>
  <si>
    <t>Emilianny Cinayn Anaya Leonet</t>
  </si>
  <si>
    <t>Emilianny Cinayn Anaya Leonet .pdf</t>
  </si>
  <si>
    <t>150$ a 250$</t>
  </si>
  <si>
    <t>Enviada a sede 30/07/2026</t>
  </si>
  <si>
    <t xml:space="preserve">Yeivelis Alexandra Salas Gonzalez </t>
  </si>
  <si>
    <t xml:space="preserve">San Agustin del sur </t>
  </si>
  <si>
    <t>Yeivelis Alexandra Salas Gonzalez .pdf</t>
  </si>
  <si>
    <t xml:space="preserve">primas trabajando con nosotros de empaquetadora y anfitriona </t>
  </si>
  <si>
    <t xml:space="preserve">Empezo a trabajar con nosotros </t>
  </si>
  <si>
    <t xml:space="preserve">Osmairelys Garcia </t>
  </si>
  <si>
    <t>Osmairelys Garcia .pdf</t>
  </si>
  <si>
    <t>actualmente 45$ semanal</t>
  </si>
  <si>
    <t xml:space="preserve">Kevin Hernandez </t>
  </si>
  <si>
    <t>Bello Monte</t>
  </si>
  <si>
    <t>Kevin Hernandez .pdf</t>
  </si>
  <si>
    <t xml:space="preserve">Vive alquilado Tambien tiene conocimiento ayudante de cocina </t>
  </si>
  <si>
    <t xml:space="preserve">Javier Sanchez </t>
  </si>
  <si>
    <t xml:space="preserve">Trabajo con nosotros. despedido </t>
  </si>
  <si>
    <t>Wladimir Jose Majanolucena</t>
  </si>
  <si>
    <t>Wladimir Jose Majano Lucena.pdf</t>
  </si>
  <si>
    <t>Salario Base</t>
  </si>
  <si>
    <t xml:space="preserve">Fue a prueba con Gleen </t>
  </si>
  <si>
    <t xml:space="preserve">Elegible </t>
  </si>
  <si>
    <t xml:space="preserve">Ysbel Yubizay Vera Estrada </t>
  </si>
  <si>
    <t xml:space="preserve">Miraflores </t>
  </si>
  <si>
    <t>Ysbel Yubizay Vera Estrada.pdf</t>
  </si>
  <si>
    <t>Elegible Cocinera B4</t>
  </si>
  <si>
    <t>Jesus Bello</t>
  </si>
  <si>
    <t>Jesus Bello.pdf</t>
  </si>
  <si>
    <t xml:space="preserve">Fue a Prueba con Gleen </t>
  </si>
  <si>
    <t>Elegible Banda 4 un mes y Despues Banda 3</t>
  </si>
  <si>
    <t xml:space="preserve">Keimary Lugo </t>
  </si>
  <si>
    <t>Keimary Lugo.pdf</t>
  </si>
  <si>
    <t xml:space="preserve">No puede por el horario </t>
  </si>
  <si>
    <t xml:space="preserve">Ysibelis Arellano </t>
  </si>
  <si>
    <t>Yisbelis Arellano.pdf</t>
  </si>
  <si>
    <t xml:space="preserve">No xetux </t>
  </si>
  <si>
    <t xml:space="preserve">Isaac Salom </t>
  </si>
  <si>
    <t xml:space="preserve">Avenida Panteon </t>
  </si>
  <si>
    <t>Isaac Salom.pdf</t>
  </si>
  <si>
    <t>180$ 0 200$</t>
  </si>
  <si>
    <t xml:space="preserve">Primer empleo abierto aprender </t>
  </si>
  <si>
    <t>Brayan Jaimes.pdf</t>
  </si>
  <si>
    <t>Haidee Del Carmen Gutierrez</t>
  </si>
  <si>
    <t>Haidee Del Carmen Gutierrez.pdf</t>
  </si>
  <si>
    <t>Dubrelis Yugley Bandes Perez</t>
  </si>
  <si>
    <t>Dubrelis Yugley Bandes Perez.pdf</t>
  </si>
  <si>
    <t xml:space="preserve">Cristian Espinal </t>
  </si>
  <si>
    <t xml:space="preserve">La California </t>
  </si>
  <si>
    <t>Cristian Espinal.pdf</t>
  </si>
  <si>
    <t>Eduardo Ramon Andrade Hernandez</t>
  </si>
  <si>
    <t>Eduard Ramon Andrade Hernandez.pdf</t>
  </si>
  <si>
    <t xml:space="preserve">Darwin Eduardo Viviani Harrinson </t>
  </si>
  <si>
    <t>Darwin Eduardo Viviani Harrinson.pdf</t>
  </si>
  <si>
    <t xml:space="preserve">se llamo, estaba trabajando ya </t>
  </si>
  <si>
    <t xml:space="preserve">Daniela Hernandez </t>
  </si>
  <si>
    <t>Daniela Hernandez.pdf</t>
  </si>
  <si>
    <t>Escarlett Mariana Reyes Berroteran</t>
  </si>
  <si>
    <t>Escarlett Mariana Reyes Berroteran.pdf</t>
  </si>
  <si>
    <t>Rodnelvis Alejandro Bermudez Matos</t>
  </si>
  <si>
    <t>Rodnelvis Alejandro Bermudez Matos.pdf</t>
  </si>
  <si>
    <t xml:space="preserve">Mandar a prueba con Gleen </t>
  </si>
  <si>
    <t>Jennifer Creanny Gutierrez.pdf</t>
  </si>
  <si>
    <t>Se envio a sede el 30/07/2026</t>
  </si>
  <si>
    <t>Darwin Efrain Peterson Delgado</t>
  </si>
  <si>
    <t>La lVega</t>
  </si>
  <si>
    <t>Darwin Efrain Peterson Delgado.pdf</t>
  </si>
  <si>
    <t>Marianny Mora</t>
  </si>
  <si>
    <t>Autopista Caracas la Guaira</t>
  </si>
  <si>
    <t>Marianny Mora.pdf</t>
  </si>
  <si>
    <t>Yara Urima Colina Pacheco</t>
  </si>
  <si>
    <t>Yara Urima Colina Pacheco.pdf</t>
  </si>
  <si>
    <t xml:space="preserve">Ariana Angelica Quijada Peña </t>
  </si>
  <si>
    <t xml:space="preserve">Paraiso </t>
  </si>
  <si>
    <t>Ariana Angelica Quijada Peña.pdf</t>
  </si>
  <si>
    <t xml:space="preserve">Luis Javier Hidalgo Hernandez </t>
  </si>
  <si>
    <t>Luis Javier Hidalgo Hernandez.pdf</t>
  </si>
  <si>
    <t>250$  a 300$</t>
  </si>
  <si>
    <t xml:space="preserve">Oswald Ruiz </t>
  </si>
  <si>
    <t>Oswald Ruiz.pdf</t>
  </si>
  <si>
    <t xml:space="preserve">Alondra Hernandez </t>
  </si>
  <si>
    <t xml:space="preserve">Vista Alegre </t>
  </si>
  <si>
    <t>Alondra Hernandez</t>
  </si>
  <si>
    <t>Eduardo Jose Molina</t>
  </si>
  <si>
    <t>Eduardo Jose Molina Sterling.pdf</t>
  </si>
  <si>
    <t xml:space="preserve">Dixon Perez </t>
  </si>
  <si>
    <t>Dixon Perez .pdf</t>
  </si>
  <si>
    <t xml:space="preserve">240$ a 300$ </t>
  </si>
  <si>
    <t xml:space="preserve">Yeison Emmanuel Araujo </t>
  </si>
  <si>
    <t>Yeison Emmanuel Araujo Avendaño .pdf</t>
  </si>
  <si>
    <t>Angelo MoisesnSanchez</t>
  </si>
  <si>
    <t>Lomas de Propatria</t>
  </si>
  <si>
    <t>Angelo Moises Sanchez .pdf</t>
  </si>
  <si>
    <t xml:space="preserve">Se mando a prueba, no espero para la prueba </t>
  </si>
  <si>
    <t>Alberto Jose Ibarra Muñoz</t>
  </si>
  <si>
    <t xml:space="preserve">El Hatillo </t>
  </si>
  <si>
    <t>Alberto Jose Ibarra Muñoz .pdf</t>
  </si>
  <si>
    <t>300 en adelante</t>
  </si>
  <si>
    <t>Santiago Mora</t>
  </si>
  <si>
    <t>Nueva Casarapa</t>
  </si>
  <si>
    <t>Santiago Mora .pdf</t>
  </si>
  <si>
    <t>Maria Ramirez</t>
  </si>
  <si>
    <t>Maria Ramirez .pdf</t>
  </si>
  <si>
    <t>no asistio porque fallecio un familiar</t>
  </si>
  <si>
    <t>Brigimar Melanie Rodriguez Ybarra</t>
  </si>
  <si>
    <t>Brigimar Melanie Rodriguez Ybarra .pdf</t>
  </si>
  <si>
    <t>15 diario</t>
  </si>
  <si>
    <t xml:space="preserve">No asisitio </t>
  </si>
  <si>
    <t>Samuel Pajaro</t>
  </si>
  <si>
    <t>Hoyo de la Puerta</t>
  </si>
  <si>
    <t>Samuel Pajaro .pdf</t>
  </si>
  <si>
    <t>Hendrick Bogado</t>
  </si>
  <si>
    <t>Hendrick Bogado .pdf</t>
  </si>
  <si>
    <t xml:space="preserve">Samuel Alexander Pedroza Luque </t>
  </si>
  <si>
    <t>Samuel Alexander Pedroza Luque .pdf</t>
  </si>
  <si>
    <t xml:space="preserve">William Flores Mavares </t>
  </si>
  <si>
    <t xml:space="preserve">Los Jardines del Valle </t>
  </si>
  <si>
    <t>William Flores Mavares .pdf</t>
  </si>
  <si>
    <t xml:space="preserve">Carmen Beatriz Guerra Rojas </t>
  </si>
  <si>
    <t>Carmen Beatriz Guerra Rojas .pdf</t>
  </si>
  <si>
    <t xml:space="preserve">300$ o mas </t>
  </si>
  <si>
    <t xml:space="preserve">Jheison Ramirez </t>
  </si>
  <si>
    <t xml:space="preserve">San Bernanrdino </t>
  </si>
  <si>
    <t>Jheison Ramirez .pdf</t>
  </si>
  <si>
    <t xml:space="preserve">270$ o mas </t>
  </si>
  <si>
    <t>Jomher Jose Castillo Rondon</t>
  </si>
  <si>
    <t>Av Lecuna</t>
  </si>
  <si>
    <t>trabajos anteriores salio por prblemas con los dueños</t>
  </si>
  <si>
    <t xml:space="preserve">Nilfred Torres </t>
  </si>
  <si>
    <t>Nilfred Torres .pdf</t>
  </si>
  <si>
    <t xml:space="preserve">Keysbely Romero </t>
  </si>
  <si>
    <t>Av Bolivar</t>
  </si>
  <si>
    <t>Keysbely Romero.pdf</t>
  </si>
  <si>
    <t xml:space="preserve">Mandar a prueba Tecnica con Camilo </t>
  </si>
  <si>
    <t>Andrew Roberth Arenas Castrillon</t>
  </si>
  <si>
    <t>Francelis Del Valle Quiaro</t>
  </si>
  <si>
    <t xml:space="preserve">Maria Daniela Duran Guillen </t>
  </si>
  <si>
    <t>Maria Daniela Duran Guillen .pdf</t>
  </si>
  <si>
    <t xml:space="preserve">Nunca contestó </t>
  </si>
  <si>
    <t>Chiquinquira Del Valle Ochoa Rondon</t>
  </si>
  <si>
    <t>Chiquinquira del Valle Ochoa Rondon .pdf</t>
  </si>
  <si>
    <t xml:space="preserve">fue solo dos dias </t>
  </si>
  <si>
    <t>Wilmary Cabrera</t>
  </si>
  <si>
    <t>Wilmary Cabrera.pdf</t>
  </si>
  <si>
    <t xml:space="preserve">Cecilia Del Carmen Andrade Godoy </t>
  </si>
  <si>
    <t>Sabe Xetux</t>
  </si>
  <si>
    <t>Melanie Krismar Mariño Flame</t>
  </si>
  <si>
    <t>Melanie Krismar Mariño Flame .pdf</t>
  </si>
  <si>
    <t>Wilmer Jesus Piñango Gelvez</t>
  </si>
  <si>
    <t>Wilmer Jesus Piñango Gelvez .pdf</t>
  </si>
  <si>
    <t xml:space="preserve">Banda 3. Se mando a prueba con gleen porque tiene certificado de sushero. pero no tiene experenica podria empezar como ayudante de cocina b3 </t>
  </si>
  <si>
    <t xml:space="preserve">Angela Gutierrez </t>
  </si>
  <si>
    <t>Angela Gutierrez .pdf</t>
  </si>
  <si>
    <t>Citada con Miguel</t>
  </si>
  <si>
    <t>Scarlet Andrea Schweigel Garcia</t>
  </si>
  <si>
    <t>Scarlet Andrea.pdf</t>
  </si>
  <si>
    <t>se mando a sede el 7/8/2026</t>
  </si>
  <si>
    <t>Milagros Sinai Reyes Quijada</t>
  </si>
  <si>
    <t>Milagros Sinai Reyes Quijada .pdf</t>
  </si>
  <si>
    <t xml:space="preserve">No contesto </t>
  </si>
  <si>
    <t xml:space="preserve">Wilmaris Jaramillo </t>
  </si>
  <si>
    <t>Wilmaris Jaramillo .pdf</t>
  </si>
  <si>
    <t>Wuilianni Jaramillo</t>
  </si>
  <si>
    <t>Wuilianni Jaramillo .pdf</t>
  </si>
  <si>
    <t>Ariana Colina</t>
  </si>
  <si>
    <t>Ariana Colina .pdf</t>
  </si>
  <si>
    <t xml:space="preserve">Maria Veronica Cisneros Parra </t>
  </si>
  <si>
    <t>Maria Veronica Cisneros Parra .pdf</t>
  </si>
  <si>
    <t>Enviada a sede 19/8/2026</t>
  </si>
  <si>
    <t>Wilker Escalona</t>
  </si>
  <si>
    <t>Wilker Escalona.pdf</t>
  </si>
  <si>
    <t>Carlos Mera</t>
  </si>
  <si>
    <t>Junquito</t>
  </si>
  <si>
    <t>Carlos Mera .pdf</t>
  </si>
  <si>
    <t xml:space="preserve">Brayan Coronado </t>
  </si>
  <si>
    <t>Brayan Coronado .pdf</t>
  </si>
  <si>
    <t xml:space="preserve">Hiperactividad , autismo </t>
  </si>
  <si>
    <t>Steverlin Soriangeli Alzuru Jaramillo</t>
  </si>
  <si>
    <t>Steverlin Soriangeli Alzuru Jaramillo .pdf</t>
  </si>
  <si>
    <t xml:space="preserve">Vive muy lejos </t>
  </si>
  <si>
    <t xml:space="preserve">Franquiz Deviz </t>
  </si>
  <si>
    <t>Franquiz Deviz .pdf</t>
  </si>
  <si>
    <t xml:space="preserve">Edenyer Cobos </t>
  </si>
  <si>
    <t>Edenyer Cobos .pdf</t>
  </si>
  <si>
    <t>Jesus Gomez</t>
  </si>
  <si>
    <t>Jesus Gomez .pdf</t>
  </si>
  <si>
    <t xml:space="preserve">Enviar con Jerard </t>
  </si>
  <si>
    <t xml:space="preserve">Anayelis Torres </t>
  </si>
  <si>
    <t>Anayelis Torres .pdf</t>
  </si>
  <si>
    <t>Nunca Contestó</t>
  </si>
  <si>
    <t>Daniel Enrique Perez Zambrano</t>
  </si>
  <si>
    <t>Pasante Finanzas</t>
  </si>
  <si>
    <t xml:space="preserve">Chacaito el rosal </t>
  </si>
  <si>
    <t>Daniel Enrique Perez Zambrano .pdf</t>
  </si>
  <si>
    <t xml:space="preserve">Citar con emiliano </t>
  </si>
  <si>
    <t xml:space="preserve">Quiaro Guipe Francelis Del Valle </t>
  </si>
  <si>
    <t>Quiaro Guipe Francelis Del Valle .pdf</t>
  </si>
  <si>
    <t>Cristopher Linares</t>
  </si>
  <si>
    <t>250 a 300</t>
  </si>
  <si>
    <t xml:space="preserve">Fue a prueba con Camilo y es elegible </t>
  </si>
  <si>
    <t xml:space="preserve">Trabajo un dia y no fue mas </t>
  </si>
  <si>
    <t>Cuenta con Vehiculo</t>
  </si>
  <si>
    <t xml:space="preserve">Franyer </t>
  </si>
  <si>
    <t>200 quincenal</t>
  </si>
  <si>
    <t>Alejandra Davila</t>
  </si>
  <si>
    <t>Alejandra Dávila .pdf</t>
  </si>
  <si>
    <t xml:space="preserve">250 a 300$ </t>
  </si>
  <si>
    <t>Empezo a trabajar con nosotros</t>
  </si>
  <si>
    <t>Jorge Mendoza</t>
  </si>
  <si>
    <t>Jorge Mendoza .pdf</t>
  </si>
  <si>
    <t xml:space="preserve">Enviado a prueba con Gleen. Elegible. Empezo a trabajar con nosotros </t>
  </si>
  <si>
    <t>Guillermo Gonzalez</t>
  </si>
  <si>
    <t>Guillermo Gonzalez .pdf</t>
  </si>
  <si>
    <t>37$ semanal</t>
  </si>
  <si>
    <t>Yuriana Diaz</t>
  </si>
  <si>
    <t>Yuriana Diaz .pdf</t>
  </si>
  <si>
    <t>Mariannys Fabiola Colmenarez Mariño</t>
  </si>
  <si>
    <t>Mariannys Fabiola Colmenarez Mariño .pdf</t>
  </si>
  <si>
    <t>Keilon Gonzalez</t>
  </si>
  <si>
    <t>Av nueva Granada</t>
  </si>
  <si>
    <t>Keilon Gonzalez .pdf</t>
  </si>
  <si>
    <t xml:space="preserve">Zona de chacao </t>
  </si>
  <si>
    <t>Maikol David Chacon Chacon</t>
  </si>
  <si>
    <t>Maikol David Chacon Chacon.pdf</t>
  </si>
  <si>
    <t>Dreyer Antonio Rodriguez Urdaneta</t>
  </si>
  <si>
    <t>Artigas</t>
  </si>
  <si>
    <t>Dreyer Antonio Rodriguez Urdaneta .pdf</t>
  </si>
  <si>
    <t xml:space="preserve">Adrian Jose Landaez </t>
  </si>
  <si>
    <t>Adrian Jose Landaez .pdf</t>
  </si>
  <si>
    <t>320 a 340 $</t>
  </si>
  <si>
    <t>Eliesmely Zuppiani</t>
  </si>
  <si>
    <t>Eliesmely Zuppiani .pdf</t>
  </si>
  <si>
    <t>90$ Semanal</t>
  </si>
  <si>
    <t>Martha Jhoanmary Campos Ortis</t>
  </si>
  <si>
    <t>Martha Jhoanmary Campos Ortis .pdf</t>
  </si>
  <si>
    <t xml:space="preserve">240$ o mas </t>
  </si>
  <si>
    <t>Gilbert Mata Monasterios</t>
  </si>
  <si>
    <t>Gilbert Mata Monasterios.pdf</t>
  </si>
  <si>
    <t>Eliezer Daniel Ramirez Torrelles .pdf</t>
  </si>
  <si>
    <t>Genesis Alexandra Gomez</t>
  </si>
  <si>
    <t>Bjando Autopista La Guaira</t>
  </si>
  <si>
    <t>Genesis Alexandra Gomez .pdf</t>
  </si>
  <si>
    <t xml:space="preserve">Se puede quedar en los Jardines con una tia </t>
  </si>
  <si>
    <t xml:space="preserve">Rosana Guipe </t>
  </si>
  <si>
    <t>Rosana Guipe.pdf</t>
  </si>
  <si>
    <t>Nestor Daniel Jaramillo Pugarita</t>
  </si>
  <si>
    <t>Nestor Daniel Jaramillo Pugarita .pdf</t>
  </si>
  <si>
    <t>200$ semanal</t>
  </si>
  <si>
    <t>Yosmira Naileth Peña Rodriguez</t>
  </si>
  <si>
    <t>Yosmira Naileth Peña Rodriguez (1).pdf</t>
  </si>
  <si>
    <t xml:space="preserve">180$ </t>
  </si>
  <si>
    <t xml:space="preserve">Fue enviada como empaquetadora </t>
  </si>
  <si>
    <t xml:space="preserve">Yenesi Yorleisi Primera Agularte </t>
  </si>
  <si>
    <t>Yenesi Yorleisi Primera Aguilarte .pdf</t>
  </si>
  <si>
    <t>Elvis Joel Amaya Julio</t>
  </si>
  <si>
    <t>Elvis Joel Amaya Julio.pdf</t>
  </si>
  <si>
    <t xml:space="preserve">Juan Recio Sifontes </t>
  </si>
  <si>
    <t>Juan Recio Sifontes .pdf</t>
  </si>
  <si>
    <t xml:space="preserve">Giselle Yachzidakys </t>
  </si>
  <si>
    <t xml:space="preserve">Bellas Artes </t>
  </si>
  <si>
    <t>Giselle Yachzidakys .pdf</t>
  </si>
  <si>
    <t>500 a 600</t>
  </si>
  <si>
    <t xml:space="preserve">Kerleidys Misssel </t>
  </si>
  <si>
    <t>Kerleidys Missel.pdf</t>
  </si>
  <si>
    <t>Carlos Jose Marquez Vega</t>
  </si>
  <si>
    <t>Carlos Jose Marquez Vega.pdf</t>
  </si>
  <si>
    <t>Eibi Gomez</t>
  </si>
  <si>
    <t>Chacaito</t>
  </si>
  <si>
    <t>Eibi Gomez .pdf</t>
  </si>
  <si>
    <t>Wellisgton Cova</t>
  </si>
  <si>
    <t>Wellisgton Cova .pdf</t>
  </si>
  <si>
    <t>Fue a prueba con glenn, funciona para feria</t>
  </si>
  <si>
    <t>Fue enviado para el 17/8/2026</t>
  </si>
  <si>
    <t>Rafael Enrique Carias Rodriguez</t>
  </si>
  <si>
    <t>Rafael Enrique Carias Rodriguez .pdf</t>
  </si>
  <si>
    <t>Fue a prueba con glenn, enviado a la tahona</t>
  </si>
  <si>
    <t>Juan Asael Castillo Rojas</t>
  </si>
  <si>
    <t>Juan Asael Castillo Rojas .pdf</t>
  </si>
  <si>
    <t>Fue aprueba con glenn, tiene experiencia mas de comida arabe</t>
  </si>
  <si>
    <t>Brayan Alexis Molinarez</t>
  </si>
  <si>
    <t>Brayan Alexis Molinarez Oliveros.pdf</t>
  </si>
  <si>
    <t>Lina Lopez</t>
  </si>
  <si>
    <t>Lina Lopez .pdf</t>
  </si>
  <si>
    <t>200 a 250</t>
  </si>
  <si>
    <t>Yarileska Isamar Martinez</t>
  </si>
  <si>
    <t>Yarileska Isamar Martinez .pdf</t>
  </si>
  <si>
    <t>Empezo en Cecom</t>
  </si>
  <si>
    <t>Moises Alejandro Itriago Zambrano</t>
  </si>
  <si>
    <t>La Hoyada</t>
  </si>
  <si>
    <t>Moises Alejandro Itriago Zambrano .pdf</t>
  </si>
  <si>
    <t>tiene experiencia e sushi quiere aprender</t>
  </si>
  <si>
    <t>Freider Alexander Castro Ramirez</t>
  </si>
  <si>
    <t>Freider Alexander Castro Ramirez .pdf</t>
  </si>
  <si>
    <t>ya trabajo con nosotros, fue enviado a annkara el recreo</t>
  </si>
  <si>
    <t>Adriana Cordero</t>
  </si>
  <si>
    <t>Adriana Cordero.pdf</t>
  </si>
  <si>
    <t xml:space="preserve">Edgar Corrales </t>
  </si>
  <si>
    <t>Edgar Corrales .pdf</t>
  </si>
  <si>
    <t>Jeannal Ponce</t>
  </si>
  <si>
    <t>Jeannaly Ponce .pdf</t>
  </si>
  <si>
    <t>Andrea Karina Sanchez</t>
  </si>
  <si>
    <t>Propatia</t>
  </si>
  <si>
    <t>Andrea Karina Sanchez Guerra .pdf</t>
  </si>
  <si>
    <t>300 a 400</t>
  </si>
  <si>
    <t xml:space="preserve">Braulio Escalante </t>
  </si>
  <si>
    <t>Braulio Escalante .pdf</t>
  </si>
  <si>
    <t>Kenyerly Romero</t>
  </si>
  <si>
    <t>Kenyerly Romero .pdf</t>
  </si>
  <si>
    <t>Yannerih Yoheimy Del Valle Garrido Lopez</t>
  </si>
  <si>
    <t>Yannerih Yoheimy Del Valle Garrido Lopez.pdf</t>
  </si>
  <si>
    <t>60 a 70 Semanal</t>
  </si>
  <si>
    <t xml:space="preserve">Ruben Montilla </t>
  </si>
  <si>
    <t>Ruben Montilla.jpeg</t>
  </si>
  <si>
    <t>Elegible fue mandado a la tahona</t>
  </si>
  <si>
    <t>Maria Gabriela Briceño Flores</t>
  </si>
  <si>
    <t>Altamira</t>
  </si>
  <si>
    <t>Maria Gabriela Briceño.jpeg</t>
  </si>
  <si>
    <t>Leonardo Rodriguez</t>
  </si>
  <si>
    <t>Leonardo Rodriguez.jpeg</t>
  </si>
  <si>
    <t xml:space="preserve">Elegible fue enviado a candelaria </t>
  </si>
  <si>
    <t xml:space="preserve">Nunca fue y no se reporto mas </t>
  </si>
  <si>
    <t>Jesus Amilcar Zurita Ramones</t>
  </si>
  <si>
    <t>Jesus Amilar Zurita Ramones.pdf</t>
  </si>
  <si>
    <t>100 a 90 semanal</t>
  </si>
  <si>
    <t>Reifel Gabriel Guzman Adames</t>
  </si>
  <si>
    <t>Reifel Gabriel Guzman Adames.jpeg</t>
  </si>
  <si>
    <t xml:space="preserve">Edwin Antillano </t>
  </si>
  <si>
    <t xml:space="preserve">Av fuerzas armada </t>
  </si>
  <si>
    <t>Edwin Antillano .pdf</t>
  </si>
  <si>
    <t xml:space="preserve">Tiene un tatuaje en la mano, se pinta las uñas con brillo, es afectado de la guaira, vive alaquilado solo </t>
  </si>
  <si>
    <t xml:space="preserve">Margloris Mota </t>
  </si>
  <si>
    <t>Margloris Mota .pdf</t>
  </si>
  <si>
    <t>200 a 300</t>
  </si>
  <si>
    <t xml:space="preserve">no tiene horario para trabajar </t>
  </si>
  <si>
    <t>Leyber Sanchez</t>
  </si>
  <si>
    <t>Leyber Sanchez .pdf</t>
  </si>
  <si>
    <t>Yaluy Dubraska Vasquez Rivero</t>
  </si>
  <si>
    <t xml:space="preserve">Agua Salud </t>
  </si>
  <si>
    <t>Yaluy Dubraska .pdf</t>
  </si>
  <si>
    <t xml:space="preserve">Leinny Dreey Alvarez Fernadez </t>
  </si>
  <si>
    <t>Leinny Dreey Alvarez Fernandez .pdf</t>
  </si>
  <si>
    <t>200 a bcv mensual</t>
  </si>
  <si>
    <t xml:space="preserve">Miguel Angel Gorrin Castellanos </t>
  </si>
  <si>
    <t xml:space="preserve">Los teques </t>
  </si>
  <si>
    <t>Miguel Angel Gorrin Castellanos .pdf</t>
  </si>
  <si>
    <t>Ya fue a prueba con Glenn, tiene experiencia en cocina pero no comida asiatica, Glenn sugiere ingresarlo a la tahona para entrenarlo y despues cambiarlo a Altamira . Ofrecerle 500</t>
  </si>
  <si>
    <t xml:space="preserve">Ronaiketh Josue Vega Castillo </t>
  </si>
  <si>
    <t>Ronaiketh Josue Vega Castillo .pdf</t>
  </si>
  <si>
    <t>Fue enviado a sede el 21 de agosto. aprobado por Glenn. 1 mes de entrenamiento y despues enviar a Millenium</t>
  </si>
  <si>
    <t xml:space="preserve">Jean Carlos Mieles Civira </t>
  </si>
  <si>
    <t>Los Magallanes de Catia</t>
  </si>
  <si>
    <t>Jean Carlos Mieles Civira .pdf</t>
  </si>
  <si>
    <t>8/19/2026</t>
  </si>
  <si>
    <t xml:space="preserve">Fue enviado a sede el 20. aprobado por Glenn banda 2 </t>
  </si>
  <si>
    <t xml:space="preserve">Karen Marcano Tejada </t>
  </si>
  <si>
    <t>Karen Marcano Tejada .pdf</t>
  </si>
  <si>
    <t>Rosman Darian Vergara</t>
  </si>
  <si>
    <t>Rosman Darían Vergara.pdf</t>
  </si>
  <si>
    <t>450 a 600</t>
  </si>
  <si>
    <t>Kevin Luis Soto Sanchez</t>
  </si>
  <si>
    <t xml:space="preserve">Popatria </t>
  </si>
  <si>
    <t>Kevin Luis Soto Sánchez.pdf</t>
  </si>
  <si>
    <t>700 a 1500</t>
  </si>
  <si>
    <t>Unay Gonzales</t>
  </si>
  <si>
    <t>Unay Gonzales.pdf</t>
  </si>
  <si>
    <t>100 a 150</t>
  </si>
  <si>
    <t>Enviado a sede el 21/8/2026</t>
  </si>
  <si>
    <t>Franco Banquez</t>
  </si>
  <si>
    <t>Santa Lucia</t>
  </si>
  <si>
    <t>Franco Banquez .pdf</t>
  </si>
  <si>
    <t xml:space="preserve">fue enviado a sede el 20 de agosto </t>
  </si>
  <si>
    <t xml:space="preserve">Katherine Guevara </t>
  </si>
  <si>
    <t>Katherine Guevara.pdf</t>
  </si>
  <si>
    <t>Luis Rodriguez</t>
  </si>
  <si>
    <t>Luis Rodríguez.pdf</t>
  </si>
  <si>
    <t xml:space="preserve">5 años de experiencia en comida Japonesa, estudio en la Escuela de Gastronomia </t>
  </si>
  <si>
    <t>Yeferson Yohan</t>
  </si>
  <si>
    <t>Yeferson Yohan.pdf</t>
  </si>
  <si>
    <t xml:space="preserve">Giovanny Enrique Hurtado Abreu </t>
  </si>
  <si>
    <t>Giovanny Enrique Hurtado Abreu .pdf</t>
  </si>
  <si>
    <t xml:space="preserve">Ha trabajado como almacenista </t>
  </si>
  <si>
    <t xml:space="preserve">Yeicer Javier Marin Gil </t>
  </si>
  <si>
    <t>Yeicer Javier Marín Gil .pdf</t>
  </si>
  <si>
    <t xml:space="preserve">300 a 350 </t>
  </si>
  <si>
    <t xml:space="preserve">Eli Nestor Inciarte Camperos </t>
  </si>
  <si>
    <t xml:space="preserve">Cementerio </t>
  </si>
  <si>
    <t>Eli Néstor Inciarte Campero .pdf</t>
  </si>
  <si>
    <t xml:space="preserve">Tiene experiencias y es graduado de mencion de Informatica y sistema </t>
  </si>
  <si>
    <t xml:space="preserve">Manuel Fernandez </t>
  </si>
  <si>
    <t>Manuel Fernández.pdf</t>
  </si>
  <si>
    <t xml:space="preserve">Wendy Alexandra Blanco Muro </t>
  </si>
  <si>
    <t>Wendy Blanco Muro.pdf</t>
  </si>
  <si>
    <t xml:space="preserve">250 a 300 </t>
  </si>
  <si>
    <t xml:space="preserve">Williber Sosa </t>
  </si>
  <si>
    <t>Williber Sosa.pdf</t>
  </si>
  <si>
    <t>250 a 350</t>
  </si>
  <si>
    <t xml:space="preserve">Elisabeth Gomez Morillo </t>
  </si>
  <si>
    <t>Elisabet Gómez Morillo.pdf</t>
  </si>
  <si>
    <t xml:space="preserve">David Alberto Perez Coronado </t>
  </si>
  <si>
    <t xml:space="preserve">Altamira Bello Campo </t>
  </si>
  <si>
    <t>David Alberto Pérez Coronado.pdf</t>
  </si>
  <si>
    <t xml:space="preserve">600 a 700 </t>
  </si>
  <si>
    <t xml:space="preserve">Martha Acevedo </t>
  </si>
  <si>
    <t xml:space="preserve">Las minas Baruta </t>
  </si>
  <si>
    <t>Martha Acevedo .pdf</t>
  </si>
  <si>
    <t xml:space="preserve">Royber Berroteran </t>
  </si>
  <si>
    <t>Royber Berroteran.pdf</t>
  </si>
  <si>
    <t xml:space="preserve">300 a 500 </t>
  </si>
  <si>
    <t>Geikery Perez</t>
  </si>
  <si>
    <t>Geikery Pérez.pdf</t>
  </si>
  <si>
    <t xml:space="preserve">No me indico cual seria su aspiración salarial, indico que no tenia problema con el sueldo </t>
  </si>
  <si>
    <t xml:space="preserve">no acepto la oferta </t>
  </si>
  <si>
    <t>Eunice Fernandez</t>
  </si>
  <si>
    <t>Eunice Fernández.pdf</t>
  </si>
  <si>
    <t>Michell Simoza</t>
  </si>
  <si>
    <t>Michell Simoza.pdf</t>
  </si>
  <si>
    <t>Victor Alfonzo Nieves Flores</t>
  </si>
  <si>
    <t>Víctor Alfonzo Nieves Flores .pdf</t>
  </si>
  <si>
    <t>Serafreyana Rovaina</t>
  </si>
  <si>
    <t>Serafreyana Rovaina .pdf</t>
  </si>
  <si>
    <t xml:space="preserve">le dio clases a Glenn, citar </t>
  </si>
  <si>
    <t xml:space="preserve">Elias Antonio Teran cardenas </t>
  </si>
  <si>
    <t xml:space="preserve">Los Rosales </t>
  </si>
  <si>
    <t>Elias Antonio Teran Cardenas .pdf</t>
  </si>
  <si>
    <t>JonathanSalazar</t>
  </si>
  <si>
    <t>La floresta</t>
  </si>
  <si>
    <t>Jonathan Salazar .pdf</t>
  </si>
  <si>
    <t xml:space="preserve">Mandar a prueba con Glenn </t>
  </si>
  <si>
    <t>No contestó</t>
  </si>
  <si>
    <t>Adriana Beroes</t>
  </si>
  <si>
    <t>Adriana Beroes .pdf</t>
  </si>
  <si>
    <t>Ghalib Acosta</t>
  </si>
  <si>
    <t>Ghalib Acosta .pdf</t>
  </si>
  <si>
    <t xml:space="preserve">fue enviado con Glenn </t>
  </si>
  <si>
    <t xml:space="preserve">Enrique Alain Zayas Cervante </t>
  </si>
  <si>
    <t>Enrique Alain Zayas Cervante .pdf</t>
  </si>
  <si>
    <t xml:space="preserve">Erick Morillo </t>
  </si>
  <si>
    <t>Erick Morillo .pdf</t>
  </si>
  <si>
    <t>Ricardo Ruiz .pdf</t>
  </si>
  <si>
    <t xml:space="preserve">Jose Cabrera </t>
  </si>
  <si>
    <t>Jose Cabrera .pdf</t>
  </si>
  <si>
    <t>Heilen Uscategui</t>
  </si>
  <si>
    <t>Heilen Uzcategui .pdf</t>
  </si>
  <si>
    <t xml:space="preserve">Wilson Colonia </t>
  </si>
  <si>
    <t>Wilson Colonna .pdf</t>
  </si>
  <si>
    <t xml:space="preserve">Eduardo Jesus Machado Figueroa </t>
  </si>
  <si>
    <t>Eduardo Jesus Machado Figueroa .pdf</t>
  </si>
  <si>
    <t>mas de 200</t>
  </si>
  <si>
    <t xml:space="preserve">Para produccion </t>
  </si>
  <si>
    <t>Jean Luis Martinez</t>
  </si>
  <si>
    <t>Jean Luis Martínez .pdf</t>
  </si>
  <si>
    <t xml:space="preserve">Trabajo dos dias </t>
  </si>
  <si>
    <t>Maria Juliana Garcia</t>
  </si>
  <si>
    <t>Maria Juliana Garcia.pdf</t>
  </si>
  <si>
    <t xml:space="preserve">no acepto la propuesta salarial </t>
  </si>
  <si>
    <t>Kanineys Irianny Garcia</t>
  </si>
  <si>
    <t xml:space="preserve">Bello Campo </t>
  </si>
  <si>
    <t>Kanineys Irianny Garcia .pdf</t>
  </si>
  <si>
    <t xml:space="preserve">Leidys Daniela Fernadez Aponte </t>
  </si>
  <si>
    <t>Los Valle del Tuy</t>
  </si>
  <si>
    <t>Leidys Daniela Fernadez Aponte .pdf</t>
  </si>
  <si>
    <t>tiene quien la traslade</t>
  </si>
  <si>
    <t>Andy Geomar Sanchez</t>
  </si>
  <si>
    <t>La pastora</t>
  </si>
  <si>
    <t>Andy Geomar Sanchez .pdf</t>
  </si>
  <si>
    <t>Jhonatan Alexander Caiafa Blanco</t>
  </si>
  <si>
    <t>Jhonatan Alexander Caiafa Blanco .pdf</t>
  </si>
  <si>
    <t>Ashley Romero</t>
  </si>
  <si>
    <t>Ashley Romero .pdf</t>
  </si>
  <si>
    <t>270 a 280</t>
  </si>
  <si>
    <t xml:space="preserve">Yordin Alfredo Castro Velazquez </t>
  </si>
  <si>
    <t>Yordin Alfredo Castro Velazquez .pdf</t>
  </si>
  <si>
    <t>400 a 450</t>
  </si>
  <si>
    <t>Vania Gil</t>
  </si>
  <si>
    <t>Vania Gil .pdf</t>
  </si>
  <si>
    <t xml:space="preserve">Sabe Xetux </t>
  </si>
  <si>
    <t xml:space="preserve">Jhonayker Jesus Bravo Lista </t>
  </si>
  <si>
    <t>La Guairita</t>
  </si>
  <si>
    <t>Jhonayker Jesus Bravo Lista .pdf</t>
  </si>
  <si>
    <t>Luis Martinez</t>
  </si>
  <si>
    <t>Luis Martinez.pdf</t>
  </si>
  <si>
    <t>200 a 180 semanal</t>
  </si>
  <si>
    <t xml:space="preserve"> mandar a prueba con Glenn </t>
  </si>
  <si>
    <t>Leonardo Gomez</t>
  </si>
  <si>
    <t>Zulymar Morales</t>
  </si>
  <si>
    <t>Zulymar Morales .pdf</t>
  </si>
  <si>
    <t>400 a 500</t>
  </si>
  <si>
    <t>Lilian Josefina Carrera Bianchi</t>
  </si>
  <si>
    <t>Lilian Josefina Carrera Bianchi.pdf</t>
  </si>
  <si>
    <t>Cristian Adrian Quintana Quevedo</t>
  </si>
  <si>
    <t>Cristian Adrian Quintana Quevedo .pdf</t>
  </si>
  <si>
    <t>150 a 200 quincenal</t>
  </si>
  <si>
    <t xml:space="preserve">Ana Serrano </t>
  </si>
  <si>
    <t>Ana Serrano .pdf</t>
  </si>
  <si>
    <t>Adrian David Olivares Avendaño</t>
  </si>
  <si>
    <t>Adrian David Olivares Avendaño.pdf</t>
  </si>
  <si>
    <t>Nailed Johana Herrera Salazar</t>
  </si>
  <si>
    <t>Nailed Johana Herrera Salazar .pdf</t>
  </si>
  <si>
    <t xml:space="preserve">Walter Solozarno </t>
  </si>
  <si>
    <t>Walter Solozarno .pdf</t>
  </si>
  <si>
    <t>400 a 500 mensual</t>
  </si>
  <si>
    <t>Odra Macauran</t>
  </si>
  <si>
    <t>Odra Macauran .pdf</t>
  </si>
  <si>
    <t>Wikelman Manzanilla</t>
  </si>
  <si>
    <t>Wikelman Manzanilla .pdf</t>
  </si>
  <si>
    <t xml:space="preserve">Ver hasta donde llega el transporte porque vive lejos de la redoma </t>
  </si>
  <si>
    <t xml:space="preserve">Yaneth Ereu </t>
  </si>
  <si>
    <t>Yaneth Ereu .pdf</t>
  </si>
  <si>
    <t>80 semanal</t>
  </si>
  <si>
    <t xml:space="preserve">Sharyck Deyling Pastran Cordova </t>
  </si>
  <si>
    <t>Sharyck Deyling Pastran Cordova .pdf</t>
  </si>
  <si>
    <t>150 mensual mas propina</t>
  </si>
  <si>
    <t>Yeberlin Yohana Colmenares</t>
  </si>
  <si>
    <t>Yeberlin Yohana Colmenares .pdf</t>
  </si>
  <si>
    <t>Angel Gutierrez</t>
  </si>
  <si>
    <t>Angel Gutierrez .pdf</t>
  </si>
  <si>
    <t>300 a 320</t>
  </si>
  <si>
    <t>Jesus Bello .pdf</t>
  </si>
  <si>
    <t xml:space="preserve">Preferiblemente zona del oeste </t>
  </si>
  <si>
    <t>Daniela Herazo</t>
  </si>
  <si>
    <t>Daniela Herazo .pdf</t>
  </si>
  <si>
    <t xml:space="preserve">Citada a entrevista con Bula </t>
  </si>
  <si>
    <t>Ramon Alberto Navarro Polanco</t>
  </si>
  <si>
    <t>Ramon Alberto Navarro .pdf</t>
  </si>
  <si>
    <t>Pablo Samir Martinez Bolivar</t>
  </si>
  <si>
    <t>Av Libertador</t>
  </si>
  <si>
    <t>Pablo Samir Martinez Bolivar .pdf</t>
  </si>
  <si>
    <t>260 a 280</t>
  </si>
  <si>
    <t>Sharon Joicel Rondon Rojas</t>
  </si>
  <si>
    <t>Sharon Joicel Rondon Rojas .pdf</t>
  </si>
  <si>
    <t>Alexa Bennasar</t>
  </si>
  <si>
    <t>Minas De Baruta</t>
  </si>
  <si>
    <t>Jose Villegas</t>
  </si>
  <si>
    <t xml:space="preserve">Alexander Peña </t>
  </si>
  <si>
    <t>AvLibertador</t>
  </si>
  <si>
    <t>Alexander Peña .pdf</t>
  </si>
  <si>
    <t>Trabajo como ayudante tambien de cocina</t>
  </si>
  <si>
    <t xml:space="preserve">Yorkleydis Enlimar Chirinos Diaz </t>
  </si>
  <si>
    <t>Yorkleydis Enlimar Chirinos Díaz .pdf</t>
  </si>
  <si>
    <t xml:space="preserve">Yerlis Melo </t>
  </si>
  <si>
    <t xml:space="preserve">Las Minas, Baruta </t>
  </si>
  <si>
    <t>Yerlis Melo .pdf</t>
  </si>
  <si>
    <t xml:space="preserve">Manejo de sistema Stellar </t>
  </si>
  <si>
    <t xml:space="preserve">Francisco Jesus Uzcategui Cordero </t>
  </si>
  <si>
    <t>Francisco Jesús Uzcategui Cordero .pdf</t>
  </si>
  <si>
    <t>240 a 250</t>
  </si>
  <si>
    <t xml:space="preserve">Se queja en trabjar horario nocturnos, porque le queda lejos de la Av Principal de petare a su residencia. Me indico que si no podria trabajar de dia </t>
  </si>
  <si>
    <t xml:space="preserve">Christian Josue Molina Silva </t>
  </si>
  <si>
    <t>Christian Josué Molina Silva .pdf</t>
  </si>
  <si>
    <t xml:space="preserve">Sizaeh Yormailin Lopez Mercado </t>
  </si>
  <si>
    <t>Sizaeh Yormailin López Mercado .pdf</t>
  </si>
  <si>
    <t>240 a 300</t>
  </si>
  <si>
    <t xml:space="preserve">Jose Gregorio Loyo Castro </t>
  </si>
  <si>
    <t>José Gregorio Loyo Castro .pdf</t>
  </si>
  <si>
    <t>Afectado al sismo, damnificado</t>
  </si>
  <si>
    <t xml:space="preserve">Romny Jose Simoza Ramos </t>
  </si>
  <si>
    <t xml:space="preserve">Sistema </t>
  </si>
  <si>
    <t>Romny José Simoza Ramos .pdf</t>
  </si>
  <si>
    <t xml:space="preserve">Se graduo de Tsu en Informatica y mantenimiento de equipos electronicos </t>
  </si>
  <si>
    <t xml:space="preserve">Yorangel Jesus Quintero Chacon </t>
  </si>
  <si>
    <t xml:space="preserve">Antimanos </t>
  </si>
  <si>
    <t>Yorangel Jesús Quintero Chacón .pdf</t>
  </si>
  <si>
    <t xml:space="preserve">No paso la prueba de Sushero con Glen </t>
  </si>
  <si>
    <t xml:space="preserve">Nathalia Amaya </t>
  </si>
  <si>
    <t>Nathalia Amaya .pdf</t>
  </si>
  <si>
    <t>280 a 300</t>
  </si>
  <si>
    <t>Manejo de Xetux</t>
  </si>
  <si>
    <t xml:space="preserve">Gregory Hernadez </t>
  </si>
  <si>
    <t>IMG_4799.jpeg</t>
  </si>
  <si>
    <t xml:space="preserve">Experiencias en descarga y carga de productos </t>
  </si>
  <si>
    <t xml:space="preserve">Maria De Los Angeles </t>
  </si>
  <si>
    <t>IMG_4804.jpeg</t>
  </si>
  <si>
    <t>No contesto</t>
  </si>
  <si>
    <t xml:space="preserve">Elizabeth Santos Abreu </t>
  </si>
  <si>
    <t>Elizabeth Santos Abreu.pdf</t>
  </si>
  <si>
    <t>Hatillo</t>
  </si>
  <si>
    <t>Nelson Radames Blanco Rosales .pdf</t>
  </si>
  <si>
    <t>450$ mas Iva mas propina</t>
  </si>
  <si>
    <t xml:space="preserve">Zaphiro Lopez </t>
  </si>
  <si>
    <t>Zaphiro Lopez .pdf</t>
  </si>
  <si>
    <t>Nathaly Aicha Buschbeck Pasquez</t>
  </si>
  <si>
    <t>Nathaly Aicha Buschbeck Pasquez .pdf</t>
  </si>
  <si>
    <t xml:space="preserve">Rusbeisys Carolina Arteaga Guilarte </t>
  </si>
  <si>
    <t>Intercomunal del Valle</t>
  </si>
  <si>
    <t>Rusbeisys Carolina Arteaga Guilarte .pdf</t>
  </si>
  <si>
    <t xml:space="preserve">Barbara Bustamante </t>
  </si>
  <si>
    <t>Ocumare del tuy</t>
  </si>
  <si>
    <t>Barbara Bustamante .pdf</t>
  </si>
  <si>
    <t>Jose Gregorio Anzola</t>
  </si>
  <si>
    <t>Boleita Norte</t>
  </si>
  <si>
    <t>Jose Gregorio Anzola .pdf</t>
  </si>
  <si>
    <t>Ana Del Carmen Marquez</t>
  </si>
  <si>
    <t>Ana Del Carmen Marquez .pdf</t>
  </si>
  <si>
    <t>Orianna Valenzuela</t>
  </si>
  <si>
    <t>Orianna Valenzuela .pdf</t>
  </si>
  <si>
    <t>Breyner Adrian Colmenares Garcia</t>
  </si>
  <si>
    <t>Breyner Adrian Colmenares Garcia .pdf</t>
  </si>
  <si>
    <t xml:space="preserve">Thomas Hurtado </t>
  </si>
  <si>
    <t>Thomas Hurtado .pdf</t>
  </si>
  <si>
    <t>350 o +</t>
  </si>
  <si>
    <t xml:space="preserve">Franklin Barrios </t>
  </si>
  <si>
    <t>Franklin Barrios.pdf</t>
  </si>
  <si>
    <t>Leonel Antonio</t>
  </si>
  <si>
    <t>Leonel Antonio Saavadera Marquez .pdf</t>
  </si>
  <si>
    <t>Danny Jose Zapata</t>
  </si>
  <si>
    <t>Danny Jose Zapata.pdf</t>
  </si>
  <si>
    <t>120 semanal</t>
  </si>
  <si>
    <t xml:space="preserve">Nestor Jose Guia Paez </t>
  </si>
  <si>
    <t>Nestor Jose Guia Paez .pdf</t>
  </si>
  <si>
    <t>Anais Dubraska Blandin Fernandez</t>
  </si>
  <si>
    <t>Anais Dubraska Blandin Fernandez .pdf</t>
  </si>
  <si>
    <t xml:space="preserve">Roberling Gabriel Mercado </t>
  </si>
  <si>
    <t>Roberling Gabriela Mercado Alvarez .pdf</t>
  </si>
  <si>
    <t xml:space="preserve">Luis Enrique Orozco </t>
  </si>
  <si>
    <t>Luis Enrique Orozco Martinez .pdf</t>
  </si>
  <si>
    <t xml:space="preserve">Alejandra Triana </t>
  </si>
  <si>
    <t>Santa Fe</t>
  </si>
  <si>
    <t>Alejandra Triana .pdf</t>
  </si>
  <si>
    <t>Massiell Pacheco</t>
  </si>
  <si>
    <t>Massiell Pacheco.pdf</t>
  </si>
  <si>
    <t>Delvalle Milagros Gonzalez Berroteran</t>
  </si>
  <si>
    <t>Delvalle Milagros Gonzalez Berroteran .pdf</t>
  </si>
  <si>
    <t>Maria Del Valle Aladejo</t>
  </si>
  <si>
    <t>Maria Del Valle Aladejo Flores .pdf</t>
  </si>
  <si>
    <t>Vanessa Perez</t>
  </si>
  <si>
    <t>Vanessa Perez .pdf</t>
  </si>
  <si>
    <t xml:space="preserve">110$ </t>
  </si>
  <si>
    <t>Gabriela Velez</t>
  </si>
  <si>
    <t>Gabriela Velez .pdf</t>
  </si>
  <si>
    <t>Oscariengely Del Carmen Baena Lara</t>
  </si>
  <si>
    <t>Oscariengely Del Carmen Baena Lara.pdf</t>
  </si>
  <si>
    <t>Brayan Jesus Godoy Duran</t>
  </si>
  <si>
    <t>Brayan Jesus Godoy Duran .pdf</t>
  </si>
  <si>
    <t>Eileen Sandoval</t>
  </si>
  <si>
    <t>Eileen Sandoval .pdf</t>
  </si>
  <si>
    <t>Hildemar Parra</t>
  </si>
  <si>
    <t>Hildemar Parra .pdf</t>
  </si>
  <si>
    <t>Alexa Jose Natera Paez</t>
  </si>
  <si>
    <t>Alexa Jose Natera Paez .pdf</t>
  </si>
  <si>
    <t>Marbelys Pereira</t>
  </si>
  <si>
    <t>Marbelys Pereira .pdf</t>
  </si>
  <si>
    <t>350 a 380</t>
  </si>
  <si>
    <t xml:space="preserve">Diego Obregon </t>
  </si>
  <si>
    <t>Diego Obregon .pdf</t>
  </si>
  <si>
    <t>Yusbismar Perez</t>
  </si>
  <si>
    <t>Yusbismar Perez .pdf</t>
  </si>
  <si>
    <t>Marifer Caridad Turnes Nieves</t>
  </si>
  <si>
    <t>Marifer Caridad Turnes Nieves .pdf</t>
  </si>
  <si>
    <t>Yaneth Andreina Nowak Fernandez</t>
  </si>
  <si>
    <t>Yaneth Andreina Nowak Fernandez .pdf</t>
  </si>
  <si>
    <t>Mileidy Esther Mendoza Camargo</t>
  </si>
  <si>
    <t>Mileidy Esther Mendoza Camargo .pdf</t>
  </si>
  <si>
    <t>Jemary Amaya Gonzalez</t>
  </si>
  <si>
    <t>Jemary Amaya Gonzalez .pdf</t>
  </si>
  <si>
    <t>Miguel Bermudez</t>
  </si>
  <si>
    <t>Miguel Bermudez .pdf</t>
  </si>
  <si>
    <t>250 quincenal</t>
  </si>
  <si>
    <t>fue enviado a sede la candelaria para entrenamiento una semana y despues se envia a Millenium</t>
  </si>
  <si>
    <t>Gabriela Jesus Fuentes Mendez</t>
  </si>
  <si>
    <t>Gabriel Jesus Fuentes Mendez .pdf</t>
  </si>
  <si>
    <t>Andres Felipe Caraballo Cruz</t>
  </si>
  <si>
    <t>Vista Alegre</t>
  </si>
  <si>
    <t>Andres Felipe Caraballo .pdf</t>
  </si>
  <si>
    <t xml:space="preserve">Eliannys Vivenes </t>
  </si>
  <si>
    <t>Lomas de Urdanela</t>
  </si>
  <si>
    <t>Eliannys Vivenes.pdf</t>
  </si>
  <si>
    <t xml:space="preserve">Pedro Barcia </t>
  </si>
  <si>
    <t>Los Jrdines Del Valle</t>
  </si>
  <si>
    <t>Pedro Barcia .pdf</t>
  </si>
  <si>
    <t>Victoria Yusbel Betancourt Oropeza</t>
  </si>
  <si>
    <t>Victoria Yusbel Betancourt Oropeza .pdf</t>
  </si>
  <si>
    <t>Wilmar Alaska Parra Martinez</t>
  </si>
  <si>
    <t>Wilmar Alaska Parra Martínez .pdf</t>
  </si>
  <si>
    <t>Francesca Angiolilli</t>
  </si>
  <si>
    <t>Francesca Angiolilli .pdf</t>
  </si>
  <si>
    <t>Yurimar Alejandra Sierra Mancipe</t>
  </si>
  <si>
    <t>Yurimar Sierra .pdf</t>
  </si>
  <si>
    <t>Jeremy Ferman</t>
  </si>
  <si>
    <t xml:space="preserve">Santa Cruz </t>
  </si>
  <si>
    <t>Jeremy Fermin .pdf</t>
  </si>
  <si>
    <t>Banda 2 Sushero</t>
  </si>
  <si>
    <t>Enmanuel Paez</t>
  </si>
  <si>
    <t>Enmanuel Paez .pdf</t>
  </si>
  <si>
    <t>banda 1 ayudante</t>
  </si>
  <si>
    <t xml:space="preserve">no acepto el cargo de ayudante de cocina </t>
  </si>
  <si>
    <t>Angel Guerrero</t>
  </si>
  <si>
    <t>Angel Guerrero .pdf</t>
  </si>
  <si>
    <t>Banda 2 ayudante</t>
  </si>
  <si>
    <t xml:space="preserve">David Manuel Jauregui </t>
  </si>
  <si>
    <t>Llanito Petare</t>
  </si>
  <si>
    <t>David Manuel Jauregui Chacon .pdf</t>
  </si>
  <si>
    <t>220 E</t>
  </si>
  <si>
    <t xml:space="preserve"> Glenn mandarlo al Galpon</t>
  </si>
  <si>
    <t>tiene otro trabajo</t>
  </si>
  <si>
    <t xml:space="preserve">Karla Rivas Soto </t>
  </si>
  <si>
    <t>Karla Rivas Soto .pdf</t>
  </si>
  <si>
    <t>Mariangel Garcia</t>
  </si>
  <si>
    <t>Mariangel Garcia .pdf</t>
  </si>
  <si>
    <t>Williams Joel Espinoza Meriño</t>
  </si>
  <si>
    <t xml:space="preserve">Liz Mendoza </t>
  </si>
  <si>
    <t>Liz Mendoza.PDF</t>
  </si>
  <si>
    <t xml:space="preserve">Anais N. Perez P </t>
  </si>
  <si>
    <t>Anais Perez.PDF</t>
  </si>
  <si>
    <t xml:space="preserve">Clemente Garcia </t>
  </si>
  <si>
    <t xml:space="preserve">Las Minas </t>
  </si>
  <si>
    <t>Clemente Garcia.PDF</t>
  </si>
  <si>
    <t xml:space="preserve">Elias Ricardo Gutierrez </t>
  </si>
  <si>
    <t>Elias Gutierrez.PDF</t>
  </si>
  <si>
    <t xml:space="preserve">3 años como mesonero en casino </t>
  </si>
  <si>
    <t xml:space="preserve">Renny Eduardo Toro Chaya </t>
  </si>
  <si>
    <t xml:space="preserve">Av. Andres Bello </t>
  </si>
  <si>
    <t xml:space="preserve">Isabel Lisbeth Morales Simoza </t>
  </si>
  <si>
    <t>Isabel Morales.PDF</t>
  </si>
  <si>
    <t xml:space="preserve">Alexa Guarenas </t>
  </si>
  <si>
    <t>Alexa P Guarenas R.PDF</t>
  </si>
  <si>
    <t xml:space="preserve">Luizanny Trujillo </t>
  </si>
  <si>
    <t xml:space="preserve">Quinta Crespo </t>
  </si>
  <si>
    <t>Luizanny Trujillo.PDF</t>
  </si>
  <si>
    <t xml:space="preserve">Francely Velasquez </t>
  </si>
  <si>
    <t xml:space="preserve">Buena Vista </t>
  </si>
  <si>
    <t>Francely Velasquez.PDF</t>
  </si>
  <si>
    <t xml:space="preserve">Eimi Massiel Palencia Cabezas </t>
  </si>
  <si>
    <t>Eimi Massiel Palencia.PDF</t>
  </si>
  <si>
    <t xml:space="preserve">Yerfreel Jose Alfonzo Moreno </t>
  </si>
  <si>
    <t>Yefreel Alfonzo.PDF</t>
  </si>
  <si>
    <t xml:space="preserve">No paso la prueba con Glen </t>
  </si>
  <si>
    <t xml:space="preserve">Kevi Alexander Montilla Rojas </t>
  </si>
  <si>
    <t>Kevi Montilla.PDF</t>
  </si>
  <si>
    <t xml:space="preserve">Belkis Del Valle Rivas Aljona </t>
  </si>
  <si>
    <t>Belkys Del Valle Rivas.PDF</t>
  </si>
  <si>
    <t xml:space="preserve">Carlos Josue Moreno Mayz </t>
  </si>
  <si>
    <t xml:space="preserve">Av.Baralt </t>
  </si>
  <si>
    <t>Carlos Josue Moreno.PDF</t>
  </si>
  <si>
    <t xml:space="preserve">Evander Abraham Gascon Montes </t>
  </si>
  <si>
    <t>Evander Gascon Montes.PDF</t>
  </si>
  <si>
    <t xml:space="preserve">Actualmente trabajando como mesonero </t>
  </si>
  <si>
    <t xml:space="preserve">Laleska Lopez </t>
  </si>
  <si>
    <t xml:space="preserve">La urbina </t>
  </si>
  <si>
    <t>Laleska Lopez.PDF</t>
  </si>
  <si>
    <t xml:space="preserve">Jesus Fabian Flores Romero </t>
  </si>
  <si>
    <t>Jesús Fabián Flores Romero .pdf</t>
  </si>
  <si>
    <t xml:space="preserve">Natacha Avila </t>
  </si>
  <si>
    <t>Natacha Avila .pdf</t>
  </si>
  <si>
    <t xml:space="preserve">Paola Valentina Marquez </t>
  </si>
  <si>
    <t>Paola Valentina Márquez .pdf</t>
  </si>
  <si>
    <t xml:space="preserve">Menor de edad </t>
  </si>
  <si>
    <t xml:space="preserve">Keysi Castro </t>
  </si>
  <si>
    <t>Keysi Castro.pdf</t>
  </si>
  <si>
    <t>Yeison Jaramillo .pdf</t>
  </si>
  <si>
    <t xml:space="preserve">Wuilfrido Zapata </t>
  </si>
  <si>
    <t>Wuilfrido Zapata.pdf</t>
  </si>
  <si>
    <t xml:space="preserve">Daniel Camacho </t>
  </si>
  <si>
    <t>Daniel Camacho .pdf</t>
  </si>
  <si>
    <t xml:space="preserve">Magnulys Iandaeia </t>
  </si>
  <si>
    <t>Magnulys Iandaeia.pdf</t>
  </si>
  <si>
    <t xml:space="preserve">Jonathan Meneses </t>
  </si>
  <si>
    <t>Jonathan Meneses.PDF</t>
  </si>
  <si>
    <t xml:space="preserve">Katherin Sosa </t>
  </si>
  <si>
    <t xml:space="preserve">antimano </t>
  </si>
  <si>
    <t>Katherin Sosa.pdf</t>
  </si>
  <si>
    <t xml:space="preserve">Mariana Barrera </t>
  </si>
  <si>
    <t xml:space="preserve">Mariche </t>
  </si>
  <si>
    <t xml:space="preserve">Mariana Barrera .pdf </t>
  </si>
  <si>
    <t>250 a 280</t>
  </si>
  <si>
    <t xml:space="preserve">Yusleivis Gardozzi </t>
  </si>
  <si>
    <t>Yusleivis Gardozzi .pdf</t>
  </si>
  <si>
    <t xml:space="preserve">menor de edad </t>
  </si>
  <si>
    <t xml:space="preserve">Jesus Enrique Contreras </t>
  </si>
  <si>
    <t>Jesús contreras .pdf</t>
  </si>
  <si>
    <t xml:space="preserve">Yusmari Zamora </t>
  </si>
  <si>
    <t xml:space="preserve">Las minas </t>
  </si>
  <si>
    <t>Yusmari Zamora.pdf</t>
  </si>
  <si>
    <t xml:space="preserve">Gabriela Hernandez </t>
  </si>
  <si>
    <t xml:space="preserve">Lad minas </t>
  </si>
  <si>
    <t>Gabriel Hernández .pdf</t>
  </si>
  <si>
    <t xml:space="preserve">Yohandri Adrian De la Hoz Barcos </t>
  </si>
  <si>
    <t>Yohandri Barcos .pdf</t>
  </si>
  <si>
    <t xml:space="preserve">Angelo Moises Escobar Alfonzo </t>
  </si>
  <si>
    <t xml:space="preserve">Av Urdaneta </t>
  </si>
  <si>
    <t>Angelo Escobar .pdf</t>
  </si>
  <si>
    <t>Yeraldin Yegres</t>
  </si>
  <si>
    <t>Yeraldin Yegres .pdf</t>
  </si>
  <si>
    <t>Andres Eduardo Diego Santiago Rojas Herrera</t>
  </si>
  <si>
    <t>Andres Eduardo Diego Santiago Rojas Herrera.pdf</t>
  </si>
  <si>
    <t>Juan Carlos Marcano Jaramillo</t>
  </si>
  <si>
    <t>La Bandera los rosales</t>
  </si>
  <si>
    <t>Juan Carlos Marcano Jaramillo .pdf</t>
  </si>
  <si>
    <t>150 quincenal</t>
  </si>
  <si>
    <t>Niurka Salcedo</t>
  </si>
  <si>
    <t>Niurka Salcedo .pdf</t>
  </si>
  <si>
    <t xml:space="preserve">Robert Antonio Salazar </t>
  </si>
  <si>
    <t>Robert Antonio Salazar .pdf</t>
  </si>
  <si>
    <t>Osmerlyle Maritza Bolivar Clemente</t>
  </si>
  <si>
    <t>Pinto Salina</t>
  </si>
  <si>
    <t>Osmerlyle Maritza Bolivar Clemente .pdf</t>
  </si>
  <si>
    <t>Jorkelys Paola Azuaje Diaz</t>
  </si>
  <si>
    <t>Jorkelys Paola Azuaje Diaz .pdf</t>
  </si>
  <si>
    <t>Baruta La trinidad</t>
  </si>
  <si>
    <t>Geraldine Iribarren .pdf</t>
  </si>
  <si>
    <t>Moises Andres Montes Sanchez</t>
  </si>
  <si>
    <t>Moises Andres Montes Sanchez .pdf</t>
  </si>
  <si>
    <t xml:space="preserve">Maria de los anageles Quintero </t>
  </si>
  <si>
    <t>Maria de Los Angeles Quintero.pdf</t>
  </si>
  <si>
    <t>Darian Paola Alcantara</t>
  </si>
  <si>
    <t>Magallanes de Catia</t>
  </si>
  <si>
    <t>Darian Paola Alcantara .pdf</t>
  </si>
  <si>
    <t>Enviada a sede el 17/9/2026</t>
  </si>
  <si>
    <t xml:space="preserve">Mariangel Viviana Ortiz </t>
  </si>
  <si>
    <t>Mariangel Viviana Ortiz Lozano .pdf</t>
  </si>
  <si>
    <t xml:space="preserve">Trabajo con nosotros en Boyera como de cajera, Evaluar </t>
  </si>
  <si>
    <t>Robin Echeverria</t>
  </si>
  <si>
    <t>Robin Echeverria .pdf</t>
  </si>
  <si>
    <t>Milagros Celeste Crespo Acosta</t>
  </si>
  <si>
    <t xml:space="preserve">La india </t>
  </si>
  <si>
    <t>Milagros Celeste Crespo Acosta .pdf</t>
  </si>
  <si>
    <t>Darianna Ceilet Hernandez Rivero .pdf</t>
  </si>
  <si>
    <t xml:space="preserve">re ingreso, verificamos y no puede volver </t>
  </si>
  <si>
    <t>Duglaiker Johan Gamboa Roman</t>
  </si>
  <si>
    <t>Duglaiker Johan Gamboa Roman .pdf</t>
  </si>
  <si>
    <t>Osmarey Barreto Bolivar</t>
  </si>
  <si>
    <t>Osmercy Barreto Bolivar .pdf</t>
  </si>
  <si>
    <t>Nixon Neiver Roa Blanco</t>
  </si>
  <si>
    <t>Nixon Neiver Roa Blanco .pdf</t>
  </si>
  <si>
    <t>Angela Perez</t>
  </si>
  <si>
    <t>Angela Perez .pdf</t>
  </si>
  <si>
    <t>Liskreyli Michel Bermudez Mendoza</t>
  </si>
  <si>
    <t>La minitas</t>
  </si>
  <si>
    <t>Kellys Alexandra Calderon Alvarez</t>
  </si>
  <si>
    <t>Kellys Alexandra Calderon Alvarez .pdf</t>
  </si>
  <si>
    <t>Laleska Lopez .pdf</t>
  </si>
  <si>
    <t>Stefania Daencarnacao</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</si>
</sst>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yyyy"/>
    <numFmt numFmtId="165" formatCode="_(&quot;$&quot;* #,##0.00_);_(&quot;$&quot;* \(#,##0.00\);_(&quot;$&quot;* &quot;-&quot;??_);_(@_)"/>
    <numFmt numFmtId="166" formatCode="M/d/yyyy"/>
    <numFmt numFmtId="167" formatCode="m&quot;/&quot;d&quot;/&quot;yyyy"/>
    <numFmt numFmtId="168" formatCode="d&quot; &quot;mmm&quot; &quot;yyyy"/>
    <numFmt numFmtId="169" formatCode="dd/mm/yyyy"/>
    <numFmt numFmtId="170" formatCode="[$$]#,##0.00"/>
    <numFmt numFmtId="171" formatCode="d/m/yyyy"/>
    <numFmt numFmtId="172" formatCode="dd-mm-yyyy"/>
    <numFmt numFmtId="173" formatCode="d mmmm"/>
  </numFmts>
  <fonts count="28">
    <font>
      <sz val="10.0"/>
      <color rgb="FF000000"/>
      <name val="Arial"/>
      <scheme val="minor"/>
    </font>
    <font>
      <color theme="1"/>
      <name val="Arial"/>
      <scheme val="minor"/>
    </font>
    <font>
      <sz val="11.0"/>
      <color theme="1"/>
      <name val="Arial"/>
      <scheme val="minor"/>
    </font>
    <font>
      <color theme="1"/>
      <name val="Arial"/>
    </font>
    <font>
      <b/>
      <color theme="1"/>
      <name val="Arial"/>
      <scheme val="minor"/>
    </font>
    <font>
      <b/>
      <sz val="21.0"/>
      <color theme="1"/>
      <name val="Arial"/>
      <scheme val="minor"/>
    </font>
    <font>
      <b/>
      <sz val="15.0"/>
      <color theme="1"/>
      <name val="Arial"/>
      <scheme val="minor"/>
    </font>
    <font>
      <b/>
      <sz val="11.0"/>
      <color theme="1"/>
      <name val="Arial"/>
    </font>
    <font>
      <b/>
      <sz val="23.0"/>
      <color theme="1"/>
      <name val="Arial"/>
      <scheme val="minor"/>
    </font>
    <font>
      <b/>
      <sz val="11.0"/>
      <color theme="1"/>
      <name val="Arial"/>
      <scheme val="minor"/>
    </font>
    <font>
      <b/>
      <color theme="1"/>
      <name val="Arial"/>
    </font>
    <font>
      <b/>
      <sz val="17.0"/>
      <color rgb="FF1F1F1F"/>
      <name val="Arial"/>
    </font>
    <font>
      <sz val="11.0"/>
      <color theme="1"/>
      <name val="Calibri"/>
    </font>
    <font>
      <sz val="10.0"/>
      <color theme="1"/>
      <name val="Arial"/>
      <scheme val="minor"/>
    </font>
    <font>
      <sz val="11.0"/>
      <color rgb="FF000000"/>
      <name val="Calibri"/>
    </font>
    <font>
      <b/>
      <sz val="11.0"/>
      <color rgb="FF000000"/>
      <name val="Calibri"/>
    </font>
    <font>
      <sz val="10.0"/>
      <color theme="1"/>
      <name val="Arial"/>
    </font>
    <font>
      <u/>
      <color theme="1"/>
      <name val="Arial"/>
      <scheme val="minor"/>
    </font>
    <font/>
    <font>
      <b/>
      <sz val="11.0"/>
      <color rgb="FFFFFFFF"/>
      <name val="Calibri"/>
    </font>
    <font>
      <sz val="11.0"/>
      <color theme="1"/>
      <name val="Arial"/>
    </font>
    <font>
      <b/>
      <color rgb="FFFF0000"/>
      <name val="Arial"/>
      <scheme val="minor"/>
    </font>
    <font>
      <color rgb="FF000000"/>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font>
  </fonts>
  <fills count="18">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6FA8DC"/>
        <bgColor rgb="FF6FA8DC"/>
      </patternFill>
    </fill>
    <fill>
      <patternFill patternType="solid">
        <fgColor rgb="FF000000"/>
        <bgColor rgb="FF000000"/>
      </patternFill>
    </fill>
    <fill>
      <patternFill patternType="solid">
        <fgColor rgb="FFD9D9D9"/>
        <bgColor rgb="FFD9D9D9"/>
      </patternFill>
    </fill>
    <fill>
      <patternFill patternType="solid">
        <fgColor rgb="FF999999"/>
        <bgColor rgb="FF999999"/>
      </patternFill>
    </fill>
    <fill>
      <patternFill patternType="solid">
        <fgColor rgb="FF666666"/>
        <bgColor rgb="FF666666"/>
      </patternFill>
    </fill>
    <fill>
      <patternFill patternType="solid">
        <fgColor rgb="FFF0F0F0"/>
        <bgColor rgb="FFF0F0F0"/>
      </patternFill>
    </fill>
    <fill>
      <patternFill patternType="solid">
        <fgColor rgb="FFFCFEB0"/>
        <bgColor rgb="FFFCFEB0"/>
      </patternFill>
    </fill>
    <fill>
      <patternFill patternType="solid">
        <fgColor rgb="FFD6DB03"/>
        <bgColor rgb="FFD6DB03"/>
      </patternFill>
    </fill>
    <fill>
      <patternFill patternType="solid">
        <fgColor rgb="FFCFE2F3"/>
        <bgColor rgb="FFCFE2F3"/>
      </patternFill>
    </fill>
    <fill>
      <patternFill patternType="solid">
        <fgColor rgb="FFFFFF00"/>
        <bgColor rgb="FFFFFF00"/>
      </patternFill>
    </fill>
    <fill>
      <patternFill patternType="solid">
        <fgColor rgb="FFFFF2CC"/>
        <bgColor rgb="FFFFF2CC"/>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ck">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ck">
        <color rgb="FF000000"/>
      </right>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1" numFmtId="0" xfId="0" applyAlignment="1" applyFont="1">
      <alignment horizontal="center" vertical="center"/>
    </xf>
    <xf borderId="0" fillId="0" fontId="2" numFmtId="164" xfId="0" applyAlignment="1" applyFont="1" applyNumberFormat="1">
      <alignment horizontal="center" vertical="center"/>
    </xf>
    <xf borderId="0" fillId="0" fontId="3" numFmtId="0" xfId="0" applyAlignment="1" applyFont="1">
      <alignment horizontal="center" vertical="center"/>
    </xf>
    <xf borderId="0" fillId="0" fontId="3" numFmtId="165" xfId="0" applyAlignment="1" applyFont="1" applyNumberFormat="1">
      <alignment horizontal="right" vertical="center"/>
    </xf>
    <xf borderId="0" fillId="0" fontId="4" numFmtId="0" xfId="0" applyAlignment="1" applyFont="1">
      <alignment vertical="center"/>
    </xf>
    <xf borderId="0" fillId="0" fontId="4" numFmtId="0" xfId="0" applyAlignment="1" applyFont="1">
      <alignment horizontal="center" vertical="center"/>
    </xf>
    <xf borderId="0" fillId="0" fontId="5" numFmtId="0" xfId="0" applyAlignment="1" applyFont="1">
      <alignment readingOrder="0" vertical="center"/>
    </xf>
    <xf borderId="0" fillId="0" fontId="6" numFmtId="0" xfId="0" applyAlignment="1" applyFont="1">
      <alignment readingOrder="0" vertical="center"/>
    </xf>
    <xf borderId="1" fillId="0" fontId="7" numFmtId="0" xfId="0" applyAlignment="1" applyBorder="1" applyFont="1">
      <alignment horizontal="center" readingOrder="0" shrinkToFit="0" vertical="center" wrapText="1"/>
    </xf>
    <xf borderId="1" fillId="0" fontId="1" numFmtId="0" xfId="0" applyAlignment="1" applyBorder="1" applyFont="1">
      <alignment horizontal="center" readingOrder="0" vertical="top"/>
    </xf>
    <xf borderId="0" fillId="0" fontId="1" numFmtId="166" xfId="0" applyAlignment="1" applyFont="1" applyNumberFormat="1">
      <alignment horizontal="center" vertical="center"/>
    </xf>
    <xf borderId="2" fillId="0" fontId="1" numFmtId="0" xfId="0" applyAlignment="1" applyBorder="1" applyFont="1">
      <alignment horizontal="center" readingOrder="0" vertical="top"/>
    </xf>
    <xf borderId="0" fillId="0" fontId="1" numFmtId="0" xfId="0" applyAlignment="1" applyFont="1">
      <alignment shrinkToFit="0" vertical="center" wrapText="1"/>
    </xf>
    <xf borderId="0" fillId="0" fontId="8" numFmtId="0" xfId="0" applyAlignment="1" applyFont="1">
      <alignment horizontal="left" readingOrder="0" vertical="center"/>
    </xf>
    <xf borderId="0" fillId="0" fontId="1" numFmtId="0" xfId="0" applyAlignment="1" applyFont="1">
      <alignment horizontal="center" readingOrder="0" vertical="center"/>
    </xf>
    <xf borderId="3" fillId="0" fontId="1" numFmtId="0" xfId="0" applyAlignment="1" applyBorder="1" applyFont="1">
      <alignment horizontal="center" readingOrder="0" vertical="top"/>
    </xf>
    <xf borderId="0" fillId="0" fontId="4" numFmtId="0" xfId="0" applyAlignment="1" applyFont="1">
      <alignment horizontal="center" readingOrder="0" vertical="top"/>
    </xf>
    <xf borderId="0" fillId="0" fontId="1" numFmtId="0" xfId="0" applyAlignment="1" applyFont="1">
      <alignment horizontal="center" readingOrder="0" vertical="top"/>
    </xf>
    <xf borderId="0" fillId="0" fontId="9" numFmtId="0" xfId="0" applyAlignment="1" applyFont="1">
      <alignment horizontal="center" readingOrder="0" vertical="center"/>
    </xf>
    <xf borderId="0" fillId="0" fontId="1" numFmtId="167" xfId="0" applyAlignment="1" applyFont="1" applyNumberFormat="1">
      <alignment horizontal="center" readingOrder="0" vertical="top"/>
    </xf>
    <xf borderId="3" fillId="2" fontId="10" numFmtId="0" xfId="0" applyAlignment="1" applyBorder="1" applyFill="1" applyFont="1">
      <alignment horizontal="center" vertical="center"/>
    </xf>
    <xf borderId="0" fillId="0" fontId="9" numFmtId="0" xfId="0" applyAlignment="1" applyFont="1">
      <alignment readingOrder="0" vertical="center"/>
    </xf>
    <xf borderId="0" fillId="3" fontId="11" numFmtId="0" xfId="0" applyFill="1" applyFont="1"/>
    <xf borderId="0" fillId="0" fontId="9" numFmtId="166" xfId="0" applyAlignment="1" applyFont="1" applyNumberFormat="1">
      <alignment horizontal="center" readingOrder="0" vertical="center"/>
    </xf>
    <xf borderId="0" fillId="0" fontId="2" numFmtId="0" xfId="0" applyAlignment="1" applyFont="1">
      <alignment horizontal="center" vertical="center"/>
    </xf>
    <xf borderId="0" fillId="0" fontId="9" numFmtId="0" xfId="0" applyAlignment="1" applyFont="1">
      <alignment readingOrder="0" shrinkToFit="0" vertical="center" wrapText="1"/>
    </xf>
    <xf borderId="0" fillId="0" fontId="6" numFmtId="0" xfId="0" applyAlignment="1" applyFont="1">
      <alignment horizontal="center" readingOrder="0"/>
    </xf>
    <xf borderId="0" fillId="0" fontId="2" numFmtId="168" xfId="0" applyAlignment="1" applyFont="1" applyNumberFormat="1">
      <alignment horizontal="center" vertical="center"/>
    </xf>
    <xf borderId="0" fillId="0" fontId="4" numFmtId="0" xfId="0" applyAlignment="1" applyFont="1">
      <alignment readingOrder="0" vertical="center"/>
    </xf>
    <xf borderId="0" fillId="0" fontId="12" numFmtId="169" xfId="0" applyFont="1" applyNumberFormat="1"/>
    <xf borderId="0" fillId="0" fontId="6" numFmtId="0" xfId="0" applyAlignment="1" applyFont="1">
      <alignment horizontal="left" readingOrder="0"/>
    </xf>
    <xf borderId="0" fillId="0" fontId="12" numFmtId="0" xfId="0" applyFont="1"/>
    <xf borderId="0" fillId="0" fontId="9" numFmtId="164" xfId="0" applyAlignment="1" applyFont="1" applyNumberFormat="1">
      <alignment horizontal="center" readingOrder="0" vertical="center"/>
    </xf>
    <xf borderId="0" fillId="0" fontId="9" numFmtId="0" xfId="0" applyAlignment="1" applyFont="1">
      <alignment vertical="center"/>
    </xf>
    <xf borderId="0" fillId="0" fontId="1" numFmtId="0" xfId="0" applyAlignment="1" applyFont="1">
      <alignment readingOrder="0" vertical="center"/>
    </xf>
    <xf borderId="0" fillId="0" fontId="12" numFmtId="0" xfId="0" applyAlignment="1" applyFont="1">
      <alignment horizontal="center"/>
    </xf>
    <xf borderId="0" fillId="0" fontId="13" numFmtId="0" xfId="0" applyAlignment="1" applyFont="1">
      <alignment readingOrder="0" vertical="center"/>
    </xf>
    <xf borderId="0" fillId="0" fontId="14" numFmtId="0" xfId="0" applyAlignment="1" applyFont="1">
      <alignment shrinkToFit="0" vertical="bottom" wrapText="0"/>
    </xf>
    <xf borderId="0" fillId="0" fontId="15" numFmtId="0" xfId="0" applyAlignment="1" applyFont="1">
      <alignment shrinkToFit="0" vertical="bottom" wrapText="0"/>
    </xf>
    <xf borderId="0" fillId="0" fontId="16" numFmtId="0" xfId="0" applyAlignment="1" applyFont="1">
      <alignment horizontal="left" readingOrder="0" vertical="center"/>
    </xf>
    <xf borderId="0" fillId="0" fontId="17" numFmtId="0" xfId="0" applyAlignment="1" applyFont="1">
      <alignment readingOrder="0" vertical="center"/>
    </xf>
    <xf borderId="1" fillId="4" fontId="15" numFmtId="0" xfId="0" applyAlignment="1" applyBorder="1" applyFill="1" applyFont="1">
      <alignment horizontal="center" readingOrder="0" shrinkToFit="0" vertical="bottom" wrapText="0"/>
    </xf>
    <xf borderId="0" fillId="0" fontId="13" numFmtId="164" xfId="0" applyAlignment="1" applyFont="1" applyNumberFormat="1">
      <alignment horizontal="center" readingOrder="0" vertical="center"/>
    </xf>
    <xf borderId="0" fillId="0" fontId="1" numFmtId="166" xfId="0" applyAlignment="1" applyFont="1" applyNumberFormat="1">
      <alignment horizontal="center" readingOrder="0" vertical="center"/>
    </xf>
    <xf borderId="2" fillId="0" fontId="18" numFmtId="0" xfId="0" applyBorder="1" applyFont="1"/>
    <xf borderId="4" fillId="0" fontId="18" numFmtId="0" xfId="0" applyBorder="1" applyFont="1"/>
    <xf borderId="0" fillId="0" fontId="1" numFmtId="170" xfId="0" applyAlignment="1" applyFont="1" applyNumberFormat="1">
      <alignment horizontal="center" readingOrder="0" vertical="center"/>
    </xf>
    <xf borderId="0" fillId="0" fontId="16" numFmtId="0" xfId="0" applyAlignment="1" applyFont="1">
      <alignment horizontal="center" readingOrder="0" vertical="center"/>
    </xf>
    <xf borderId="2" fillId="4" fontId="15" numFmtId="0" xfId="0" applyAlignment="1" applyBorder="1" applyFill="1" applyFont="1">
      <alignment horizontal="center" readingOrder="0" shrinkToFit="0" vertical="bottom" wrapText="0"/>
    </xf>
    <xf borderId="0" fillId="0" fontId="13" numFmtId="0" xfId="0" applyAlignment="1" applyFont="1">
      <alignment horizontal="center" readingOrder="0" vertical="center"/>
    </xf>
    <xf borderId="0" fillId="0" fontId="13" numFmtId="0" xfId="0" applyAlignment="1" applyFont="1">
      <alignment vertical="center"/>
    </xf>
    <xf borderId="3" fillId="0" fontId="18" numFmtId="0" xfId="0" applyBorder="1" applyFont="1"/>
    <xf borderId="5" fillId="5" fontId="19" numFmtId="0" xfId="0" applyAlignment="1" applyBorder="1" applyFill="1" applyFont="1">
      <alignment horizontal="center" readingOrder="0" shrinkToFit="0" vertical="bottom" wrapText="0"/>
    </xf>
    <xf borderId="2" fillId="5" fontId="19" numFmtId="0" xfId="0" applyAlignment="1" applyBorder="1" applyFill="1" applyFont="1">
      <alignment horizontal="center" readingOrder="0" shrinkToFit="0" vertical="bottom" wrapText="0"/>
    </xf>
    <xf borderId="6" fillId="5" fontId="19" numFmtId="0" xfId="0" applyAlignment="1" applyBorder="1" applyFill="1" applyFont="1">
      <alignment horizontal="center" readingOrder="0" shrinkToFit="0" vertical="bottom" wrapText="0"/>
    </xf>
    <xf borderId="7" fillId="6" fontId="14" numFmtId="0" xfId="0" applyAlignment="1" applyBorder="1" applyFill="1" applyFont="1">
      <alignment horizontal="center" readingOrder="0" shrinkToFit="0" vertical="bottom" wrapText="0"/>
    </xf>
    <xf borderId="8" fillId="7" fontId="14" numFmtId="0" xfId="0" applyAlignment="1" applyBorder="1" applyFill="1" applyFont="1">
      <alignment horizontal="center" readingOrder="0" shrinkToFit="0" vertical="bottom" wrapText="0"/>
    </xf>
    <xf borderId="9" fillId="8" fontId="14" numFmtId="0" xfId="0" applyAlignment="1" applyBorder="1" applyFill="1" applyFont="1">
      <alignment horizontal="center" readingOrder="0" shrinkToFit="0" vertical="bottom" wrapText="0"/>
    </xf>
    <xf borderId="8" fillId="6" fontId="14" numFmtId="0" xfId="0" applyAlignment="1" applyBorder="1" applyFill="1" applyFont="1">
      <alignment horizontal="center" readingOrder="0" shrinkToFit="0" vertical="bottom" wrapText="0"/>
    </xf>
    <xf borderId="5" fillId="7" fontId="14" numFmtId="0" xfId="0" applyAlignment="1" applyBorder="1" applyFill="1" applyFont="1">
      <alignment horizontal="center" readingOrder="0" shrinkToFit="0" vertical="bottom" wrapText="0"/>
    </xf>
    <xf borderId="10" fillId="8" fontId="14" numFmtId="0" xfId="0" applyAlignment="1" applyBorder="1" applyFill="1" applyFont="1">
      <alignment horizontal="center" readingOrder="0" shrinkToFit="0" vertical="bottom" wrapText="0"/>
    </xf>
    <xf borderId="11" fillId="7" fontId="14" numFmtId="0" xfId="0" applyAlignment="1" applyBorder="1" applyFill="1" applyFont="1">
      <alignment horizontal="center" readingOrder="0" shrinkToFit="0" vertical="bottom" wrapText="0"/>
    </xf>
    <xf borderId="12" fillId="8" fontId="14" numFmtId="0" xfId="0" applyAlignment="1" applyBorder="1" applyFill="1" applyFont="1">
      <alignment horizontal="center" readingOrder="0" shrinkToFit="0" vertical="bottom" wrapText="0"/>
    </xf>
    <xf borderId="5" fillId="9" fontId="14" numFmtId="0" xfId="0" applyAlignment="1" applyBorder="1" applyFill="1" applyFont="1">
      <alignment readingOrder="0" shrinkToFit="0" vertical="bottom" wrapText="0"/>
    </xf>
    <xf borderId="0" fillId="0" fontId="1" numFmtId="0" xfId="0" applyAlignment="1" applyFont="1">
      <alignment readingOrder="0" shrinkToFit="0" vertical="center" wrapText="1"/>
    </xf>
    <xf borderId="5" fillId="10" fontId="15" numFmtId="0" xfId="0" applyAlignment="1" applyBorder="1" applyFill="1" applyFont="1">
      <alignment horizontal="right" readingOrder="0" shrinkToFit="0" vertical="bottom" wrapText="0"/>
    </xf>
    <xf borderId="5" fillId="11" fontId="15" numFmtId="0" xfId="0" applyAlignment="1" applyBorder="1" applyFill="1" applyFont="1">
      <alignment horizontal="right" readingOrder="0" shrinkToFit="0" vertical="bottom" wrapText="0"/>
    </xf>
    <xf borderId="7" fillId="11" fontId="15" numFmtId="0" xfId="0" applyAlignment="1" applyBorder="1" applyFill="1" applyFont="1">
      <alignment horizontal="right" readingOrder="0" shrinkToFit="0" vertical="bottom" wrapText="0"/>
    </xf>
    <xf borderId="7" fillId="9" fontId="14" numFmtId="0" xfId="0" applyAlignment="1" applyBorder="1" applyFill="1" applyFont="1">
      <alignment horizontal="center" readingOrder="0" shrinkToFit="0" vertical="bottom" wrapText="0"/>
    </xf>
    <xf borderId="8" fillId="9" fontId="14" numFmtId="0" xfId="0" applyAlignment="1" applyBorder="1" applyFill="1" applyFont="1">
      <alignment horizontal="center" readingOrder="0" shrinkToFit="0" vertical="bottom" wrapText="0"/>
    </xf>
    <xf borderId="9" fillId="9" fontId="14" numFmtId="0" xfId="0" applyAlignment="1" applyBorder="1" applyFill="1" applyFont="1">
      <alignment horizontal="center" readingOrder="0" shrinkToFit="0" vertical="bottom" wrapText="0"/>
    </xf>
    <xf borderId="9" fillId="9" fontId="14" numFmtId="0" xfId="0" applyAlignment="1" applyBorder="1" applyFill="1" applyFont="1">
      <alignment horizontal="center" shrinkToFit="0" vertical="bottom" wrapText="0"/>
    </xf>
    <xf borderId="5" fillId="9" fontId="14" numFmtId="0" xfId="0" applyAlignment="1" applyBorder="1" applyFill="1" applyFont="1">
      <alignment horizontal="center" readingOrder="0" shrinkToFit="0" vertical="bottom" wrapText="0"/>
    </xf>
    <xf borderId="10" fillId="9" fontId="14" numFmtId="0" xfId="0" applyAlignment="1" applyBorder="1" applyFill="1" applyFont="1">
      <alignment horizontal="center" shrinkToFit="0" vertical="bottom" wrapText="0"/>
    </xf>
    <xf borderId="6" fillId="9" fontId="14" numFmtId="0" xfId="0" applyAlignment="1" applyBorder="1" applyFill="1" applyFont="1">
      <alignment horizontal="center" readingOrder="0" shrinkToFit="0" vertical="bottom" wrapText="0"/>
    </xf>
    <xf borderId="3" fillId="9" fontId="14" numFmtId="0" xfId="0" applyAlignment="1" applyBorder="1" applyFill="1" applyFont="1">
      <alignment horizontal="center" readingOrder="0" shrinkToFit="0" vertical="bottom" wrapText="0"/>
    </xf>
    <xf borderId="5" fillId="9" fontId="14" numFmtId="0" xfId="0" applyAlignment="1" applyBorder="1" applyFill="1" applyFont="1">
      <alignment horizontal="center" shrinkToFit="0" vertical="bottom" wrapText="0"/>
    </xf>
    <xf borderId="7" fillId="0" fontId="14" numFmtId="0" xfId="0" applyAlignment="1" applyBorder="1" applyFont="1">
      <alignment horizontal="center" readingOrder="0" shrinkToFit="0" vertical="bottom" wrapText="0"/>
    </xf>
    <xf borderId="8" fillId="0" fontId="14" numFmtId="0" xfId="0" applyAlignment="1" applyBorder="1" applyFont="1">
      <alignment horizontal="center" readingOrder="0" shrinkToFit="0" vertical="bottom" wrapText="0"/>
    </xf>
    <xf borderId="6" fillId="0" fontId="14" numFmtId="0" xfId="0" applyAlignment="1" applyBorder="1" applyFont="1">
      <alignment horizontal="center" readingOrder="0" shrinkToFit="0" vertical="bottom" wrapText="0"/>
    </xf>
    <xf borderId="5" fillId="0" fontId="14" numFmtId="0" xfId="0" applyAlignment="1" applyBorder="1" applyFont="1">
      <alignment horizontal="center" readingOrder="0" shrinkToFit="0" vertical="bottom" wrapText="0"/>
    </xf>
    <xf borderId="0" fillId="12" fontId="3" numFmtId="0" xfId="0" applyAlignment="1" applyFill="1" applyFont="1">
      <alignment horizontal="center"/>
    </xf>
    <xf borderId="3" fillId="0" fontId="14" numFmtId="0" xfId="0" applyAlignment="1" applyBorder="1" applyFont="1">
      <alignment horizontal="center" readingOrder="0" shrinkToFit="0" vertical="bottom" wrapText="0"/>
    </xf>
    <xf borderId="5" fillId="0" fontId="14" numFmtId="0" xfId="0" applyAlignment="1" applyBorder="1" applyFont="1">
      <alignment readingOrder="0" shrinkToFit="0" vertical="bottom" wrapText="0"/>
    </xf>
    <xf borderId="0" fillId="0" fontId="13" numFmtId="164" xfId="0" applyAlignment="1" applyFont="1" applyNumberFormat="1">
      <alignment horizontal="center" vertical="center"/>
    </xf>
    <xf borderId="0" fillId="0" fontId="3" numFmtId="0" xfId="0" applyAlignment="1" applyFont="1">
      <alignment horizontal="left" readingOrder="0" vertical="center"/>
    </xf>
    <xf borderId="0" fillId="0" fontId="20" numFmtId="0" xfId="0" applyAlignment="1" applyFont="1">
      <alignment horizontal="left" readingOrder="0" vertical="center"/>
    </xf>
    <xf borderId="0" fillId="0" fontId="2" numFmtId="164" xfId="0" applyAlignment="1" applyFont="1" applyNumberFormat="1">
      <alignment horizontal="center" readingOrder="0" vertical="center"/>
    </xf>
    <xf borderId="0" fillId="0" fontId="3" numFmtId="164" xfId="0" applyAlignment="1" applyFont="1" applyNumberFormat="1">
      <alignment horizontal="center" vertical="center"/>
    </xf>
    <xf borderId="0" fillId="0" fontId="3" numFmtId="0" xfId="0" applyAlignment="1" applyFont="1">
      <alignment horizontal="center" readingOrder="0" vertical="center"/>
    </xf>
    <xf borderId="0" fillId="0" fontId="2" numFmtId="171" xfId="0" applyAlignment="1" applyFont="1" applyNumberFormat="1">
      <alignment horizontal="center" readingOrder="0" vertical="center"/>
    </xf>
    <xf borderId="0" fillId="0" fontId="1" numFmtId="0" xfId="0" applyAlignment="1" applyFont="1">
      <alignment readingOrder="0" vertical="center"/>
    </xf>
    <xf borderId="0" fillId="0" fontId="4" numFmtId="0" xfId="0" applyFont="1"/>
    <xf borderId="0" fillId="0" fontId="21" numFmtId="0" xfId="0" applyFont="1"/>
    <xf borderId="0" fillId="0" fontId="1" numFmtId="0" xfId="0" applyFont="1"/>
    <xf borderId="0" fillId="0" fontId="2" numFmtId="0" xfId="0" applyAlignment="1" applyFont="1">
      <alignment horizontal="center" readingOrder="0" vertical="center"/>
    </xf>
    <xf borderId="0" fillId="0" fontId="22" numFmtId="0" xfId="0" applyFont="1"/>
    <xf borderId="13" fillId="0" fontId="4" numFmtId="0" xfId="0" applyAlignment="1" applyBorder="1" applyFont="1">
      <alignment readingOrder="0"/>
    </xf>
    <xf borderId="14" fillId="0" fontId="18" numFmtId="0" xfId="0" applyBorder="1" applyFont="1"/>
    <xf borderId="15" fillId="0" fontId="18" numFmtId="0" xfId="0" applyBorder="1" applyFont="1"/>
    <xf borderId="16" fillId="0" fontId="1" numFmtId="0" xfId="0" applyAlignment="1" applyBorder="1" applyFont="1">
      <alignment readingOrder="0"/>
    </xf>
    <xf borderId="0" fillId="0" fontId="1" numFmtId="0" xfId="0" applyAlignment="1" applyFont="1">
      <alignment readingOrder="0"/>
    </xf>
    <xf borderId="17" fillId="0" fontId="18" numFmtId="0" xfId="0" applyBorder="1" applyFont="1"/>
    <xf borderId="18" fillId="0" fontId="1" numFmtId="0" xfId="0" applyAlignment="1" applyBorder="1" applyFont="1">
      <alignment readingOrder="0"/>
    </xf>
    <xf borderId="19" fillId="0" fontId="1" numFmtId="0" xfId="0" applyAlignment="1" applyBorder="1" applyFont="1">
      <alignment readingOrder="0"/>
    </xf>
    <xf borderId="19" fillId="0" fontId="18" numFmtId="0" xfId="0" applyBorder="1" applyFont="1"/>
    <xf borderId="20" fillId="0" fontId="18" numFmtId="0" xfId="0" applyBorder="1" applyFont="1"/>
    <xf borderId="0" fillId="0" fontId="4" numFmtId="0" xfId="0" applyAlignment="1" applyFont="1">
      <alignment horizontal="center" readingOrder="0" shrinkToFit="0" vertical="center" wrapText="1"/>
    </xf>
    <xf borderId="5" fillId="0" fontId="4" numFmtId="0" xfId="0" applyAlignment="1" applyBorder="1" applyFont="1">
      <alignment horizontal="center" readingOrder="0" shrinkToFit="0" vertical="center" wrapText="1"/>
    </xf>
    <xf borderId="5" fillId="0" fontId="4" numFmtId="0" xfId="0" applyAlignment="1" applyBorder="1" applyFont="1">
      <alignment horizontal="center" readingOrder="0" vertical="center"/>
    </xf>
    <xf borderId="5" fillId="0" fontId="1" numFmtId="0" xfId="0" applyAlignment="1" applyBorder="1" applyFont="1">
      <alignment horizontal="center" readingOrder="0" vertical="center"/>
    </xf>
    <xf borderId="0" fillId="0" fontId="1" numFmtId="0" xfId="0" applyAlignment="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readingOrder="0" shrinkToFit="0" wrapText="1"/>
    </xf>
    <xf borderId="5" fillId="0" fontId="23" numFmtId="0" xfId="0" applyAlignment="1" applyBorder="1" applyFont="1">
      <alignment horizontal="center" readingOrder="0" vertical="center"/>
    </xf>
    <xf borderId="0" fillId="0" fontId="1" numFmtId="0" xfId="0" applyAlignment="1" applyFont="1">
      <alignment horizontal="center" readingOrder="0" shrinkToFit="0" vertical="center" wrapText="1"/>
    </xf>
    <xf borderId="5" fillId="0" fontId="1" numFmtId="0" xfId="0" applyAlignment="1" applyBorder="1" applyFont="1">
      <alignment readingOrder="0" shrinkToFit="0" vertical="center" wrapText="1"/>
    </xf>
    <xf borderId="0" fillId="0" fontId="24" numFmtId="0" xfId="0" applyAlignment="1" applyFont="1">
      <alignment horizontal="center" readingOrder="0" vertical="center"/>
    </xf>
    <xf borderId="0" fillId="0" fontId="4" numFmtId="0" xfId="0" applyAlignment="1" applyFont="1">
      <alignment vertical="center"/>
    </xf>
    <xf borderId="0" fillId="0" fontId="1" numFmtId="0" xfId="0" applyAlignment="1" applyFont="1">
      <alignment vertical="center"/>
    </xf>
    <xf borderId="0" fillId="0" fontId="1" numFmtId="170" xfId="0" applyAlignment="1" applyFont="1" applyNumberFormat="1">
      <alignment horizontal="center" vertical="center"/>
    </xf>
    <xf borderId="0" fillId="0" fontId="1" numFmtId="0" xfId="0" applyAlignment="1" applyFont="1">
      <alignment horizontal="center" vertical="center"/>
    </xf>
    <xf borderId="0" fillId="0" fontId="1" numFmtId="169" xfId="0" applyAlignment="1" applyFont="1" applyNumberFormat="1">
      <alignment readingOrder="0" vertical="center"/>
    </xf>
    <xf borderId="0" fillId="0" fontId="1" numFmtId="172" xfId="0" applyAlignment="1" applyFont="1" applyNumberFormat="1">
      <alignment readingOrder="0" vertical="center"/>
    </xf>
    <xf borderId="0" fillId="0" fontId="25" numFmtId="0" xfId="0" applyAlignment="1" applyFont="1">
      <alignment readingOrder="0" vertical="center"/>
    </xf>
    <xf borderId="0" fillId="0" fontId="1" numFmtId="0" xfId="0" applyAlignment="1" applyFont="1">
      <alignment readingOrder="0" vertical="center"/>
    </xf>
    <xf borderId="0" fillId="0" fontId="1" numFmtId="169" xfId="0" applyAlignment="1" applyFont="1" applyNumberFormat="1">
      <alignment horizontal="center" readingOrder="0" vertical="center"/>
    </xf>
    <xf borderId="0" fillId="13" fontId="1" numFmtId="0" xfId="0" applyAlignment="1" applyFill="1" applyFont="1">
      <alignment vertical="center"/>
    </xf>
    <xf borderId="0" fillId="13" fontId="1" numFmtId="0" xfId="0" applyAlignment="1" applyFill="1" applyFont="1">
      <alignment horizontal="center" vertical="center"/>
    </xf>
    <xf borderId="0" fillId="13" fontId="4" numFmtId="0" xfId="0" applyAlignment="1" applyFill="1" applyFont="1">
      <alignment readingOrder="0" vertical="center"/>
    </xf>
    <xf borderId="0" fillId="13" fontId="1" numFmtId="0" xfId="0" applyAlignment="1" applyFill="1" applyFont="1">
      <alignment readingOrder="0" vertical="center"/>
    </xf>
    <xf borderId="0" fillId="13" fontId="26" numFmtId="0" xfId="0" applyAlignment="1" applyFill="1" applyFont="1">
      <alignment readingOrder="0" vertical="center"/>
    </xf>
    <xf borderId="0" fillId="13" fontId="1" numFmtId="166" xfId="0" applyAlignment="1" applyFill="1" applyFont="1" applyNumberFormat="1">
      <alignment horizontal="center" readingOrder="0" vertical="center"/>
    </xf>
    <xf borderId="0" fillId="13" fontId="1" numFmtId="0" xfId="0" applyAlignment="1" applyFill="1" applyFont="1">
      <alignment horizontal="center" readingOrder="0" vertical="center"/>
    </xf>
    <xf borderId="0" fillId="13" fontId="1" numFmtId="0" xfId="0" applyAlignment="1" applyFill="1" applyFont="1">
      <alignment shrinkToFit="0" vertical="center" wrapText="1"/>
    </xf>
    <xf borderId="0" fillId="13" fontId="1" numFmtId="0" xfId="0" applyAlignment="1" applyFill="1" applyFont="1">
      <alignment readingOrder="0" shrinkToFit="0" vertical="center" wrapText="1"/>
    </xf>
    <xf borderId="0" fillId="14" fontId="4" numFmtId="0" xfId="0" applyAlignment="1" applyFill="1" applyFont="1">
      <alignment readingOrder="0" vertical="center"/>
    </xf>
    <xf borderId="0" fillId="0" fontId="1" numFmtId="171" xfId="0" applyAlignment="1" applyFont="1" applyNumberFormat="1">
      <alignment horizontal="center" readingOrder="0" vertical="center"/>
    </xf>
    <xf borderId="0" fillId="0" fontId="1" numFmtId="173" xfId="0" applyAlignment="1" applyFont="1" applyNumberFormat="1">
      <alignment horizontal="left" readingOrder="0" vertical="center"/>
    </xf>
    <xf borderId="0" fillId="0" fontId="3" numFmtId="0" xfId="0" applyFont="1"/>
    <xf borderId="0" fillId="0" fontId="10" numFmtId="0" xfId="0" applyFont="1"/>
    <xf borderId="0" fillId="0" fontId="3" numFmtId="0" xfId="0" applyFont="1"/>
    <xf borderId="0" fillId="0" fontId="27" numFmtId="0" xfId="0" applyAlignment="1" applyFont="1">
      <alignment readingOrder="0"/>
    </xf>
    <xf borderId="0" fillId="0" fontId="3" numFmtId="0" xfId="0" applyAlignment="1" applyFont="1">
      <alignment readingOrder="0"/>
    </xf>
    <xf borderId="0" fillId="0" fontId="3" numFmtId="0" xfId="0" applyAlignment="1" applyFont="1">
      <alignment shrinkToFit="0" wrapText="1"/>
    </xf>
    <xf borderId="0" fillId="0" fontId="10" numFmtId="0" xfId="0" applyAlignment="1" applyFont="1">
      <alignment readingOrder="0"/>
    </xf>
    <xf borderId="0" fillId="0" fontId="1" numFmtId="0" xfId="0" applyAlignment="1" applyFont="1">
      <alignment horizontal="left" readingOrder="0" shrinkToFit="0" vertical="center" wrapText="1"/>
    </xf>
    <xf borderId="0" fillId="15" fontId="4" numFmtId="0" xfId="0" applyAlignment="1" applyFill="1" applyFont="1">
      <alignment readingOrder="0" vertical="center"/>
    </xf>
    <xf borderId="0" fillId="16" fontId="4" numFmtId="0" xfId="0" applyAlignment="1" applyFill="1" applyFont="1">
      <alignment readingOrder="0" vertical="center"/>
    </xf>
    <xf borderId="0" fillId="17" fontId="4" numFmtId="0" xfId="0" applyAlignment="1" applyFill="1" applyFont="1">
      <alignment readingOrder="0" vertical="center"/>
    </xf>
    <xf borderId="0" fillId="0" fontId="1" numFmtId="171" xfId="0" applyAlignment="1" applyFont="1" applyNumberFormat="1">
      <alignment readingOrder="0" vertical="center"/>
    </xf>
  </cellXfs>
  <cellStyles count="1">
    <cellStyle xfId="0" name="Normal" builtinId="0"/>
  </cellStyles>
  <dxfs count="4">
    <dxf>
      <font/>
      <fill>
        <patternFill patternType="solid">
          <fgColor rgb="FFB7E1CD"/>
          <bgColor rgb="FFB7E1CD"/>
        </patternFill>
      </fill>
      <border/>
    </dxf>
    <dxf>
      <font/>
      <fill>
        <patternFill patternType="solid">
          <fgColor rgb="FFCFE2F3"/>
          <bgColor rgb="FFCFE2F3"/>
        </patternFill>
      </fill>
      <border/>
    </dxf>
    <dxf>
      <font/>
      <fill>
        <patternFill patternType="solid">
          <fgColor rgb="FFD9D9D9"/>
          <bgColor rgb="FFD9D9D9"/>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38100</xdr:rowOff>
    </xdr:from>
    <xdr:ext cx="1476375" cy="466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clutamiento Master Group" id="{0e134a9c-c89c-4dc4-9e01-3e4ef3c63851}" providerId="google-sheets"/>
  <x18tc:person displayName="María Hernandez" id="{67a329c6-09cb-4928-bf1f-b6469908a301}" providerId="google-sheets"/>
  <x18tc:person displayName="Cuenta borrada" id="{654e9ea6-32d9-4e56-aa5e-a2fa3f9cdb6d}" providerId="google-sheets"/>
  <x18tc:person displayName="Franmarys Gonzalez" id="{46a8d887-e320-40a9-831d-18049f2462ea}" providerId="google-sheets"/>
  <x18tc:person displayName="Argelia Villarroel" id="{95ec11d5-b02a-4053-a5e5-36dcaf48002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23T21:03:03.00" personId="{0e134a9c-c89c-4dc4-9e01-3e4ef3c63851}" id="{fffd10dd-406b-42fc-947c-a7d5434ff2d3}" done="0">
    <x18tc:text xml:space="preserve">verificar el transporte (vive en la Vega). Se sugiere para BEP</x18tc:text>
  </x18tc:threadedComment>
  <x18tc:threadedComment ref="A1" dT="2026-03-17T13:57:42.00" personId="{67a329c6-09cb-4928-bf1f-b6469908a301}" id="{f3a862b3-bda9-4419-8395-3fa2b701da39}" done="0">
    <x18tc:text xml:space="preserve">LA Gringa - KArla Ortiz</x18tc:text>
  </x18tc:threadedComment>
  <x18tc:threadedComment ref="A1" dT="2025-12-23T20:59:25.00" personId="{0e134a9c-c89c-4dc4-9e01-3e4ef3c63851}" id="{db8dea00-4ea2-474d-bb0c-5fb68a649f39}" done="0">
    <x18tc:text xml:space="preserve">verificar transporte (vive en la Pastora). Se sugiere para BSB o BLC</x18tc:text>
  </x18tc:threadedComment>
  <x18tc:threadedComment ref="A1" dT="2026-03-17T13:55:43.00" personId="{67a329c6-09cb-4928-bf1f-b6469908a301}" id="{cc9bf415-b9a9-4cd8-a763-a3c96a2347af}" done="0">
    <x18tc:text xml:space="preserve">Beijing Altamira - Karla Ortiz</x18tc:text>
  </x18tc:threadedComment>
  <x18tc:threadedComment ref="A1" dT="2025-12-23T21:07:24.00" personId="{0e134a9c-c89c-4dc4-9e01-3e4ef3c63851}" id="{14815037-e0c2-47b5-9ab8-29f4a374fa9c}" done="0">
    <x18tc:text xml:space="preserve">verificar transporte (vive en Palo Verde), se sugiere para BM</x18tc:text>
  </x18tc:threadedComment>
  <x18tc:threadedComment ref="A1" dT="2026-03-17T13:59:52.00" personId="{67a329c6-09cb-4928-bf1f-b6469908a301}" id="{290e2b01-fdd4-4a9e-899e-28d531d37c6b}" done="0">
    <x18tc:text xml:space="preserve">Beijing San Bernardino - Luis Anderson</x18tc:text>
  </x18tc:threadedComment>
  <x18tc:threadedComment ref="A1" dT="2025-12-23T21:05:18.00" personId="{0e134a9c-c89c-4dc4-9e01-3e4ef3c63851}" id="{71f10bdc-cea6-45b2-88f6-76c21ca4afb3}" done="0">
    <x18tc:text xml:space="preserve">verificar transporte (vive en Concresa - Bo. Sta Cruz). Se sugiere para la Boyera, los Naranjos</x18tc:text>
  </x18tc:threadedComment>
  <x18tc:threadedComment ref="A1" dT="2026-03-17T13:58:59.00" personId="{67a329c6-09cb-4928-bf1f-b6469908a301}" id="{6eb53cc2-ad23-41fb-8d12-d04028ada8e2}" done="0">
    <x18tc:text xml:space="preserve">Vacante condiciona, egreso de una cajera</x18tc:text>
  </x18tc:threadedComment>
  <x18tc:threadedComment ref="A1" dT="2025-12-18T21:21:52.00" personId="{67a329c6-09cb-4928-bf1f-b6469908a301}" id="{bd97e7ee-4537-4258-b82e-d83c8efbe9a1}" done="0">
    <x18tc:text xml:space="preserve">Mariana Rodriguez 18-12
Maria Fabiola Colmenares 18-12</x18tc:text>
  </x18tc:threadedComment>
  <x18tc:threadedComment ref="A1" dT="2025-12-18T20:48:47.00" personId="{67a329c6-09cb-4928-bf1f-b6469908a301}" id="{f67063a1-76a5-4024-9487-e7aabdf67428}" done="0">
    <x18tc:text xml:space="preserve">Edgary Carolina Palacios 17-12 - Aprobo Prueba
Jeudys Alvarado 19-12</x18tc:text>
  </x18tc:threadedComment>
  <x18tc:threadedComment ref="A1" dT="2026-03-17T14:00:25.00" personId="{67a329c6-09cb-4928-bf1f-b6469908a301}" id="{bd5c55d4-65f8-472e-a443-23e2ded24917}" done="0">
    <x18tc:text xml:space="preserve">Beijing Ortiente (Lechería) - Francisco Castillo</x18tc:text>
  </x18tc:threadedComment>
  <x18tc:threadedComment ref="A1" dT="2025-12-18T20:47:44.00" personId="{67a329c6-09cb-4928-bf1f-b6469908a301}" id="{600e1935-19aa-48a8-8e9f-b19fabf809ac}" done="0">
    <x18tc:text xml:space="preserve">Gabriela Rosal 18-12 Aprobo periodo de prueba</x18tc:text>
  </x18tc:threadedComment>
  <x18tc:threadedComment ref="A1" dT="2026-03-17T14:00:06.00" personId="{67a329c6-09cb-4928-bf1f-b6469908a301}" id="{d3bff7cf-2d88-40ba-b0da-2487270bf90c}" done="0">
    <x18tc:text xml:space="preserve">Beijing Sambil Candelaria - Juan Simoza</x18tc:text>
  </x18tc:threadedComment>
  <x18tc:threadedComment ref="A1" dT="2026-03-17T14:08:24.00" personId="{67a329c6-09cb-4928-bf1f-b6469908a301}" id="{42f678f6-b1d9-4dc8-8319-b10031e08d33}" done="0">
    <x18tc:text xml:space="preserve">Reemplazo de Wilmarys</x18tc:text>
  </x18tc:threadedComment>
  <x18tc:threadedComment ref="A1" dT="2026-03-17T13:54:10.00" personId="{67a329c6-09cb-4928-bf1f-b6469908a301}" id="{163182b7-b44f-4baf-a12e-7071ee0f5bd3}" done="0">
    <x18tc:text xml:space="preserve">Beijing La Boyera - Ladeibis</x18tc:text>
  </x18tc:threadedComment>
  <x18tc:threadedComment ref="A1" dT="2025-12-18T20:56:59.00" personId="{67a329c6-09cb-4928-bf1f-b6469908a301}" id="{6fb9d90c-fe84-48fa-85bd-0bb665531353}" done="0">
    <x18tc:text xml:space="preserve">Karean Castillo 18-12 Aprobo prueba</x18tc:text>
  </x18tc:threadedComment>
  <x18tc:threadedComment ref="A1" dT="2025-12-23T20:58:00.00" personId="{0e134a9c-c89c-4dc4-9e01-3e4ef3c63851}" id="{e58b0a93-516e-46d6-8e03-6cfae150c207}" done="0">
    <x18tc:text xml:space="preserve">se verificaran referencias ya que anteriormente trabajo para Beijing Los Naranjos y Altamira Village</x18tc:text>
  </x18tc:threadedComment>
  <x18tc:threadedComment ref="A1" dT="2026-03-17T14:08:09.00" personId="{67a329c6-09cb-4928-bf1f-b6469908a301}" id="{864039b4-717c-40b0-9139-25ef0239cd7c}" done="0">
    <x18tc:text xml:space="preserve">Desarrollo de Carrera Kevin</x18tc:text>
  </x18tc:threadedComment>
  <x18tc:threadedComment ref="A1" dT="2026-03-17T13:53:28.00" personId="{67a329c6-09cb-4928-bf1f-b6469908a301}" id="{1f6de556-5d3e-44c4-8c64-d798b558a25f}" done="0">
    <x18tc:text xml:space="preserve">Beijing Tahona - Rebeca Ortiz</x18tc:text>
  </x18tc:threadedComment>
  <x18tc:threadedComment ref="A1" dT="2025-12-19T15:20:54.00" personId="{95ec11d5-b02a-4053-a5e5-36dcaf48002c}" id="{8654b895-9f57-4a34-a9d4-443906113b4e}" done="0">
    <x18tc:text xml:space="preserve">Raniel Rodriguez 19/12/2025 1:00 pm</x18tc:text>
  </x18tc:threadedComment>
  <x18tc:threadedComment ref="A1" dT="2025-12-18T20:56:34.00" personId="{67a329c6-09cb-4928-bf1f-b6469908a301}" id="{20c43376-8181-4c11-af51-6b886efe865c}" done="0">
    <x18tc:text xml:space="preserve">Katherine Guevara 18-12-2025 - Aprobo prueba</x18tc:text>
  </x18tc:threadedComment>
  <x18tc:threadedComment ref="A1" dT="2026-03-17T14:02:01.00" personId="{67a329c6-09cb-4928-bf1f-b6469908a301}" id="{a2e5e1c2-b23a-4d3f-848f-8989548ee10d}" done="0">
    <x18tc:text xml:space="preserve">Annkara Candelaria - Melanny Estrada</x18tc:text>
  </x18tc:threadedComment>
  <x18tc:threadedComment ref="A1" dT="2026-03-17T14:34:36.00" personId="{67a329c6-09cb-4928-bf1f-b6469908a301}" id="{a61ab34a-3cf8-4a41-a5a6-229a48a0fd13}" done="0">
    <x18tc:text xml:space="preserve">Iris Gala Valentina</x18tc:text>
  </x18tc:threadedComment>
  <x18tc:threadedComment ref="A1" dT="2026-03-17T14:02:44.00" personId="{67a329c6-09cb-4928-bf1f-b6469908a301}" id="{2b8c7cb1-35c6-4b1c-b3d8-1cdc2d8a49d8}" done="0">
    <x18tc:text xml:space="preserve">Annkara Recreo - Melany Estrada</x18tc:text>
  </x18tc:threadedComment>
  <x18tc:threadedComment ref="A1" dT="2026-03-17T14:34:16.00" personId="{67a329c6-09cb-4928-bf1f-b6469908a301}" id="{d75195b6-3730-486a-a32a-57aeaa1e1a4e}" done="0">
    <x18tc:text xml:space="preserve">Olmos</x18tc:text>
  </x18tc:threadedComment>
  <x18tc:threadedComment ref="A1" dT="2026-03-17T13:54:49.00" personId="{67a329c6-09cb-4928-bf1f-b6469908a301}" id="{52a3bc4a-92fe-434b-a8f1-c98c52a843d6}" done="0">
    <x18tc:text xml:space="preserve">Beijing Los Naranjos - Yonaski Suescum</x18tc:text>
  </x18tc:threadedComment>
  <x18tc:threadedComment ref="A1" dT="2026-03-17T14:03:27.00" personId="{67a329c6-09cb-4928-bf1f-b6469908a301}" id="{3cdf3a5a-64cd-46c3-b336-7812c33316c1}" done="0">
    <x18tc:text xml:space="preserve">Beijing Paraiso - Hectir Rojas</x18tc:text>
  </x18tc:threadedComment>
  <x18tc:threadedComment ref="A1" dT="2025-12-29T20:56:31.00" personId="{654e9ea6-32d9-4e56-aa5e-a2fa3f9cdb6d}" id="{eafb1f80-30c7-44b8-8801-65c3975abb0f}" done="0">
    <x18tc:text xml:space="preserve">por motivos personales, su periodo de prueba iniciara el 02/01</x18tc:text>
  </x18tc:threadedComment>
  <x18tc:threadedComment ref="A1" dT="2026-03-17T14:02:56.00" personId="{67a329c6-09cb-4928-bf1f-b6469908a301}" id="{97dd4d75-bf11-484d-b886-11c0f1f78456}" done="0">
    <x18tc:text xml:space="preserve">Beijing Sambil Chacao - Josue Machado</x18tc:text>
  </x18tc:threadedComment>
  <x18tc:threadedComment ref="A1" dT="2026-03-17T14:05:45.00" personId="{67a329c6-09cb-4928-bf1f-b6469908a301}" id="{cbffeb02-924b-4fe2-9441-f0d69635ce65}" done="0">
    <x18tc:text xml:space="preserve">Beijing Recreo - Julio Nuñez</x18tc:text>
  </x18tc:threadedComment>
  <x18tc:threadedComment ref="A1" dT="2026-01-02T18:16:16.00" personId="{654e9ea6-32d9-4e56-aa5e-a2fa3f9cdb6d}" id="{865c1252-52a8-44ea-81b2-7cc9015ba660}" done="0">
    <x18tc:text xml:space="preserve">inicia el 07/01</x18tc:text>
  </x18tc:threadedComment>
  <x18tc:threadedComment ref="A1" dT="2026-03-17T14:03:58.00" personId="{67a329c6-09cb-4928-bf1f-b6469908a301}" id="{70e985d1-4149-46d4-9203-230798fb2cbe}" done="0">
    <x18tc:text xml:space="preserve">Beijing Millenium - Andy Febles</x18tc:text>
  </x18tc:threadedComment>
  <x18tc:threadedComment ref="A1" dT="2025-12-29T21:08:55.00" personId="{654e9ea6-32d9-4e56-aa5e-a2fa3f9cdb6d}" id="{8292a228-1549-4389-ac33-809358f8d949}" done="0">
    <x18tc:text xml:space="preserve">no asistio mas debido a que recibio otra oferta salarial</x18tc:text>
  </x18tc:threadedComment>
  <x18tc:threadedComment ref="A1" dT="2025-12-23T21:08:14.00" personId="{0e134a9c-c89c-4dc4-9e01-3e4ef3c63851}" id="{385f1dd8-f4c7-4ca0-8b21-ecc2c69dd48d}" done="0">
    <x18tc:text xml:space="preserve">verificar transporte (vive en la Vega), se sugiere para BEP</x18tc:text>
  </x18tc:threadedComment>
  <x18tc:threadedComment ref="A1" dT="2025-12-29T21:09:17.00" personId="{654e9ea6-32d9-4e56-aa5e-a2fa3f9cdb6d}" id="{204cb565-bb62-481c-a81c-d527d10e371a}" done="0">
    <x18tc:text xml:space="preserve">por motivos personales, se pospone su periodo de prueba a partir del 05/01</x18tc:text>
  </x18tc:threadedComment>
  <x18tc:threadedComment ref="A1" dT="2026-03-17T14:06:47.00" personId="{67a329c6-09cb-4928-bf1f-b6469908a301}" id="{c4813591-19c8-43e5-a599-2a7694581cb3}" done="0">
    <x18tc:text xml:space="preserve">Beijing Barquisimeto - Edgard PErez</x18tc:text>
  </x18tc:threadedComment>
  <x18tc:threadedComment ref="A1" dT="2025-12-29T21:34:23.00" personId="{654e9ea6-32d9-4e56-aa5e-a2fa3f9cdb6d}" id="{3d6e3b58-2c00-4fb5-939c-e9d96e691d48}" done="0">
    <x18tc:text xml:space="preserve">la candidata reporto que no asistiria para cuidar a su mascota</x18tc:text>
  </x18tc:threadedComment>
  <x18tc:threadedComment ref="A1" dT="2025-12-19T14:42:35.00" personId="{67a329c6-09cb-4928-bf1f-b6469908a301}" id="{9ad9d9a9-bb50-461d-a7d9-ad33f6f98e8d}" done="0">
    <x18tc:text xml:space="preserve">Keifrank Silva 19/12</x18tc:text>
  </x18tc:threadedComment>
  <x18tc:threadedComment ref="A1" dT="2025-12-22T18:29:20.00" personId="{67a329c6-09cb-4928-bf1f-b6469908a301}" id="{73a571a6-0003-4823-bd66-1033b913892b}" done="0">
    <x18tc:text xml:space="preserve">Hosnell - No acepto oferta</x18tc:text>
  </x18tc:threadedComment>
  <x18tc:threadedComment ref="A1" dT="2025-12-23T21:09:34.00" personId="{0e134a9c-c89c-4dc4-9e01-3e4ef3c63851}" id="{067e651d-2a28-4c10-b8ef-1e53591754c8}" done="0">
    <x18tc:text xml:space="preserve">verificar transporte (vive en las adjuntas), se sugiere para BEP</x18tc:text>
  </x18tc:threadedComment>
  <x18tc:threadedComment ref="A1" dT="2025-12-19T00:21:48.00" personId="{95ec11d5-b02a-4053-a5e5-36dcaf48002c}" id="{d58c8e45-dbcf-41ff-bae5-686c10276074}" done="0">
    <x18tc:text xml:space="preserve">Josrey Arturo Ramirez 18/12/25</x18tc:text>
  </x18tc:threadedComment>
  <x18tc:threadedComment ref="A1" dT="2025-12-19T14:55:59.00" personId="{95ec11d5-b02a-4053-a5e5-36dcaf48002c}" id="{d26d4d64-d161-45fe-a214-8a0fb0d43c8b}" parentId="{d58c8e45-dbcf-41ff-bae5-686c10276074}">
    <x18tc:text xml:space="preserve">vienes Kevinn 19/12/25</x18tc:text>
  </x18tc:threadedComment>
  <x18tc:threadedComment ref="A1" dT="2025-12-22T18:29:37.00" personId="{67a329c6-09cb-4928-bf1f-b6469908a301}" id="{78de0e5c-d85f-4387-883f-a36f8ba107a8}" done="0">
    <x18tc:text xml:space="preserve">Daniel Aprobo Prueba</x18tc:text>
  </x18tc:threadedComment>
  <x18tc:threadedComment ref="A1" dT="2025-12-19T15:03:43.00" personId="{67a329c6-09cb-4928-bf1f-b6469908a301}" id="{a45d3016-0687-4bf4-85de-2eb2b9700111}" done="0">
    <x18tc:text xml:space="preserve">Estefani Hernández
CI: 27607901 - Ingreso por Gte</x18tc:text>
  </x18tc:threadedComment>
  <x18tc:threadedComment ref="A1" dT="2025-12-19T15:48:33.00" personId="{67a329c6-09cb-4928-bf1f-b6469908a301}" id="{48e15984-5162-4fca-a538-2e9632cb2408}" done="0">
    <x18tc:text xml:space="preserve">Heindall Reyes - Aprobado prueba - ingreso por el Gte</x18tc:text>
  </x18tc:threadedComment>
  <x18tc:threadedComment ref="A1" dT="2025-12-22T18:31:29.00" personId="{67a329c6-09cb-4928-bf1f-b6469908a301}" id="{fb3ab802-8936-4e5b-aa16-4968feae2178}" done="0">
    <x18tc:text xml:space="preserve">Hashen Enrique Aguilera
V-31.944.935 - Ingreso por el Gte
María Ojeda
Nuevo ingreso: 22/12/25 - Ingreso por el Gte</x18tc:text>
  </x18tc:threadedComment>
  <x18tc:threadedComment ref="A1" dT="2026-03-18T18:51:47.00" personId="{67a329c6-09cb-4928-bf1f-b6469908a301}" id="{7c1df3f7-7966-4d99-93e8-c7aacd511c6d}" done="0">
    <x18tc:text xml:space="preserve">No superacion de periodo de prueba Luciany</x18tc:text>
  </x18tc:threadedComment>
  <x18tc:threadedComment ref="A1" dT="2025-12-23T20:53:15.00" personId="{0e134a9c-c89c-4dc4-9e01-3e4ef3c63851}" id="{05aaee93-ac52-4642-8453-79cb805ad229}" done="0">
    <x18tc:text xml:space="preserve">Verificar transporte, vive en la Urbina. Podria funcionar para Altamira Village (B o LG)</x18tc:text>
  </x18tc:threadedComment>
  <x18tc:threadedComment ref="A1" dT="2025-12-19T15:39:55.00" personId="{67a329c6-09cb-4928-bf1f-b6469908a301}" id="{15ff8c8a-e2ca-468e-abe4-2d8aa662cb30}" done="0">
    <x18tc:text xml:space="preserve">Nicole Hernandez 19-12</x18tc:text>
  </x18tc:threadedComment>
  <x18tc:threadedComment ref="A1" dT="2025-12-18T20:45:07.00" personId="{67a329c6-09cb-4928-bf1f-b6469908a301}" id="{40203e99-ae72-4fa4-bad5-3e8d1f02307c}" done="0">
    <x18tc:text xml:space="preserve">Gean Franco 19-12
Fabrizio Moreno 19-12</x18tc:text>
  </x18tc:threadedComment>
  <x18tc:threadedComment ref="A1" dT="2025-12-18T20:44:56.00" personId="{67a329c6-09cb-4928-bf1f-b6469908a301}" id="{d72df8aa-c700-4cdd-b3d7-0cf3f0bea014}" done="0">
    <x18tc:text xml:space="preserve">Rosmery 18-12</x18tc:text>
  </x18tc:threadedComment>
  <x18tc:threadedComment ref="A1" dT="2026-01-07T14:44:25.00" personId="{654e9ea6-32d9-4e56-aa5e-a2fa3f9cdb6d}" id="{4e99878d-e413-498b-98e6-ed528aa48b31}" done="0">
    <x18tc:text xml:space="preserve">inicia prueba 08/01</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7" dT="2026-03-09T14:03:39.00" personId="{654e9ea6-32d9-4e56-aa5e-a2fa3f9cdb6d}" id="{5a96e418-8546-4aa2-870c-f4d5b1337eca}" done="0">
    <x18tc:text xml:space="preserve">Tenemos a Anyeli Ascanio de reposo</x18tc:text>
  </x18tc:threadedComment>
  <x18tc:threadedComment ref="I19" dT="2026-03-09T13:54:42.00" personId="{654e9ea6-32d9-4e56-aa5e-a2fa3f9cdb6d}" id="{7c0b30ad-42bd-4d97-a63c-68e4a10dd4e6}" done="1">
    <x18tc:text xml:space="preserve">2 mesoneros
2 ayudantes</x18tc:text>
  </x18tc:threadedComment>
  <x18tc:threadedComment ref="F14" dT="2026-03-09T13:51:23.00" personId="{654e9ea6-32d9-4e56-aa5e-a2fa3f9cdb6d}" id="{6132848d-8450-4ae5-8dcc-4a263abd718c}" done="1">
    <x18tc:text xml:space="preserve">Tenemos un adicional que cubre a Emisael - Plan de Carrera</x18tc:text>
  </x18tc:threadedComment>
  <x18tc:threadedComment ref="I19" dT="2026-07-08T18:31:30.00" personId="{46a8d887-e320-40a9-831d-18049f2462ea}" id="{9a1603b6-dcdf-48ef-825c-6cb90cf64fe6}" done="0">
    <x18tc:text xml:space="preserve">2 mesoneros
2 ayudantes</x18tc:text>
  </x18tc:threadedComment>
  <x18tc:threadedComment ref="AV19" dT="2026-03-09T14:35:07.00" personId="{654e9ea6-32d9-4e56-aa5e-a2fa3f9cdb6d}" id="{ac6d496c-efab-4778-98e3-1822577d525f}" done="0">
    <x18tc:text xml:space="preserve">5 ayudantes
3 mesoneros</x18tc:text>
  </x18tc:threadedComment>
  <x18tc:threadedComment ref="X19" dT="2026-03-09T14:14:02.00" personId="{654e9ea6-32d9-4e56-aa5e-a2fa3f9cdb6d}" id="{744541b1-2ea8-4726-8840-2fdfa6720e05}" done="0">
    <x18tc:text xml:space="preserve">3 ayudantes
5 mesoneros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open?id=1agbkqDQewfrwGXSVbxQ6AbxVdUZBgaKj" TargetMode="External"/><Relationship Id="rId194" Type="http://schemas.openxmlformats.org/officeDocument/2006/relationships/hyperlink" Target="https://drive.google.com/open?id=1MOKRZv6Sp6EtsNd271H8LCKTfbyN2zpn" TargetMode="External"/><Relationship Id="rId193" Type="http://schemas.openxmlformats.org/officeDocument/2006/relationships/hyperlink" Target="https://drive.google.com/open?id=1Z2OrfbhonfVDx_-lSwwL15SLsGY2Yg9g" TargetMode="External"/><Relationship Id="rId192" Type="http://schemas.openxmlformats.org/officeDocument/2006/relationships/hyperlink" Target="https://drive.google.com/open?id=1Jz8gbPVgXYyZU6sXkmLni2H3EynNax2u" TargetMode="External"/><Relationship Id="rId191" Type="http://schemas.openxmlformats.org/officeDocument/2006/relationships/hyperlink" Target="https://drive.google.com/open?id=1EYktDiwFJP7eMqIA-Uj5YorcckV1KScx" TargetMode="External"/><Relationship Id="rId187" Type="http://schemas.openxmlformats.org/officeDocument/2006/relationships/hyperlink" Target="https://drive.google.com/open?id=1LF0sF0a0rav89bYlCkMOqRNk7t07dd5o" TargetMode="External"/><Relationship Id="rId186" Type="http://schemas.openxmlformats.org/officeDocument/2006/relationships/hyperlink" Target="https://drive.google.com/open?id=15l0aEUVHsIdvpCSu3TaCmmNF4eIi8Msx" TargetMode="External"/><Relationship Id="rId185" Type="http://schemas.openxmlformats.org/officeDocument/2006/relationships/hyperlink" Target="https://drive.google.com/open?id=1hEk0Rn2zrpo27IPBTZNtt8LrDT9DAIJ2" TargetMode="External"/><Relationship Id="rId184" Type="http://schemas.openxmlformats.org/officeDocument/2006/relationships/hyperlink" Target="https://drive.google.com/open?id=1TYO39VZJSo5-4r31WxhM4O7vhqEoIrtI" TargetMode="External"/><Relationship Id="rId189" Type="http://schemas.openxmlformats.org/officeDocument/2006/relationships/hyperlink" Target="https://drive.google.com/open?id=17MGG2aTgg5CdOXJLclql87lZar90FR84" TargetMode="External"/><Relationship Id="rId188" Type="http://schemas.openxmlformats.org/officeDocument/2006/relationships/hyperlink" Target="https://drive.google.com/open?id=1thP_ASOQU0daikakMpJQS3wM3Ztlp6UF" TargetMode="External"/><Relationship Id="rId183" Type="http://schemas.openxmlformats.org/officeDocument/2006/relationships/hyperlink" Target="https://drive.google.com/open?id=1JHboQXN1PIlCynL70mS5veHCcp7YPBB1" TargetMode="External"/><Relationship Id="rId182" Type="http://schemas.openxmlformats.org/officeDocument/2006/relationships/hyperlink" Target="https://drive.google.com/open?id=1jGTTWNV_iIiG7IdH8IpBMeGZwV-f_OJq" TargetMode="External"/><Relationship Id="rId181" Type="http://schemas.openxmlformats.org/officeDocument/2006/relationships/hyperlink" Target="https://drive.google.com/open?id=14dXXlawGAbYTAjT5eq1gOsIYhng6Ji3i" TargetMode="External"/><Relationship Id="rId180" Type="http://schemas.openxmlformats.org/officeDocument/2006/relationships/hyperlink" Target="https://drive.google.com/open?id=1-k7oNa8e40UFqQcIIE6e_2C8fDAf2LtG" TargetMode="External"/><Relationship Id="rId176" Type="http://schemas.openxmlformats.org/officeDocument/2006/relationships/hyperlink" Target="https://drive.google.com/open?id=1F_GJEQvuSKPERSjsX6-u1zwkCtZNuxFL" TargetMode="External"/><Relationship Id="rId175" Type="http://schemas.openxmlformats.org/officeDocument/2006/relationships/hyperlink" Target="https://drive.google.com/open?id=1hl5sR9A1K4XEYI89NQstMUAvbk_yhsDd" TargetMode="External"/><Relationship Id="rId174" Type="http://schemas.openxmlformats.org/officeDocument/2006/relationships/hyperlink" Target="https://drive.google.com/open?id=14HVvZyliAjdWLAb_KllLoHiqRk7eHrDQ" TargetMode="External"/><Relationship Id="rId173" Type="http://schemas.openxmlformats.org/officeDocument/2006/relationships/hyperlink" Target="https://drive.google.com/open?id=1ZI9M7NYOpnFpeIAERoX9fXSnlNa9clEn" TargetMode="External"/><Relationship Id="rId179" Type="http://schemas.openxmlformats.org/officeDocument/2006/relationships/hyperlink" Target="https://drive.google.com/open?id=1xi-Xi3VwBL-rL6WNrYAIQSdUkRuNVWXU" TargetMode="External"/><Relationship Id="rId178" Type="http://schemas.openxmlformats.org/officeDocument/2006/relationships/hyperlink" Target="https://drive.google.com/open?id=12Etrq26xaSaFETEqcgjBwWBYY8MEanpg" TargetMode="External"/><Relationship Id="rId177" Type="http://schemas.openxmlformats.org/officeDocument/2006/relationships/hyperlink" Target="https://drive.google.com/open?id=1feVaWOf_CAzL7jSlnEFsFB60Gx5hXT33" TargetMode="External"/><Relationship Id="rId198" Type="http://schemas.openxmlformats.org/officeDocument/2006/relationships/hyperlink" Target="https://drive.google.com/open?id=1CpQ6W7QTnEXBkgtXzSNt6yBMU322rt7n" TargetMode="External"/><Relationship Id="rId197" Type="http://schemas.openxmlformats.org/officeDocument/2006/relationships/hyperlink" Target="https://drive.google.com/open?id=1yoxsgcUS1yD2Hp3zI-fSL6O2n6lb1Tlb" TargetMode="External"/><Relationship Id="rId196" Type="http://schemas.openxmlformats.org/officeDocument/2006/relationships/hyperlink" Target="https://drive.google.com/open?id=1PmIbZxpKcee94hT49O8CQ1OfheRksxNE" TargetMode="External"/><Relationship Id="rId195" Type="http://schemas.openxmlformats.org/officeDocument/2006/relationships/hyperlink" Target="https://drive.google.com/open?id=15EMWawswKipb5V3PcpRwRCkQk-6SHP1C" TargetMode="External"/><Relationship Id="rId199" Type="http://schemas.openxmlformats.org/officeDocument/2006/relationships/hyperlink" Target="https://drive.google.com/open?id=1Ml29uBLO1faLTN-GyqYBcVPXv0Pi-5po" TargetMode="External"/><Relationship Id="rId150" Type="http://schemas.openxmlformats.org/officeDocument/2006/relationships/hyperlink" Target="https://drive.google.com/open?id=1z0IzDo0vr_8x5RilbUAkjXFMnwcvFKMM" TargetMode="External"/><Relationship Id="rId392" Type="http://schemas.openxmlformats.org/officeDocument/2006/relationships/hyperlink" Target="https://drive.google.com/open?id=1dRrQKY1hqHu-JKlDRW2jHqEhNCZE3GLf" TargetMode="External"/><Relationship Id="rId391" Type="http://schemas.openxmlformats.org/officeDocument/2006/relationships/hyperlink" Target="https://drive.google.com/open?id=1DR5VFX63HOl87yNxcfe-8d6D770C2-Vk" TargetMode="External"/><Relationship Id="rId390" Type="http://schemas.openxmlformats.org/officeDocument/2006/relationships/hyperlink" Target="https://drive.google.com/open?id=1ENEVDNXt85YNMheon5uiuEfpT1p8N1Jy"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open?id=1L5Vn2mndsU3wwv6JekuN-UtCXE461fu1" TargetMode="External"/><Relationship Id="rId4" Type="http://schemas.openxmlformats.org/officeDocument/2006/relationships/hyperlink" Target="https://drive.google.com/open?id=18DCNf9DrRnV7Y4YVo6Es8erMByoNbSlf" TargetMode="External"/><Relationship Id="rId148" Type="http://schemas.openxmlformats.org/officeDocument/2006/relationships/hyperlink" Target="https://drive.google.com/open?id=1INAtQyIbCEXvsdePww5aPklAxY0o9-mN" TargetMode="External"/><Relationship Id="rId9" Type="http://schemas.openxmlformats.org/officeDocument/2006/relationships/hyperlink" Target="https://drive.google.com/open?id=1jKZ51DhOemDb5ja2ES6EaUFM5SiZhpRi" TargetMode="External"/><Relationship Id="rId143" Type="http://schemas.openxmlformats.org/officeDocument/2006/relationships/hyperlink" Target="https://drive.google.com/open?id=1drp59dXcWY-minqD0QjokoBrJ0J6srh-" TargetMode="External"/><Relationship Id="rId385" Type="http://schemas.openxmlformats.org/officeDocument/2006/relationships/hyperlink" Target="https://drive.google.com/open?id=1guxZSL_iWcSjl1fshuxFSDF5OAiVsj3J" TargetMode="External"/><Relationship Id="rId142" Type="http://schemas.openxmlformats.org/officeDocument/2006/relationships/hyperlink" Target="https://drive.google.com/open?id=1Ep-ag4-zaEBxgs18Z7w7WWKDXTJyFh-w" TargetMode="External"/><Relationship Id="rId384" Type="http://schemas.openxmlformats.org/officeDocument/2006/relationships/hyperlink" Target="https://drive.google.com/open?id=1wzafrc1paIMbX3RVlkcxBE2Rhi4KEWnr" TargetMode="External"/><Relationship Id="rId141" Type="http://schemas.openxmlformats.org/officeDocument/2006/relationships/hyperlink" Target="https://drive.google.com/open?id=1Rrc7DF2D28fnJMZGPUNoomyKWn18V38H" TargetMode="External"/><Relationship Id="rId383" Type="http://schemas.openxmlformats.org/officeDocument/2006/relationships/hyperlink" Target="https://drive.google.com/open?id=1ZHwd9q2yqu7nNw4c4Bm7dmw4MG0N6kMG" TargetMode="External"/><Relationship Id="rId140" Type="http://schemas.openxmlformats.org/officeDocument/2006/relationships/hyperlink" Target="https://drive.google.com/open?id=1-FPOzmcaYFrXOLrZjuIgQYw7BT5MJGim" TargetMode="External"/><Relationship Id="rId382" Type="http://schemas.openxmlformats.org/officeDocument/2006/relationships/hyperlink" Target="https://drive.google.com/open?id=1q3kBGQfAaLtNT97SkBfsvseblt2nNvWy" TargetMode="External"/><Relationship Id="rId5" Type="http://schemas.openxmlformats.org/officeDocument/2006/relationships/hyperlink" Target="https://drive.google.com/open?id=1NPh_zKwamdDd9lonqHeFK8Y6KQxiyTe_" TargetMode="External"/><Relationship Id="rId147" Type="http://schemas.openxmlformats.org/officeDocument/2006/relationships/hyperlink" Target="https://drive.google.com/open?id=1xG27u6-OtIlzacl5_DJ9kr1RGTJXrFaw" TargetMode="External"/><Relationship Id="rId389" Type="http://schemas.openxmlformats.org/officeDocument/2006/relationships/hyperlink" Target="https://drive.google.com/open?id=15qB95E45TeOZr_91InlS2Ylj79js1EFp" TargetMode="External"/><Relationship Id="rId6" Type="http://schemas.openxmlformats.org/officeDocument/2006/relationships/hyperlink" Target="https://drive.google.com/open?id=1sFeXCKJjQKjAyS8X7nxastgClF1RHV4o" TargetMode="External"/><Relationship Id="rId146" Type="http://schemas.openxmlformats.org/officeDocument/2006/relationships/hyperlink" Target="https://drive.google.com/open?id=1m2bhGsuKwAhhDKk4S-KMZVnmM43XBYN0" TargetMode="External"/><Relationship Id="rId388" Type="http://schemas.openxmlformats.org/officeDocument/2006/relationships/hyperlink" Target="https://drive.google.com/open?id=1a9yJtbOvlzxJSeR3q4122NIIFR_pj7qj" TargetMode="External"/><Relationship Id="rId7" Type="http://schemas.openxmlformats.org/officeDocument/2006/relationships/hyperlink" Target="https://drive.google.com/open?id=1iqdpuQUJqpq2x63ocOfQR12qt4In3Bus" TargetMode="External"/><Relationship Id="rId145" Type="http://schemas.openxmlformats.org/officeDocument/2006/relationships/hyperlink" Target="https://drive.google.com/open?id=1fnCmbM6lA02DuorMNYcjLe5YOmxl0nCq" TargetMode="External"/><Relationship Id="rId387" Type="http://schemas.openxmlformats.org/officeDocument/2006/relationships/hyperlink" Target="https://drive.google.com/open?id=11e6vA0s2myjZ5Usst7nV82sdSbJYZK9W" TargetMode="External"/><Relationship Id="rId8" Type="http://schemas.openxmlformats.org/officeDocument/2006/relationships/hyperlink" Target="https://drive.google.com/open?id=19XL_tWvgZFWO7Cjk02VC2Ex4jB3uejOR" TargetMode="External"/><Relationship Id="rId144" Type="http://schemas.openxmlformats.org/officeDocument/2006/relationships/hyperlink" Target="https://drive.google.com/open?id=1L9ikU4-3HdgsXJ1Bgsu4UifOsiSqYZge" TargetMode="External"/><Relationship Id="rId386" Type="http://schemas.openxmlformats.org/officeDocument/2006/relationships/hyperlink" Target="https://drive.google.com/open?id=1SB6DogNB4lX9IKtcOQjtmAAStPpc2XkQ" TargetMode="External"/><Relationship Id="rId381" Type="http://schemas.openxmlformats.org/officeDocument/2006/relationships/hyperlink" Target="https://drive.google.com/open?id=160QFWNvuOhlvzACRbfi8ddJSO2vln5eM" TargetMode="External"/><Relationship Id="rId380" Type="http://schemas.openxmlformats.org/officeDocument/2006/relationships/hyperlink" Target="https://drive.google.com/open?id=1JrXV5Li1juTH5PVXA_sbz2Ixz1RCKLnG" TargetMode="External"/><Relationship Id="rId139" Type="http://schemas.openxmlformats.org/officeDocument/2006/relationships/hyperlink" Target="https://drive.google.com/open?id=1YSzwJqNeGPnX56XZq8Kh0mmUS_TeH_V6" TargetMode="External"/><Relationship Id="rId138" Type="http://schemas.openxmlformats.org/officeDocument/2006/relationships/hyperlink" Target="https://drive.google.com/open?id=1SJtMInBAlw3RFyXOfUBu-mzTUYaVBhhh" TargetMode="External"/><Relationship Id="rId137" Type="http://schemas.openxmlformats.org/officeDocument/2006/relationships/hyperlink" Target="https://drive.google.com/open?id=1yzKpUdEZbDh3a-atsHRNO9w38f0M1FqZ" TargetMode="External"/><Relationship Id="rId379" Type="http://schemas.openxmlformats.org/officeDocument/2006/relationships/hyperlink" Target="https://drive.google.com/open?id=1FTe8D-loCGfQ__OzVHCOBS39BGfrDQFG" TargetMode="External"/><Relationship Id="rId132" Type="http://schemas.openxmlformats.org/officeDocument/2006/relationships/hyperlink" Target="https://drive.google.com/open?id=1B8y3hAPAbDkf3fgMpetuqrC-cL4ltV4e" TargetMode="External"/><Relationship Id="rId374" Type="http://schemas.openxmlformats.org/officeDocument/2006/relationships/hyperlink" Target="https://drive.google.com/open?id=17e6tFVwkvH-vOvwqJdMFNi_zN1WWqlQ1" TargetMode="External"/><Relationship Id="rId131" Type="http://schemas.openxmlformats.org/officeDocument/2006/relationships/hyperlink" Target="https://drive.google.com/open?id=1GmiPENPQlCdI5AgMR-5LKLH2A_9iXwSO" TargetMode="External"/><Relationship Id="rId373" Type="http://schemas.openxmlformats.org/officeDocument/2006/relationships/hyperlink" Target="https://drive.google.com/open?id=1TmPfwovdbgEXSQU8jKz79saFK2XlQrTl" TargetMode="External"/><Relationship Id="rId130" Type="http://schemas.openxmlformats.org/officeDocument/2006/relationships/hyperlink" Target="https://drive.google.com/open?id=1Fmi17ZsEMQ8IBZ8Z0nyoOhz0oEQlfCiS" TargetMode="External"/><Relationship Id="rId372" Type="http://schemas.openxmlformats.org/officeDocument/2006/relationships/hyperlink" Target="https://drive.google.com/open?id=1EC0Pv-NFBYOg3MVLmP1e53kSBdvl7GzM" TargetMode="External"/><Relationship Id="rId371" Type="http://schemas.openxmlformats.org/officeDocument/2006/relationships/hyperlink" Target="https://drive.google.com/open?id=1bDtKIojGC1fVbMDYQXiiSq4w2rX3ombI" TargetMode="External"/><Relationship Id="rId136" Type="http://schemas.openxmlformats.org/officeDocument/2006/relationships/hyperlink" Target="https://drive.google.com/open?id=1BrQjOQOC-UVq5KhvTkQ5w5kaIAIeeJqM" TargetMode="External"/><Relationship Id="rId378" Type="http://schemas.openxmlformats.org/officeDocument/2006/relationships/hyperlink" Target="https://drive.google.com/open?id=1t2a-FrPSlZ4lCCOcZl2ZxVnDPxHCVrq4" TargetMode="External"/><Relationship Id="rId135" Type="http://schemas.openxmlformats.org/officeDocument/2006/relationships/hyperlink" Target="https://drive.google.com/open?id=1DulET0Krdd3ksFKXeJHZUEztIOas5hNa" TargetMode="External"/><Relationship Id="rId377" Type="http://schemas.openxmlformats.org/officeDocument/2006/relationships/hyperlink" Target="https://drive.google.com/open?id=1CImRgSRdp5c39y4YR3gllRDVWPDzmoJq" TargetMode="External"/><Relationship Id="rId134" Type="http://schemas.openxmlformats.org/officeDocument/2006/relationships/hyperlink" Target="https://drive.google.com/open?id=1DRVNXOac33Jr8jdpXJudpL5rOvCgIAxG" TargetMode="External"/><Relationship Id="rId376" Type="http://schemas.openxmlformats.org/officeDocument/2006/relationships/hyperlink" Target="https://drive.google.com/open?id=1cpxJdYG3tQqjesdp1DCzmWr87engFJ9f" TargetMode="External"/><Relationship Id="rId133" Type="http://schemas.openxmlformats.org/officeDocument/2006/relationships/hyperlink" Target="https://drive.google.com/open?id=1qv73NjcqforLk2oFhO7cwUrlHsRzFHXt" TargetMode="External"/><Relationship Id="rId375" Type="http://schemas.openxmlformats.org/officeDocument/2006/relationships/hyperlink" Target="https://drive.google.com/open?id=1QsieRwj4nuIbjPE8cdYZodjYsj_ghg6C" TargetMode="External"/><Relationship Id="rId172" Type="http://schemas.openxmlformats.org/officeDocument/2006/relationships/hyperlink" Target="https://drive.google.com/open?id=1FtvUz3i2lsDpAT5JCEkk6eAH824a6nKL" TargetMode="External"/><Relationship Id="rId171" Type="http://schemas.openxmlformats.org/officeDocument/2006/relationships/hyperlink" Target="https://drive.google.com/open?id=1TSHsekpdwzwZ8LD9Pgjm5IdHWXaWVCDu" TargetMode="External"/><Relationship Id="rId170" Type="http://schemas.openxmlformats.org/officeDocument/2006/relationships/hyperlink" Target="https://drive.google.com/open?id=1jdDGngA_fwdWjdvwyQu5yjx3dJ9Xpadb" TargetMode="External"/><Relationship Id="rId165" Type="http://schemas.openxmlformats.org/officeDocument/2006/relationships/hyperlink" Target="https://drive.google.com/open?id=1NhZ4LH3s7LmepYvUh9IccuxbCGwxIVDH" TargetMode="External"/><Relationship Id="rId164" Type="http://schemas.openxmlformats.org/officeDocument/2006/relationships/hyperlink" Target="https://drive.google.com/open?id=12Q5Az__s0ntv2tzuNkgV5WvwWMkAsLhc" TargetMode="External"/><Relationship Id="rId163" Type="http://schemas.openxmlformats.org/officeDocument/2006/relationships/hyperlink" Target="https://drive.google.com/open?id=1VeGLzOMAHB5nMks9nDbD7GcOyKTv3r20" TargetMode="External"/><Relationship Id="rId162" Type="http://schemas.openxmlformats.org/officeDocument/2006/relationships/hyperlink" Target="https://drive.google.com/open?id=1rjHOe8IZ-s7jfOmdQueoPE-lN5h288r7" TargetMode="External"/><Relationship Id="rId169" Type="http://schemas.openxmlformats.org/officeDocument/2006/relationships/hyperlink" Target="https://drive.google.com/open?id=13GTPJ9s7cucH5QxEEnkZoBWr226ZX9qo" TargetMode="External"/><Relationship Id="rId168" Type="http://schemas.openxmlformats.org/officeDocument/2006/relationships/hyperlink" Target="https://drive.google.com/open?id=18VXw72YLEGvFnflBsM94pVl1Cf1Ru5VT" TargetMode="External"/><Relationship Id="rId167" Type="http://schemas.openxmlformats.org/officeDocument/2006/relationships/hyperlink" Target="https://drive.google.com/open?id=1x-oWf8aFrZAhnlR9jpytM_38A51QqFgs" TargetMode="External"/><Relationship Id="rId166" Type="http://schemas.openxmlformats.org/officeDocument/2006/relationships/hyperlink" Target="https://drive.google.com/open?id=1x-oWf8aFrZAhnlR9jpytM_38A51QqFgs" TargetMode="External"/><Relationship Id="rId161" Type="http://schemas.openxmlformats.org/officeDocument/2006/relationships/hyperlink" Target="https://drive.google.com/open?id=1oiEdTJLLCxmBknUxSCllR8QEAZ1SMwPL" TargetMode="External"/><Relationship Id="rId160" Type="http://schemas.openxmlformats.org/officeDocument/2006/relationships/hyperlink" Target="https://drive.google.com/open?id=1s55oODXxwSD-R3PtU99yzQZhbLZpj-kQ" TargetMode="External"/><Relationship Id="rId159" Type="http://schemas.openxmlformats.org/officeDocument/2006/relationships/hyperlink" Target="https://drive.google.com/open?id=1mjwm7IKKT2IsmQwny2sTyGlS5uvS3zb_" TargetMode="External"/><Relationship Id="rId154" Type="http://schemas.openxmlformats.org/officeDocument/2006/relationships/hyperlink" Target="https://drive.google.com/open?id=1ybLEZ_5_AMGQzXeYeC-l3xwxJdrhiCQZ" TargetMode="External"/><Relationship Id="rId396" Type="http://schemas.openxmlformats.org/officeDocument/2006/relationships/hyperlink" Target="https://drive.google.com/open?id=1hETs9kuSEdPwsilwp7e1eXqgAVi7yH6X" TargetMode="External"/><Relationship Id="rId153" Type="http://schemas.openxmlformats.org/officeDocument/2006/relationships/hyperlink" Target="https://drive.google.com/open?id=1D9biVChOqG2a4EEhPkrM29z9IRxsv-Rk" TargetMode="External"/><Relationship Id="rId395" Type="http://schemas.openxmlformats.org/officeDocument/2006/relationships/hyperlink" Target="https://drive.google.com/open?id=1vB8f5DCwkU_qs5zSCd6V9TwJm3w1KCHH" TargetMode="External"/><Relationship Id="rId152" Type="http://schemas.openxmlformats.org/officeDocument/2006/relationships/hyperlink" Target="https://drive.google.com/open?id=1gAcFifv-u9ZoPQlPY_4P8xwq3mHf0kH2" TargetMode="External"/><Relationship Id="rId394" Type="http://schemas.openxmlformats.org/officeDocument/2006/relationships/hyperlink" Target="https://drive.google.com/open?id=1WXM3Z6bjyqD1fsXVL6rpPINgAkShrHap" TargetMode="External"/><Relationship Id="rId151" Type="http://schemas.openxmlformats.org/officeDocument/2006/relationships/hyperlink" Target="https://drive.google.com/open?id=1TBO2lamaEIUF7-oc7gbAsdNPelAPWOvg" TargetMode="External"/><Relationship Id="rId393" Type="http://schemas.openxmlformats.org/officeDocument/2006/relationships/hyperlink" Target="https://drive.google.com/open?id=1DjaAa1vuR8VlSCvfmOcbHvUeu6xUzwQM" TargetMode="External"/><Relationship Id="rId158" Type="http://schemas.openxmlformats.org/officeDocument/2006/relationships/hyperlink" Target="https://drive.google.com/open?id=1Rq-gj0hCOLSkmA9kUkSUd6xDSZ1eY17h" TargetMode="External"/><Relationship Id="rId157" Type="http://schemas.openxmlformats.org/officeDocument/2006/relationships/hyperlink" Target="https://drive.google.com/open?id=1NE5ol7Mk-jSTsyiFexRgisbcWjPJahAl" TargetMode="External"/><Relationship Id="rId399" Type="http://schemas.openxmlformats.org/officeDocument/2006/relationships/hyperlink" Target="https://drive.google.com/open?id=1npouKI8EvsZ7k1jiY1oUgU--_Ma_Z3Zq" TargetMode="External"/><Relationship Id="rId156" Type="http://schemas.openxmlformats.org/officeDocument/2006/relationships/hyperlink" Target="https://drive.google.com/open?id=1K5faFnE3NIMb2oIoY_9IEUGaVyGkJ2_l" TargetMode="External"/><Relationship Id="rId398" Type="http://schemas.openxmlformats.org/officeDocument/2006/relationships/hyperlink" Target="https://drive.google.com/open?id=12IP6Jgfr1Z1RMyo5pBMaEtrN2XeivsjT" TargetMode="External"/><Relationship Id="rId155" Type="http://schemas.openxmlformats.org/officeDocument/2006/relationships/hyperlink" Target="https://drive.google.com/open?id=1h2uyoU3D5cKgiN8JennZiX33R2IehIVQ" TargetMode="External"/><Relationship Id="rId397" Type="http://schemas.openxmlformats.org/officeDocument/2006/relationships/hyperlink" Target="https://drive.google.com/open?id=1AUenOEfLzw4HXNYVeJQMuiujS7qZZQZC" TargetMode="External"/><Relationship Id="rId808" Type="http://schemas.openxmlformats.org/officeDocument/2006/relationships/hyperlink" Target="https://drive.google.com/open?id=1AyZBMNnR5J-575rgMZV8aVaLCSu6Fmmr" TargetMode="External"/><Relationship Id="rId807" Type="http://schemas.openxmlformats.org/officeDocument/2006/relationships/hyperlink" Target="https://drive.google.com/open?id=1CQwS9Y2XeC9LlShGhDM7c0cwYYxzJWlC" TargetMode="External"/><Relationship Id="rId806" Type="http://schemas.openxmlformats.org/officeDocument/2006/relationships/hyperlink" Target="https://drive.google.com/open?id=19CTkavygE-sp6GC58SAckSR2-CUfUo_i" TargetMode="External"/><Relationship Id="rId805" Type="http://schemas.openxmlformats.org/officeDocument/2006/relationships/hyperlink" Target="https://drive.google.com/open?id=14RIKm5EGxY254Vy5xDIx5MyKbOKq_CUO" TargetMode="External"/><Relationship Id="rId809" Type="http://schemas.openxmlformats.org/officeDocument/2006/relationships/hyperlink" Target="https://drive.google.com/open?id=1BKu6P1AZM09A9HRbLx3Y3yCohUT2ru60" TargetMode="External"/><Relationship Id="rId800" Type="http://schemas.openxmlformats.org/officeDocument/2006/relationships/hyperlink" Target="https://drive.google.com/open?id=1LIwU5bDJ2fLlHfG1Ep4f1jyGC328gZxG" TargetMode="External"/><Relationship Id="rId804" Type="http://schemas.openxmlformats.org/officeDocument/2006/relationships/hyperlink" Target="https://drive.google.com/open?id=1HAE3EoAWylkLVdXnN5X2gLyv-eWF8HLn" TargetMode="External"/><Relationship Id="rId803" Type="http://schemas.openxmlformats.org/officeDocument/2006/relationships/hyperlink" Target="https://drive.google.com/open?id=1nONfZM3Yc6Rsn-PXsLU4HvJ0SGOhh8hG" TargetMode="External"/><Relationship Id="rId802" Type="http://schemas.openxmlformats.org/officeDocument/2006/relationships/hyperlink" Target="https://drive.google.com/open?id=15ZTiBsrOqELwKcET7rcwe3JSNPKWg-5v" TargetMode="External"/><Relationship Id="rId801" Type="http://schemas.openxmlformats.org/officeDocument/2006/relationships/hyperlink" Target="https://drive.google.com/open?id=1E8EMohJehLjmpsE1OgG2HftolODdqfz8" TargetMode="External"/><Relationship Id="rId40" Type="http://schemas.openxmlformats.org/officeDocument/2006/relationships/hyperlink" Target="https://drive.google.com/open?id=1f_59_ckL8KHW6mjejMqQFbff4RLk2jB3" TargetMode="External"/><Relationship Id="rId42" Type="http://schemas.openxmlformats.org/officeDocument/2006/relationships/hyperlink" Target="https://drive.google.com/open?id=1toALfIiIdLFfEYmP3Sb_PEnN-baLgN49" TargetMode="External"/><Relationship Id="rId41" Type="http://schemas.openxmlformats.org/officeDocument/2006/relationships/hyperlink" Target="https://drive.google.com/open?id=1AzphCHvQv9eoQE2V70cjpLkWwfCAPoXm" TargetMode="External"/><Relationship Id="rId44" Type="http://schemas.openxmlformats.org/officeDocument/2006/relationships/hyperlink" Target="https://drive.google.com/open?id=1RBiOpjDYEkoPV8M__RJGaoOzhbErGwLl" TargetMode="External"/><Relationship Id="rId43" Type="http://schemas.openxmlformats.org/officeDocument/2006/relationships/hyperlink" Target="https://drive.google.com/open?id=1F485RBvFo0zpxzBOUZHDhSeHOKuH3ARj" TargetMode="External"/><Relationship Id="rId46" Type="http://schemas.openxmlformats.org/officeDocument/2006/relationships/hyperlink" Target="https://drive.google.com/open?id=18ciOkDv_JgQW7GcCoVA_nm879q3XIP88" TargetMode="External"/><Relationship Id="rId45" Type="http://schemas.openxmlformats.org/officeDocument/2006/relationships/hyperlink" Target="https://drive.google.com/open?id=1NmjMDD0Ah_b-BZLNEcPloWgOHDlJ3eRp" TargetMode="External"/><Relationship Id="rId509" Type="http://schemas.openxmlformats.org/officeDocument/2006/relationships/hyperlink" Target="https://drive.google.com/open?id=1nxs8f677cfQbHe1fS448tNtQSx6mJvIW" TargetMode="External"/><Relationship Id="rId508" Type="http://schemas.openxmlformats.org/officeDocument/2006/relationships/hyperlink" Target="https://drive.google.com/open?id=1p7UL76RrC9KHJJK1G0duTJ5W1OIO4NE-" TargetMode="External"/><Relationship Id="rId503" Type="http://schemas.openxmlformats.org/officeDocument/2006/relationships/hyperlink" Target="https://drive.google.com/open?id=1s55oODXxwSD-R3PtU99yzQZhbLZpj-kQ" TargetMode="External"/><Relationship Id="rId745" Type="http://schemas.openxmlformats.org/officeDocument/2006/relationships/hyperlink" Target="https://drive.google.com/open?id=1U-UIdd-MysZJ3rX9jksoMAFxs1p4g-nK" TargetMode="External"/><Relationship Id="rId987" Type="http://schemas.openxmlformats.org/officeDocument/2006/relationships/hyperlink" Target="https://drive.google.com/open?id=1mNZIZnWhMqz09pr2HK9qmwYH4ClhSBO2" TargetMode="External"/><Relationship Id="rId502" Type="http://schemas.openxmlformats.org/officeDocument/2006/relationships/hyperlink" Target="https://drive.google.com/open?id=128AAZnn1BZNT3nJP_H-l6J4Als3xD6IB" TargetMode="External"/><Relationship Id="rId744" Type="http://schemas.openxmlformats.org/officeDocument/2006/relationships/hyperlink" Target="https://drive.google.com/open?id=13LfhBywPf1wPB4jDu2b0P-6aMJeABHza" TargetMode="External"/><Relationship Id="rId986" Type="http://schemas.openxmlformats.org/officeDocument/2006/relationships/hyperlink" Target="https://drive.google.com/open?id=1NE9xVuko6RQRATxYovOIKJFx7gTpkgSM" TargetMode="External"/><Relationship Id="rId501" Type="http://schemas.openxmlformats.org/officeDocument/2006/relationships/hyperlink" Target="https://drive.google.com/open?id=1UQdOVMZuwA5SBxbU53KSqQN3XldtNWWJ" TargetMode="External"/><Relationship Id="rId743" Type="http://schemas.openxmlformats.org/officeDocument/2006/relationships/hyperlink" Target="https://drive.google.com/open?id=12uLvvH6cS22G8ftAmRiYzKKrtzha075h" TargetMode="External"/><Relationship Id="rId985" Type="http://schemas.openxmlformats.org/officeDocument/2006/relationships/hyperlink" Target="https://drive.google.com/open?id=1b5E0mJG2e8Nzhj7z4jl-ndnWyIr0KdVu" TargetMode="External"/><Relationship Id="rId500" Type="http://schemas.openxmlformats.org/officeDocument/2006/relationships/hyperlink" Target="https://drive.google.com/open?id=1kwUlmH1dzlKJJWjutTM0c1MBYC1uFfpW" TargetMode="External"/><Relationship Id="rId742" Type="http://schemas.openxmlformats.org/officeDocument/2006/relationships/hyperlink" Target="https://drive.google.com/open?id=1B4RaOBSJEc1vwFA17LU0KTShIKB--kTN" TargetMode="External"/><Relationship Id="rId984" Type="http://schemas.openxmlformats.org/officeDocument/2006/relationships/hyperlink" Target="https://drive.google.com/open?id=17iZ1QfKbCLDL6kQ_QcMKXRKW-Nl6ilx9" TargetMode="External"/><Relationship Id="rId507" Type="http://schemas.openxmlformats.org/officeDocument/2006/relationships/hyperlink" Target="https://drive.google.com/open?id=1vmtRgu6xlZ9bx-1_Zx2pWThVycBL_VhD" TargetMode="External"/><Relationship Id="rId749" Type="http://schemas.openxmlformats.org/officeDocument/2006/relationships/hyperlink" Target="https://drive.google.com/open?id=1aOsG6Ps2M8IL0atZ-PMWKSkyua8tMqs-" TargetMode="External"/><Relationship Id="rId506" Type="http://schemas.openxmlformats.org/officeDocument/2006/relationships/hyperlink" Target="https://drive.google.com/open?id=1NNC3_xQoT4UVZ85mHoPgv7kpHUeTqf48" TargetMode="External"/><Relationship Id="rId748" Type="http://schemas.openxmlformats.org/officeDocument/2006/relationships/hyperlink" Target="https://drive.google.com/open?id=1hQqq-ESI6TVGbOjcHkvqF79Ll7Te8wK-" TargetMode="External"/><Relationship Id="rId505" Type="http://schemas.openxmlformats.org/officeDocument/2006/relationships/hyperlink" Target="https://drive.google.com/open?id=11t2Ues2fGT56hH4PAhqRUdMqC046pWxP" TargetMode="External"/><Relationship Id="rId747" Type="http://schemas.openxmlformats.org/officeDocument/2006/relationships/hyperlink" Target="https://drive.google.com/open?id=1oUpzd6-FIWO5mb6HowdQl3Yso1LKJ0rH" TargetMode="External"/><Relationship Id="rId989" Type="http://schemas.openxmlformats.org/officeDocument/2006/relationships/hyperlink" Target="https://drive.google.com/open?id=1rJOqyMA71hPE0atXapLZM_pu1otU5gq_" TargetMode="External"/><Relationship Id="rId504" Type="http://schemas.openxmlformats.org/officeDocument/2006/relationships/hyperlink" Target="https://drive.google.com/open?id=1NRhEFz4kQcmn1gBFS7RgsC1WjuP1zMai" TargetMode="External"/><Relationship Id="rId746" Type="http://schemas.openxmlformats.org/officeDocument/2006/relationships/hyperlink" Target="https://drive.google.com/open?id=1szbwToL0ZSETXGulRkCWZsntZ562CQwD" TargetMode="External"/><Relationship Id="rId988" Type="http://schemas.openxmlformats.org/officeDocument/2006/relationships/hyperlink" Target="https://drive.google.com/open?id=1EjhiCC4oTFZ3Z7TSAb4agnynohWirECp" TargetMode="External"/><Relationship Id="rId48" Type="http://schemas.openxmlformats.org/officeDocument/2006/relationships/hyperlink" Target="https://drive.google.com/open?id=1Z4uM4WaQZv7eFgId4lMxvYrjWL9TF5fA" TargetMode="External"/><Relationship Id="rId47" Type="http://schemas.openxmlformats.org/officeDocument/2006/relationships/hyperlink" Target="https://drive.google.com/open?id=11WxtzrTkj9wjUXkgWKbXyO448xZsLg57" TargetMode="External"/><Relationship Id="rId49" Type="http://schemas.openxmlformats.org/officeDocument/2006/relationships/hyperlink" Target="https://drive.google.com/open?id=1thKG17EtgO043f3x1A3PUuhzYlxfGVC0" TargetMode="External"/><Relationship Id="rId741" Type="http://schemas.openxmlformats.org/officeDocument/2006/relationships/hyperlink" Target="https://drive.google.com/open?id=1AFvQUefI6MtvaFK6J8ySGnYEP8Dg4_jG" TargetMode="External"/><Relationship Id="rId983" Type="http://schemas.openxmlformats.org/officeDocument/2006/relationships/hyperlink" Target="https://drive.google.com/open?id=10CUjMBZ75K9ThPC5XWqZutLiWrjivE6O" TargetMode="External"/><Relationship Id="rId740" Type="http://schemas.openxmlformats.org/officeDocument/2006/relationships/hyperlink" Target="https://drive.google.com/open?id=1wefT85iCB5Crhqagi6m5z4fPWrYqysjD" TargetMode="External"/><Relationship Id="rId982" Type="http://schemas.openxmlformats.org/officeDocument/2006/relationships/hyperlink" Target="https://drive.google.com/open?id=1y4r2obFH9oQ9zBz18izMsz2KzEvRwQUA" TargetMode="External"/><Relationship Id="rId981" Type="http://schemas.openxmlformats.org/officeDocument/2006/relationships/hyperlink" Target="https://drive.google.com/open?id=1vEfxruUJA-7S8ie-bLHLFB6Ew5od8oNC" TargetMode="External"/><Relationship Id="rId980" Type="http://schemas.openxmlformats.org/officeDocument/2006/relationships/hyperlink" Target="https://drive.google.com/open?id=1ezAz9P5fsOs-tO-9Pxm06TuA0YbsfS_V" TargetMode="External"/><Relationship Id="rId31" Type="http://schemas.openxmlformats.org/officeDocument/2006/relationships/hyperlink" Target="https://drive.google.com/open?id=1Qw9PgetcjHFB7E3IonH9aGHzcvL2CCWd" TargetMode="External"/><Relationship Id="rId30" Type="http://schemas.openxmlformats.org/officeDocument/2006/relationships/hyperlink" Target="https://drive.google.com/open?id=1y-FcpKCpMWdc_v2pA_YAZ1E9MpoMShEi" TargetMode="External"/><Relationship Id="rId33" Type="http://schemas.openxmlformats.org/officeDocument/2006/relationships/hyperlink" Target="https://drive.google.com/open?id=1_KpZLcsWkW89mkrT_r1vNK2F5LPJOCsn" TargetMode="External"/><Relationship Id="rId32" Type="http://schemas.openxmlformats.org/officeDocument/2006/relationships/hyperlink" Target="https://drive.google.com/open?id=1N4WXyAVVItz86dzXgiqaAs6GdLFhMEOP" TargetMode="External"/><Relationship Id="rId35" Type="http://schemas.openxmlformats.org/officeDocument/2006/relationships/hyperlink" Target="https://docs.google.com/document/u/0/d/104t9tTipAVtcNWkJ1F5wKtPyYSlcZJRf/edit" TargetMode="External"/><Relationship Id="rId34" Type="http://schemas.openxmlformats.org/officeDocument/2006/relationships/hyperlink" Target="https://docs.google.com/document/u/0/d/1OH-UNDwdYRBTDu1gnzlqFpcGLDua_YlI/edit" TargetMode="External"/><Relationship Id="rId739" Type="http://schemas.openxmlformats.org/officeDocument/2006/relationships/hyperlink" Target="https://drive.google.com/open?id=1gqdvSeEc660Kp7sdqfGugOOtInueo78_" TargetMode="External"/><Relationship Id="rId734" Type="http://schemas.openxmlformats.org/officeDocument/2006/relationships/hyperlink" Target="https://drive.google.com/open?id=1iKj71V5Qc_PKDn-869ej8yMRaf8lS_vM" TargetMode="External"/><Relationship Id="rId976" Type="http://schemas.openxmlformats.org/officeDocument/2006/relationships/hyperlink" Target="https://drive.google.com/open?id=1XsGg-BMxFyrPyNByL5FxrqpY2jx7Qzk-" TargetMode="External"/><Relationship Id="rId733" Type="http://schemas.openxmlformats.org/officeDocument/2006/relationships/hyperlink" Target="https://drive.google.com/open?id=1WgXZisEwF7VKiZxQ8URbS6NeC6618-xR" TargetMode="External"/><Relationship Id="rId975" Type="http://schemas.openxmlformats.org/officeDocument/2006/relationships/hyperlink" Target="https://drive.google.com/open?id=1ONQTYkREc9SHDjwQnOHVp67ceOSQnUn-" TargetMode="External"/><Relationship Id="rId732" Type="http://schemas.openxmlformats.org/officeDocument/2006/relationships/hyperlink" Target="https://drive.google.com/open?id=1FNpkHefwRTe8RkUmLLQhGj689z6pEhdB" TargetMode="External"/><Relationship Id="rId974" Type="http://schemas.openxmlformats.org/officeDocument/2006/relationships/hyperlink" Target="https://drive.google.com/open?id=16YdwPR2Cj2miduGFBXbrse5NGt50hPVq" TargetMode="External"/><Relationship Id="rId731" Type="http://schemas.openxmlformats.org/officeDocument/2006/relationships/hyperlink" Target="https://drive.google.com/open?id=1VZBnCHruuEEFLvW2ifLG7_K0oYoqseSl" TargetMode="External"/><Relationship Id="rId973" Type="http://schemas.openxmlformats.org/officeDocument/2006/relationships/hyperlink" Target="https://drive.google.com/open?id=1OHv-VuyvZHMn1ByrnNHrDl-2VETYB1BF" TargetMode="External"/><Relationship Id="rId738" Type="http://schemas.openxmlformats.org/officeDocument/2006/relationships/hyperlink" Target="https://drive.google.com/open?id=1CQ2YajD0TGcfM74qsLdn7kvDsDiwDAm5" TargetMode="External"/><Relationship Id="rId737" Type="http://schemas.openxmlformats.org/officeDocument/2006/relationships/hyperlink" Target="https://drive.google.com/open?id=1Ta_c57qPworvMwc8lHV04_nmCUoJ3x-J" TargetMode="External"/><Relationship Id="rId979" Type="http://schemas.openxmlformats.org/officeDocument/2006/relationships/hyperlink" Target="https://drive.google.com/open?id=1spORWtpaoJCRtmBlTdN2JhdhH85_AtHi" TargetMode="External"/><Relationship Id="rId736" Type="http://schemas.openxmlformats.org/officeDocument/2006/relationships/hyperlink" Target="https://drive.google.com/open?id=189QOvjG7LcLz6OsfKXbIAhFwvRD0tvcq" TargetMode="External"/><Relationship Id="rId978" Type="http://schemas.openxmlformats.org/officeDocument/2006/relationships/hyperlink" Target="https://drive.google.com/open?id=1ULI2L9YfpLoezB1tNaocydQDnll_76An" TargetMode="External"/><Relationship Id="rId735" Type="http://schemas.openxmlformats.org/officeDocument/2006/relationships/hyperlink" Target="https://drive.google.com/open?id=1d3BnBRm1TUUQ2bfMELMwReAi35oINhm_" TargetMode="External"/><Relationship Id="rId977" Type="http://schemas.openxmlformats.org/officeDocument/2006/relationships/hyperlink" Target="https://drive.google.com/open?id=1x1M4gbEfxs9w2kUn65oteHcay1d-wAkR" TargetMode="External"/><Relationship Id="rId37" Type="http://schemas.openxmlformats.org/officeDocument/2006/relationships/hyperlink" Target="https://drive.google.com/open?id=1QUBLWEhgSF97vCaO3plbKJ_pFG-4omVV" TargetMode="External"/><Relationship Id="rId36" Type="http://schemas.openxmlformats.org/officeDocument/2006/relationships/hyperlink" Target="https://docs.google.com/document/u/0/d/1iHtX8C69bY8UNWa4ep4L3N5HvJ5Aw57f/edit" TargetMode="External"/><Relationship Id="rId39" Type="http://schemas.openxmlformats.org/officeDocument/2006/relationships/hyperlink" Target="https://drive.google.com/file/d/1aOw7Mp6SOPpdR4C7g-tsbbRbYz5vLOBP/view?usp=sharing" TargetMode="External"/><Relationship Id="rId38" Type="http://schemas.openxmlformats.org/officeDocument/2006/relationships/hyperlink" Target="https://drive.google.com/open?id=1R3_TlwQvGvEkPbYVsaHWaiCnJkhCvkL5" TargetMode="External"/><Relationship Id="rId730" Type="http://schemas.openxmlformats.org/officeDocument/2006/relationships/hyperlink" Target="https://drive.google.com/open?id=1bSDoO_K4u3ySoUw_h1EHxMhEfjhz67Kn" TargetMode="External"/><Relationship Id="rId972" Type="http://schemas.openxmlformats.org/officeDocument/2006/relationships/hyperlink" Target="https://drive.google.com/open?id=1kSunzKb_vReLy4XRWuJHS6gYeeMBqbWx" TargetMode="External"/><Relationship Id="rId971" Type="http://schemas.openxmlformats.org/officeDocument/2006/relationships/hyperlink" Target="https://drive.google.com/open?id=1Fgp6yrf-hYxcIgbwLSthC83jvkIrZvv1" TargetMode="External"/><Relationship Id="rId970" Type="http://schemas.openxmlformats.org/officeDocument/2006/relationships/hyperlink" Target="https://drive.google.com/open?id=1g0hfKvXEqKVq0W9GdLHe7Jra5SKoKvx9" TargetMode="External"/><Relationship Id="rId20" Type="http://schemas.openxmlformats.org/officeDocument/2006/relationships/hyperlink" Target="https://drive.google.com/open?id=1_dMn_-Rv2RDv1zECmirrDcrecxnVvSik" TargetMode="External"/><Relationship Id="rId22" Type="http://schemas.openxmlformats.org/officeDocument/2006/relationships/hyperlink" Target="https://drive.google.com/open?id=1LmvrmDQiyxXnd9Q0X1JvH9rUYW-jZlb7" TargetMode="External"/><Relationship Id="rId21" Type="http://schemas.openxmlformats.org/officeDocument/2006/relationships/hyperlink" Target="https://drive.google.com/open?id=1FqoZ6Kash6QGZt7vkI6LW0lF9fenbbl1" TargetMode="External"/><Relationship Id="rId24" Type="http://schemas.openxmlformats.org/officeDocument/2006/relationships/hyperlink" Target="https://drive.google.com/open?id=1pAkLgOqIHmrnscPJmtK0c1WdNdVYMDaS" TargetMode="External"/><Relationship Id="rId23" Type="http://schemas.openxmlformats.org/officeDocument/2006/relationships/hyperlink" Target="https://drive.google.com/open?id=1kpVlvSU8fVsyeuO9UFUD6F39qqCA6Fl_" TargetMode="External"/><Relationship Id="rId525" Type="http://schemas.openxmlformats.org/officeDocument/2006/relationships/hyperlink" Target="https://drive.google.com/open?id=1leRqVxiKN8vOGcXJ1mmQE13XYxgrBflS" TargetMode="External"/><Relationship Id="rId767" Type="http://schemas.openxmlformats.org/officeDocument/2006/relationships/hyperlink" Target="https://drive.google.com/open?id=1wIpc-Y3GDy26A5om5MM5emAGvj25zfjG" TargetMode="External"/><Relationship Id="rId524" Type="http://schemas.openxmlformats.org/officeDocument/2006/relationships/hyperlink" Target="https://drive.google.com/open?id=1dLJd8v9aA92ZXhcnmH0Ttu4bRm5iSf89" TargetMode="External"/><Relationship Id="rId766" Type="http://schemas.openxmlformats.org/officeDocument/2006/relationships/hyperlink" Target="https://drive.google.com/open?id=1QWM2qY8zfqXWDDjB3UgpZTIiNiHyIB-B" TargetMode="External"/><Relationship Id="rId523" Type="http://schemas.openxmlformats.org/officeDocument/2006/relationships/hyperlink" Target="https://drive.google.com/open?id=1RVUVLiYymuA83t5wLK2ehhsTqJx7U9lW" TargetMode="External"/><Relationship Id="rId765" Type="http://schemas.openxmlformats.org/officeDocument/2006/relationships/hyperlink" Target="https://drive.google.com/open?id=1h5HC4rMuFvfSfhRT1FV2u7P05hpGbEpV" TargetMode="External"/><Relationship Id="rId522" Type="http://schemas.openxmlformats.org/officeDocument/2006/relationships/hyperlink" Target="https://drive.google.com/open?id=15oOKDOBqFgIbx4nRMW-4i5hrMhK-SmnR" TargetMode="External"/><Relationship Id="rId764" Type="http://schemas.openxmlformats.org/officeDocument/2006/relationships/hyperlink" Target="https://drive.google.com/open?id=1XN1_zpJsqMXfmnMlTSUafUS5FsVxbTSR" TargetMode="External"/><Relationship Id="rId529" Type="http://schemas.openxmlformats.org/officeDocument/2006/relationships/hyperlink" Target="https://drive.google.com/open?id=1GagONUXQmk4sdmhnaXno99oOFLsXSVv3" TargetMode="External"/><Relationship Id="rId528" Type="http://schemas.openxmlformats.org/officeDocument/2006/relationships/hyperlink" Target="https://drive.google.com/open?id=1uM5k4nV4xoaNCShFiFkmQcW5kzoijSEJ" TargetMode="External"/><Relationship Id="rId527" Type="http://schemas.openxmlformats.org/officeDocument/2006/relationships/hyperlink" Target="https://drive.google.com/open?id=1eiAowIpGlKvP4MVhiJmUN7Ccib-abldv" TargetMode="External"/><Relationship Id="rId769" Type="http://schemas.openxmlformats.org/officeDocument/2006/relationships/hyperlink" Target="https://drive.google.com/open?id=1C9yFxWNxkgcmi5OAyT4iRd6WyS2mldMK" TargetMode="External"/><Relationship Id="rId526" Type="http://schemas.openxmlformats.org/officeDocument/2006/relationships/hyperlink" Target="https://drive.google.com/open?id=1CyIlmNhmKF2vYKJzjMb11vn5n9kQrqPh" TargetMode="External"/><Relationship Id="rId768" Type="http://schemas.openxmlformats.org/officeDocument/2006/relationships/hyperlink" Target="https://drive.google.com/open?id=13MuM5dP8fy6zYQMKmHySOWPixh-zaiyD" TargetMode="External"/><Relationship Id="rId26" Type="http://schemas.openxmlformats.org/officeDocument/2006/relationships/hyperlink" Target="https://drive.google.com/open?id=1Wj2vT6KTU9gdx4w51W5wS67kmA8Vyj_Z" TargetMode="External"/><Relationship Id="rId25" Type="http://schemas.openxmlformats.org/officeDocument/2006/relationships/hyperlink" Target="https://drive.google.com/open?id=16RiP3vcYrZ8Xqy7qAO_8jKXxS3hsMjdm" TargetMode="External"/><Relationship Id="rId28" Type="http://schemas.openxmlformats.org/officeDocument/2006/relationships/hyperlink" Target="https://drive.google.com/open?id=1A3VueWKNNKH9NdK2tJm8z8Eg0TiJ5cZS" TargetMode="External"/><Relationship Id="rId27" Type="http://schemas.openxmlformats.org/officeDocument/2006/relationships/hyperlink" Target="https://drive.google.com/open?id=12pqPKuFQuCU18FeTz-XR5vRgQGEPTIqc" TargetMode="External"/><Relationship Id="rId521" Type="http://schemas.openxmlformats.org/officeDocument/2006/relationships/hyperlink" Target="https://drive.google.com/open?id=1xx61qQlLs4NF7Uo8hn68RD9_MNY5hcEJ" TargetMode="External"/><Relationship Id="rId763" Type="http://schemas.openxmlformats.org/officeDocument/2006/relationships/hyperlink" Target="https://drive.google.com/open?id=1oLXQPXlguet1GEvP5z88HLgceELMkLD1" TargetMode="External"/><Relationship Id="rId29" Type="http://schemas.openxmlformats.org/officeDocument/2006/relationships/hyperlink" Target="https://drive.google.com/open?id=1GoIGzYCujt82UKGA4VNbS12OE62lqUo-" TargetMode="External"/><Relationship Id="rId520" Type="http://schemas.openxmlformats.org/officeDocument/2006/relationships/hyperlink" Target="https://drive.google.com/open?id=10m74uzcyWZp4N5jW_CF7RHjUspFFZYHD" TargetMode="External"/><Relationship Id="rId762" Type="http://schemas.openxmlformats.org/officeDocument/2006/relationships/hyperlink" Target="https://drive.google.com/open?id=1HtOsRZMkW7COmXNpdja7ptcWsqgSGTBB" TargetMode="External"/><Relationship Id="rId761" Type="http://schemas.openxmlformats.org/officeDocument/2006/relationships/hyperlink" Target="https://drive.google.com/open?id=1RzfVthWn6vOLzIQMqIhUhDjh7GQAxYNd" TargetMode="External"/><Relationship Id="rId760" Type="http://schemas.openxmlformats.org/officeDocument/2006/relationships/hyperlink" Target="https://drive.google.com/open?id=1-1SkpDQAt6ZghmYl1RoAs_lRtr20byjn" TargetMode="External"/><Relationship Id="rId11" Type="http://schemas.openxmlformats.org/officeDocument/2006/relationships/hyperlink" Target="https://drive.google.com/open?id=16QXk6bziB0ggQHbK6llQ2z_tM_buJrjh" TargetMode="External"/><Relationship Id="rId10" Type="http://schemas.openxmlformats.org/officeDocument/2006/relationships/hyperlink" Target="https://drive.google.com/open?id=12AWtmhub-NjVCA8gMdSjeJhyPonu4b-X" TargetMode="External"/><Relationship Id="rId13" Type="http://schemas.openxmlformats.org/officeDocument/2006/relationships/hyperlink" Target="https://drive.google.com/open?id=1_JWmGqdQlibQGf2vwSxPWAwMZfVafU72" TargetMode="External"/><Relationship Id="rId12" Type="http://schemas.openxmlformats.org/officeDocument/2006/relationships/hyperlink" Target="https://drive.google.com/open?id=1RLkUDyNXOhsSman4bXF6D0fJnJgvdtVv" TargetMode="External"/><Relationship Id="rId519" Type="http://schemas.openxmlformats.org/officeDocument/2006/relationships/hyperlink" Target="https://drive.google.com/open?id=1FSYiMkvkW-5ZMa7c5lAo7czVSgqW9U1v" TargetMode="External"/><Relationship Id="rId514" Type="http://schemas.openxmlformats.org/officeDocument/2006/relationships/hyperlink" Target="https://drive.google.com/open?id=1SvqaIpfgo7EFThKLme3d18FBmvB_kQd-" TargetMode="External"/><Relationship Id="rId756" Type="http://schemas.openxmlformats.org/officeDocument/2006/relationships/hyperlink" Target="https://drive.google.com/open?id=1f-BZHAZarrkq9tDZKi4QYQhgQ-bFbK2p" TargetMode="External"/><Relationship Id="rId998" Type="http://schemas.openxmlformats.org/officeDocument/2006/relationships/hyperlink" Target="https://drive.google.com/open?id=1GaNpI0vewlWwZHTMzf36V1aBn0-gQ1fJ" TargetMode="External"/><Relationship Id="rId513" Type="http://schemas.openxmlformats.org/officeDocument/2006/relationships/hyperlink" Target="https://drive.google.com/open?id=16XAO8XWgCRbcFuX5HrsemEn6ClA3hpHC" TargetMode="External"/><Relationship Id="rId755" Type="http://schemas.openxmlformats.org/officeDocument/2006/relationships/hyperlink" Target="https://drive.google.com/open?id=1MnLVSqL0NvvUbNDogP-JmPja_h7FQ9dl" TargetMode="External"/><Relationship Id="rId997" Type="http://schemas.openxmlformats.org/officeDocument/2006/relationships/hyperlink" Target="https://drive.google.com/open?id=110gAaQEPf7GCRMwJihnH8k7whvFSpg72" TargetMode="External"/><Relationship Id="rId512" Type="http://schemas.openxmlformats.org/officeDocument/2006/relationships/hyperlink" Target="https://drive.google.com/open?id=1BsCQthCEEn6oTViMn0mTtj6HWcghEhtl" TargetMode="External"/><Relationship Id="rId754" Type="http://schemas.openxmlformats.org/officeDocument/2006/relationships/hyperlink" Target="https://drive.google.com/open?id=1woQYw9A1pRyouYI1Zkcxq12DvYrxfJkZ" TargetMode="External"/><Relationship Id="rId996" Type="http://schemas.openxmlformats.org/officeDocument/2006/relationships/hyperlink" Target="https://drive.google.com/open?id=1xj5a82Dm5KJJWM7s_bpNaeRkdUQ-aEwZ" TargetMode="External"/><Relationship Id="rId511" Type="http://schemas.openxmlformats.org/officeDocument/2006/relationships/hyperlink" Target="https://drive.google.com/open?id=1vBEKOXHp9JtaalotL1MVvtNsaG2UgnSX" TargetMode="External"/><Relationship Id="rId753" Type="http://schemas.openxmlformats.org/officeDocument/2006/relationships/hyperlink" Target="https://drive.google.com/open?id=1RisNghQK338z_RPTC4uA4MLc4S7uHJXp" TargetMode="External"/><Relationship Id="rId995" Type="http://schemas.openxmlformats.org/officeDocument/2006/relationships/hyperlink" Target="https://drive.google.com/open?id=1vwwvPdWBLv4_aIyLs9llucGAyPLMnYK1" TargetMode="External"/><Relationship Id="rId518" Type="http://schemas.openxmlformats.org/officeDocument/2006/relationships/hyperlink" Target="https://drive.google.com/open?id=1-k74RngVdfTNgf5DUHv1nNY7o6sm7yXy" TargetMode="External"/><Relationship Id="rId517" Type="http://schemas.openxmlformats.org/officeDocument/2006/relationships/hyperlink" Target="https://drive.google.com/open?id=1wMEBG1OLnSoJqZ_omfosr6sekdafaZeB" TargetMode="External"/><Relationship Id="rId759" Type="http://schemas.openxmlformats.org/officeDocument/2006/relationships/hyperlink" Target="https://drive.google.com/open?id=1AohVh-mQvMKoxV7_s-9KOay4OEEUYbKz" TargetMode="External"/><Relationship Id="rId516" Type="http://schemas.openxmlformats.org/officeDocument/2006/relationships/hyperlink" Target="https://drive.google.com/open?id=1OrpDIg9-sW_HD2eWhRxusavcedW37c-B" TargetMode="External"/><Relationship Id="rId758" Type="http://schemas.openxmlformats.org/officeDocument/2006/relationships/hyperlink" Target="https://drive.google.com/open?id=1gDX6Yvq7iampatO_WFmLkEJpnlqqr0tU" TargetMode="External"/><Relationship Id="rId515" Type="http://schemas.openxmlformats.org/officeDocument/2006/relationships/hyperlink" Target="https://drive.google.com/open?id=1UXeA9mKP_H2k-SDD8iqabfhggt6O-p2y" TargetMode="External"/><Relationship Id="rId757" Type="http://schemas.openxmlformats.org/officeDocument/2006/relationships/hyperlink" Target="https://drive.google.com/open?id=1_o5WtbE7CxalZkUBcUyDJLaQzYS0JYA-" TargetMode="External"/><Relationship Id="rId999" Type="http://schemas.openxmlformats.org/officeDocument/2006/relationships/hyperlink" Target="https://drive.google.com/open?id=1SGLp3cZDQE35M_Po4IwbbmxxcRJzzVWu" TargetMode="External"/><Relationship Id="rId15" Type="http://schemas.openxmlformats.org/officeDocument/2006/relationships/hyperlink" Target="https://drive.google.com/open?id=12HWFu69VM0Q6hJK-tXSKadINPLurAzB_" TargetMode="External"/><Relationship Id="rId990" Type="http://schemas.openxmlformats.org/officeDocument/2006/relationships/hyperlink" Target="https://drive.google.com/open?id=1mPFyDQhJFUwxFS2QNtSCa6_PqGaHMFxQ" TargetMode="External"/><Relationship Id="rId14" Type="http://schemas.openxmlformats.org/officeDocument/2006/relationships/hyperlink" Target="https://drive.google.com/open?id=1drOUTEgXKZPnWTXt7oDY74z-CqN1Ojr0" TargetMode="External"/><Relationship Id="rId17" Type="http://schemas.openxmlformats.org/officeDocument/2006/relationships/hyperlink" Target="https://drive.google.com/open?id=1zfTwE8KKV4LsCNlh8nfLO7Crl_oVf6Ij" TargetMode="External"/><Relationship Id="rId16" Type="http://schemas.openxmlformats.org/officeDocument/2006/relationships/hyperlink" Target="https://drive.google.com/open?id=1FqLStnO7y9Pm2Q2jHXkLzWlYNa1tFpEM" TargetMode="External"/><Relationship Id="rId19" Type="http://schemas.openxmlformats.org/officeDocument/2006/relationships/hyperlink" Target="https://drive.google.com/open?id=1xg9TXIxCcLL4F-vp_dMp_gjDKqL6dzOx" TargetMode="External"/><Relationship Id="rId510" Type="http://schemas.openxmlformats.org/officeDocument/2006/relationships/hyperlink" Target="https://drive.google.com/open?id=126c7NQPSUwLL62xrUDZ-9HibNr7mYXYC" TargetMode="External"/><Relationship Id="rId752" Type="http://schemas.openxmlformats.org/officeDocument/2006/relationships/hyperlink" Target="https://drive.google.com/open?id=1wHV95mEGNni3qn7JMv-cwxmfclmFf2Kt" TargetMode="External"/><Relationship Id="rId994" Type="http://schemas.openxmlformats.org/officeDocument/2006/relationships/hyperlink" Target="https://drive.google.com/open?id=1dPYTP59RVE6moo9VGFJ7ild4ed07RGox" TargetMode="External"/><Relationship Id="rId18" Type="http://schemas.openxmlformats.org/officeDocument/2006/relationships/hyperlink" Target="https://drive.google.com/open?id=1pB7bYZkK-oU4GxhgjhlkuR3CxeRy6dNn" TargetMode="External"/><Relationship Id="rId751" Type="http://schemas.openxmlformats.org/officeDocument/2006/relationships/hyperlink" Target="https://drive.google.com/open?id=1jFG50caWF4N_GxsIfHP96Y8EqJ6SoOT4" TargetMode="External"/><Relationship Id="rId993" Type="http://schemas.openxmlformats.org/officeDocument/2006/relationships/hyperlink" Target="https://drive.google.com/open?id=1z36dsGdHQhI6LC1IIsf4CkarPttYyb1k" TargetMode="External"/><Relationship Id="rId750" Type="http://schemas.openxmlformats.org/officeDocument/2006/relationships/hyperlink" Target="https://drive.google.com/open?id=1osFYiN2CQM7SUTTZBvLODUI6O4j8oboN" TargetMode="External"/><Relationship Id="rId992" Type="http://schemas.openxmlformats.org/officeDocument/2006/relationships/hyperlink" Target="https://drive.google.com/open?id=1ixgW-L_dllkaqisynMhPoxNdGlb53k6a" TargetMode="External"/><Relationship Id="rId991" Type="http://schemas.openxmlformats.org/officeDocument/2006/relationships/hyperlink" Target="https://drive.google.com/open?id=1QmHImvVeJQv2un-ak-3yYhLnJ8S8g7sQ" TargetMode="External"/><Relationship Id="rId84" Type="http://schemas.openxmlformats.org/officeDocument/2006/relationships/hyperlink" Target="https://drive.google.com/open?id=1pEVR1ayAityHnYap2Xsv4O2Dpu3AtQ-d" TargetMode="External"/><Relationship Id="rId83" Type="http://schemas.openxmlformats.org/officeDocument/2006/relationships/hyperlink" Target="https://drive.google.com/file/d/1Vv4KWMm4hh7VfYi4Sy-SBz-qJ1wTSjtL/view?usp=drive_link" TargetMode="External"/><Relationship Id="rId86" Type="http://schemas.openxmlformats.org/officeDocument/2006/relationships/hyperlink" Target="https://drive.google.com/open?id=1ys40VjLhx2JAIEZicylnle_6oVrflF5C" TargetMode="External"/><Relationship Id="rId85" Type="http://schemas.openxmlformats.org/officeDocument/2006/relationships/hyperlink" Target="https://drive.google.com/open?id=1KlAA1IBnwf17S1QSbz-vTOTnDYghkEhj" TargetMode="External"/><Relationship Id="rId88" Type="http://schemas.openxmlformats.org/officeDocument/2006/relationships/hyperlink" Target="https://drive.google.com/file/d/1Lk5gZNfaAgxSOgOP1hFPi9Wc9_XJeoQH/view?usp=sharing" TargetMode="External"/><Relationship Id="rId87" Type="http://schemas.openxmlformats.org/officeDocument/2006/relationships/hyperlink" Target="https://drive.google.com/open?id=1QUBLWEhgSF97vCaO3plbKJ_pFG-4omVV" TargetMode="External"/><Relationship Id="rId89" Type="http://schemas.openxmlformats.org/officeDocument/2006/relationships/hyperlink" Target="https://drive.google.com/file/d/1stCjY1iXRgETaDxZ6a-zcd4ZK2clTI68/view?usp=sharing" TargetMode="External"/><Relationship Id="rId709" Type="http://schemas.openxmlformats.org/officeDocument/2006/relationships/hyperlink" Target="https://drive.google.com/open?id=1wCnYY5XqyT5kfeiugLyTKIIQHQQYGTcs" TargetMode="External"/><Relationship Id="rId708" Type="http://schemas.openxmlformats.org/officeDocument/2006/relationships/hyperlink" Target="https://drive.google.com/open?id=1Zdf1Lm3SsS2OOsIi6mKqNbs1TlqRpJP7" TargetMode="External"/><Relationship Id="rId707" Type="http://schemas.openxmlformats.org/officeDocument/2006/relationships/hyperlink" Target="https://drive.google.com/open?id=1wVj__h6iVzr29OFf1Hq1e0VETzHZe00q" TargetMode="External"/><Relationship Id="rId949" Type="http://schemas.openxmlformats.org/officeDocument/2006/relationships/hyperlink" Target="https://drive.google.com/open?id=11zSBI-JEpk1nd6p2NEvk6MgnbJE1xf9U" TargetMode="External"/><Relationship Id="rId706" Type="http://schemas.openxmlformats.org/officeDocument/2006/relationships/hyperlink" Target="https://drive.google.com/open?id=1OqKlZqnWq1r8umRLwkZg8bpniTZ36n9-" TargetMode="External"/><Relationship Id="rId948" Type="http://schemas.openxmlformats.org/officeDocument/2006/relationships/hyperlink" Target="https://drive.google.com/open?id=10yuL4IZnSjUAdTmwzzrc6uMe69b1dV4y" TargetMode="External"/><Relationship Id="rId80" Type="http://schemas.openxmlformats.org/officeDocument/2006/relationships/hyperlink" Target="https://drive.google.com/open?id=13UGFvreAauLZE1Zvidt4szTkKzv_8U83" TargetMode="External"/><Relationship Id="rId82" Type="http://schemas.openxmlformats.org/officeDocument/2006/relationships/hyperlink" Target="https://docs.google.com/document/d/1Zeq7PQKvRTCtPpzFwozUf3YdsPk4NBM4/edit?usp=drive_link&amp;ouid=101730800160910798796&amp;rtpof=true&amp;sd=true" TargetMode="External"/><Relationship Id="rId81" Type="http://schemas.openxmlformats.org/officeDocument/2006/relationships/hyperlink" Target="https://drive.google.com/file/d/1rhF3YtK9TQBRvEDb4u0lsFIjHwOpc8qh/view?usp=drive_link" TargetMode="External"/><Relationship Id="rId701" Type="http://schemas.openxmlformats.org/officeDocument/2006/relationships/hyperlink" Target="https://drive.google.com/open?id=1nNN0kPeYkmpWVky2j1YXJOCA_VzTK3d5" TargetMode="External"/><Relationship Id="rId943" Type="http://schemas.openxmlformats.org/officeDocument/2006/relationships/hyperlink" Target="https://drive.google.com/open?id=1HlbBONblQgPv8ygqaCY-EpxN5yjZjf6T" TargetMode="External"/><Relationship Id="rId700" Type="http://schemas.openxmlformats.org/officeDocument/2006/relationships/hyperlink" Target="https://drive.google.com/open?id=1YorW5eEml2PZ5_iSN273BEskO7AA-3zD" TargetMode="External"/><Relationship Id="rId942" Type="http://schemas.openxmlformats.org/officeDocument/2006/relationships/hyperlink" Target="https://drive.google.com/open?id=1n_HbCZlgAnlpkM_yXWfrojGUiUN8gH-t" TargetMode="External"/><Relationship Id="rId941" Type="http://schemas.openxmlformats.org/officeDocument/2006/relationships/hyperlink" Target="https://drive.google.com/open?id=1q3X-e7bphWFEPzHFsJW1aMW8KOubuO1R" TargetMode="External"/><Relationship Id="rId940" Type="http://schemas.openxmlformats.org/officeDocument/2006/relationships/hyperlink" Target="https://drive.google.com/open?id=12yoK_42m4NFP70LnsiiszOiQLVimnpaP" TargetMode="External"/><Relationship Id="rId705" Type="http://schemas.openxmlformats.org/officeDocument/2006/relationships/hyperlink" Target="https://drive.google.com/open?id=1JcvAAizvhrBChaN9jsxNJDAWbafxtXNZ" TargetMode="External"/><Relationship Id="rId947" Type="http://schemas.openxmlformats.org/officeDocument/2006/relationships/hyperlink" Target="https://drive.google.com/open?id=1LR9IBiwt9QD_GRBxGvcwg5I54M6qSeC-" TargetMode="External"/><Relationship Id="rId704" Type="http://schemas.openxmlformats.org/officeDocument/2006/relationships/hyperlink" Target="https://drive.google.com/open?id=1w2JNJetPCz2gt2-WfvQAZDOugF-gTG9x" TargetMode="External"/><Relationship Id="rId946" Type="http://schemas.openxmlformats.org/officeDocument/2006/relationships/hyperlink" Target="https://drive.google.com/open?id=1ioN2E2oNgwAylOGuX2p2e-DVblcSF8MZ" TargetMode="External"/><Relationship Id="rId703" Type="http://schemas.openxmlformats.org/officeDocument/2006/relationships/hyperlink" Target="https://drive.google.com/open?id=1iTT1o2UzDHt2rJUoDEdTg-A9DuyB8MNG" TargetMode="External"/><Relationship Id="rId945" Type="http://schemas.openxmlformats.org/officeDocument/2006/relationships/hyperlink" Target="https://drive.google.com/open?id=1iWMYX2A4xnP78qY_M-GYahscHv1x4amQ" TargetMode="External"/><Relationship Id="rId702" Type="http://schemas.openxmlformats.org/officeDocument/2006/relationships/hyperlink" Target="https://drive.google.com/open?id=1S0MyCXsFn_wFdQrlIU3ud0IVc8Ds1A0w" TargetMode="External"/><Relationship Id="rId944" Type="http://schemas.openxmlformats.org/officeDocument/2006/relationships/hyperlink" Target="https://drive.google.com/open?id=1ENJNUMrAdodaggPQl3VJ5jcKMSHHzEf2" TargetMode="External"/><Relationship Id="rId73" Type="http://schemas.openxmlformats.org/officeDocument/2006/relationships/hyperlink" Target="https://drive.google.com/open?id=1fv-h2ueq_PNmGXfvqNqwulWHyC76PFDi" TargetMode="External"/><Relationship Id="rId72" Type="http://schemas.openxmlformats.org/officeDocument/2006/relationships/hyperlink" Target="https://drive.google.com/open?id=1MCKyVoMsjw6TZm4hfLZaJqiDSi3Ovt0d" TargetMode="External"/><Relationship Id="rId75" Type="http://schemas.openxmlformats.org/officeDocument/2006/relationships/hyperlink" Target="https://drive.google.com/open?id=15yem3tPKlTlhAzfBXiQ7xfUm1UT0v4vr" TargetMode="External"/><Relationship Id="rId74" Type="http://schemas.openxmlformats.org/officeDocument/2006/relationships/hyperlink" Target="https://drive.google.com/open?id=1nlWM64lWkSvlq1VgtmS5w-cedxQ_hvLI" TargetMode="External"/><Relationship Id="rId77" Type="http://schemas.openxmlformats.org/officeDocument/2006/relationships/hyperlink" Target="https://drive.google.com/open?id=1pIKSFkCg9PO2lorO3VCN7vlDQSNnuXZI" TargetMode="External"/><Relationship Id="rId76" Type="http://schemas.openxmlformats.org/officeDocument/2006/relationships/hyperlink" Target="https://drive.google.com/open?id=1fcZGEKeQoqqvuxLa95z2o9fkMcnG-DJ8" TargetMode="External"/><Relationship Id="rId79" Type="http://schemas.openxmlformats.org/officeDocument/2006/relationships/hyperlink" Target="https://drive.google.com/open?id=1rqZDP-S5LmVyhKhESstvhzFt0XkjnJEF" TargetMode="External"/><Relationship Id="rId78" Type="http://schemas.openxmlformats.org/officeDocument/2006/relationships/hyperlink" Target="https://drive.google.com/open?id=1rob10g2f-pNK-AMHGydI2VF9HZhE-Bub" TargetMode="External"/><Relationship Id="rId939" Type="http://schemas.openxmlformats.org/officeDocument/2006/relationships/hyperlink" Target="https://drive.google.com/open?id=1JpqkQYZ05GKqbRr7pLHcjyhInQ5KyV8n" TargetMode="External"/><Relationship Id="rId938" Type="http://schemas.openxmlformats.org/officeDocument/2006/relationships/hyperlink" Target="https://drive.google.com/open?id=1F71uuAL34G8-7pImgl-yoMJLOsF-2EoE" TargetMode="External"/><Relationship Id="rId937" Type="http://schemas.openxmlformats.org/officeDocument/2006/relationships/hyperlink" Target="https://drive.google.com/open?id=1120ReOzHxhETXpulHMBZO-w7QkK8Gio1" TargetMode="External"/><Relationship Id="rId71" Type="http://schemas.openxmlformats.org/officeDocument/2006/relationships/hyperlink" Target="https://drive.google.com/open?id=1H84c5IUe9m5GwlnKfzzOhd0cTaSr2GCe" TargetMode="External"/><Relationship Id="rId70" Type="http://schemas.openxmlformats.org/officeDocument/2006/relationships/hyperlink" Target="https://drive.google.com/open?id=1YVL22GmEMGCo1B3r1wN0WIC5oDNyerrn" TargetMode="External"/><Relationship Id="rId932" Type="http://schemas.openxmlformats.org/officeDocument/2006/relationships/hyperlink" Target="https://drive.google.com/open?id=17iH7ZslPQXn14w-2jGmzUGsl0reWJMyI" TargetMode="External"/><Relationship Id="rId931" Type="http://schemas.openxmlformats.org/officeDocument/2006/relationships/hyperlink" Target="https://drive.google.com/open?id=12fbqIpfCFs7XGMlQpj_YZI0N6zv8cbvd" TargetMode="External"/><Relationship Id="rId930" Type="http://schemas.openxmlformats.org/officeDocument/2006/relationships/hyperlink" Target="https://drive.google.com/open?id=1usXgKodf17dhM70dfxyXqJGZOBl3nhde" TargetMode="External"/><Relationship Id="rId936" Type="http://schemas.openxmlformats.org/officeDocument/2006/relationships/hyperlink" Target="https://drive.google.com/open?id=1UTyzHlb6YXxDk6Q0RcNl3aRU5CIV0Y7C" TargetMode="External"/><Relationship Id="rId935" Type="http://schemas.openxmlformats.org/officeDocument/2006/relationships/hyperlink" Target="https://drive.google.com/open?id=1xoRZLQ7CB0qxBF0JURjPK3nzAbfJ1kNl" TargetMode="External"/><Relationship Id="rId934" Type="http://schemas.openxmlformats.org/officeDocument/2006/relationships/hyperlink" Target="https://drive.google.com/open?id=1DcmYK9G3QIcAKShKnM8-z9OjeLgkdzjB" TargetMode="External"/><Relationship Id="rId933" Type="http://schemas.openxmlformats.org/officeDocument/2006/relationships/hyperlink" Target="https://drive.google.com/open?id=1FW8d6eBtSV1zKzjVqyuCXja4012rUBxp" TargetMode="External"/><Relationship Id="rId62" Type="http://schemas.openxmlformats.org/officeDocument/2006/relationships/hyperlink" Target="https://drive.google.com/open?id=1Fe6D8gLrkhAUnmpL-XX8dawsVcIum_d_" TargetMode="External"/><Relationship Id="rId61" Type="http://schemas.openxmlformats.org/officeDocument/2006/relationships/hyperlink" Target="https://drive.google.com/open?id=1ra36TqPvpBMbpwE5ea5TpojsSECoMmnV" TargetMode="External"/><Relationship Id="rId64" Type="http://schemas.openxmlformats.org/officeDocument/2006/relationships/hyperlink" Target="https://drive.google.com/open?id=1hyswtmAlzDJg48B-1v3SCT4ihJznJ60q" TargetMode="External"/><Relationship Id="rId63" Type="http://schemas.openxmlformats.org/officeDocument/2006/relationships/hyperlink" Target="https://drive.google.com/open?id=1b8HBMy5aHV9bYnQuQ9K_h3klBZlMiAN3" TargetMode="External"/><Relationship Id="rId66" Type="http://schemas.openxmlformats.org/officeDocument/2006/relationships/hyperlink" Target="https://docs.google.com/document/u/0/d/1SgNSKWuErjgH1ry-nGjYtUAEWkm3PVne/edit" TargetMode="External"/><Relationship Id="rId65" Type="http://schemas.openxmlformats.org/officeDocument/2006/relationships/hyperlink" Target="https://drive.google.com/open?id=1Oj9V0scTdk2__PF96DUkHpblZJpB7OHA" TargetMode="External"/><Relationship Id="rId68" Type="http://schemas.openxmlformats.org/officeDocument/2006/relationships/hyperlink" Target="https://drive.google.com/open?id=14bE-QvNMjiCDVuxi2b_Wwh7eCxRIEUSa" TargetMode="External"/><Relationship Id="rId67" Type="http://schemas.openxmlformats.org/officeDocument/2006/relationships/hyperlink" Target="https://drive.google.com/open?id=1pEVR1ayAityHnYap2Xsv4O2Dpu3AtQ-d" TargetMode="External"/><Relationship Id="rId729" Type="http://schemas.openxmlformats.org/officeDocument/2006/relationships/hyperlink" Target="https://drive.google.com/open?id=1IN4HaTBtCd4rG6N8lneY8FVPyOwuMF-8" TargetMode="External"/><Relationship Id="rId728" Type="http://schemas.openxmlformats.org/officeDocument/2006/relationships/hyperlink" Target="https://drive.google.com/open?id=1kBXSmvgNJln4PPI_FmSD-vQglWvtrCoq" TargetMode="External"/><Relationship Id="rId60" Type="http://schemas.openxmlformats.org/officeDocument/2006/relationships/hyperlink" Target="https://drive.google.com/file/d/1C43i9uw3Wc1p0rnutx44CULb26m9EqPU/view?usp=sharing" TargetMode="External"/><Relationship Id="rId723" Type="http://schemas.openxmlformats.org/officeDocument/2006/relationships/hyperlink" Target="https://drive.google.com/open?id=1MEE9FuzBJPxFrz-_jHcH-nCEDgS23xEw" TargetMode="External"/><Relationship Id="rId965" Type="http://schemas.openxmlformats.org/officeDocument/2006/relationships/hyperlink" Target="https://drive.google.com/open?id=11sxvcDheZ-RRtnN4gKQr93-Og1qQdFcx" TargetMode="External"/><Relationship Id="rId722" Type="http://schemas.openxmlformats.org/officeDocument/2006/relationships/hyperlink" Target="https://drive.google.com/open?id=1K8VX1kTQKIGUy6w8RaWniAfbzcWffOY_" TargetMode="External"/><Relationship Id="rId964" Type="http://schemas.openxmlformats.org/officeDocument/2006/relationships/hyperlink" Target="https://drive.google.com/open?id=1VHXa52e9r9v9KeIK9sRXL0ojMMHB5S4Z" TargetMode="External"/><Relationship Id="rId721" Type="http://schemas.openxmlformats.org/officeDocument/2006/relationships/hyperlink" Target="https://drive.google.com/open?id=1xPte7puIXIpKQcT9dT39kjvqH7JHQF7S" TargetMode="External"/><Relationship Id="rId963" Type="http://schemas.openxmlformats.org/officeDocument/2006/relationships/hyperlink" Target="https://drive.google.com/open?id=1Js2jbeFCNp4JCM5O07mNnyddh-KkWwDK" TargetMode="External"/><Relationship Id="rId720" Type="http://schemas.openxmlformats.org/officeDocument/2006/relationships/hyperlink" Target="https://drive.google.com/open?id=10xXwrd6gSu4-NbsO4euZlSBaJGKvuqDr" TargetMode="External"/><Relationship Id="rId962" Type="http://schemas.openxmlformats.org/officeDocument/2006/relationships/hyperlink" Target="https://drive.google.com/open?id=1gJnS09sxDB5E2NwqI4xjFEM5jD80yNXn" TargetMode="External"/><Relationship Id="rId727" Type="http://schemas.openxmlformats.org/officeDocument/2006/relationships/hyperlink" Target="https://drive.google.com/open?id=1idl1UHHzxgBuXT325aPiQ6_QuuiH8cFN" TargetMode="External"/><Relationship Id="rId969" Type="http://schemas.openxmlformats.org/officeDocument/2006/relationships/hyperlink" Target="https://drive.google.com/open?id=1AuOhrS-KAZIhL3YweQ05WAggPwraSpq1" TargetMode="External"/><Relationship Id="rId726" Type="http://schemas.openxmlformats.org/officeDocument/2006/relationships/hyperlink" Target="https://drive.google.com/open?id=1XCLXXQq-gyzReddGIJ1MzxJ0ayzB17n8" TargetMode="External"/><Relationship Id="rId968" Type="http://schemas.openxmlformats.org/officeDocument/2006/relationships/hyperlink" Target="https://drive.google.com/open?id=1HWmd0gx1no8T1Rw-ZQyHI59voz8ePRwq" TargetMode="External"/><Relationship Id="rId725" Type="http://schemas.openxmlformats.org/officeDocument/2006/relationships/hyperlink" Target="https://drive.google.com/open?id=12QK2kfXegdQQnoCr-vfQ8vS8JQc2gJ_3" TargetMode="External"/><Relationship Id="rId967" Type="http://schemas.openxmlformats.org/officeDocument/2006/relationships/hyperlink" Target="https://drive.google.com/open?id=1iEultcKtWGh73TWC8oMRIpynjLPFrj4i" TargetMode="External"/><Relationship Id="rId724" Type="http://schemas.openxmlformats.org/officeDocument/2006/relationships/hyperlink" Target="https://drive.google.com/open?id=1arLWQobwvbPC6TLudpaYcseeJRGkUojo" TargetMode="External"/><Relationship Id="rId966" Type="http://schemas.openxmlformats.org/officeDocument/2006/relationships/hyperlink" Target="https://drive.google.com/open?id=1kmPGKZX2lFCsj7cM9XdY5UjL1UVV5XYn" TargetMode="External"/><Relationship Id="rId69" Type="http://schemas.openxmlformats.org/officeDocument/2006/relationships/hyperlink" Target="https://drive.google.com/open?id=16pTHTZ4zbxXrLLGzya9FaiBIdKGXehOj" TargetMode="External"/><Relationship Id="rId961" Type="http://schemas.openxmlformats.org/officeDocument/2006/relationships/hyperlink" Target="https://drive.google.com/open?id=16hYF7zQsrQBzsa4DVWksL0wF15A5FiSE" TargetMode="External"/><Relationship Id="rId960" Type="http://schemas.openxmlformats.org/officeDocument/2006/relationships/hyperlink" Target="https://drive.google.com/open?id=1LvmZOtmXgthRT87GlXjPmwq4G5lyJhSH" TargetMode="External"/><Relationship Id="rId51" Type="http://schemas.openxmlformats.org/officeDocument/2006/relationships/hyperlink" Target="https://drive.google.com/file/d/1QrQxN5wVI9Wuj1rNNuVHBHDIfogg2WN7/view?usp=sharing" TargetMode="External"/><Relationship Id="rId50" Type="http://schemas.openxmlformats.org/officeDocument/2006/relationships/hyperlink" Target="https://drive.google.com/open?id=1cwiSGX1uWmXf-9P9WpKqoqWGAxIUv6yC" TargetMode="External"/><Relationship Id="rId53" Type="http://schemas.openxmlformats.org/officeDocument/2006/relationships/hyperlink" Target="https://drive.google.com/file/d/1QrQxN5wVI9Wuj1rNNuVHBHDIfogg2WN7/view?usp=sharing" TargetMode="External"/><Relationship Id="rId52" Type="http://schemas.openxmlformats.org/officeDocument/2006/relationships/hyperlink" Target="https://drive.google.com/open?id=1hs3FgscCMkH4kSvUCs60rcq1tNuBNzyy" TargetMode="External"/><Relationship Id="rId55" Type="http://schemas.openxmlformats.org/officeDocument/2006/relationships/hyperlink" Target="https://drive.google.com/file/d/1XQF3gz_eT_hhogouX5nRAZYmQvvDpUix/view?usp=sharing" TargetMode="External"/><Relationship Id="rId54" Type="http://schemas.openxmlformats.org/officeDocument/2006/relationships/hyperlink" Target="https://drive.google.com/file/d/1KqHPt3rdPuL07OB499wj-hd05jk559Wr/view?usp=sharing" TargetMode="External"/><Relationship Id="rId57" Type="http://schemas.openxmlformats.org/officeDocument/2006/relationships/hyperlink" Target="https://drive.google.com/file/d/12A4NrGn9yflewuijA7ILUun15aNMZEXt/view?usp=sharing" TargetMode="External"/><Relationship Id="rId56" Type="http://schemas.openxmlformats.org/officeDocument/2006/relationships/hyperlink" Target="https://drive.google.com/file/d/1d5qIsmDIFbeWFpcmevRHJ8KzG585W5hh/view?usp=sharing" TargetMode="External"/><Relationship Id="rId719" Type="http://schemas.openxmlformats.org/officeDocument/2006/relationships/hyperlink" Target="https://drive.google.com/open?id=1No3XAFepDLRr4XTameGI23dQlixH3oVL" TargetMode="External"/><Relationship Id="rId718" Type="http://schemas.openxmlformats.org/officeDocument/2006/relationships/hyperlink" Target="https://drive.google.com/open?id=1MuPs43K-eEINy8i8cMIbSNZNgi-w5JQG" TargetMode="External"/><Relationship Id="rId717" Type="http://schemas.openxmlformats.org/officeDocument/2006/relationships/hyperlink" Target="https://drive.google.com/open?id=1iKnZBWL2YDlVaxBEpNWrzfPxmkmc6ik9" TargetMode="External"/><Relationship Id="rId959" Type="http://schemas.openxmlformats.org/officeDocument/2006/relationships/hyperlink" Target="https://drive.google.com/open?id=111m9d7rh2KzQbFxCzzJBhDrZ8QDnctLk" TargetMode="External"/><Relationship Id="rId712" Type="http://schemas.openxmlformats.org/officeDocument/2006/relationships/hyperlink" Target="https://drive.google.com/open?id=15TZYTdR1fpl76G-o0wUSRB5-jLaVvWgS" TargetMode="External"/><Relationship Id="rId954" Type="http://schemas.openxmlformats.org/officeDocument/2006/relationships/hyperlink" Target="https://drive.google.com/open?id=1KgrkgcOBiGLHUDZfPClnrMUl23bDWs_P" TargetMode="External"/><Relationship Id="rId711" Type="http://schemas.openxmlformats.org/officeDocument/2006/relationships/hyperlink" Target="https://drive.google.com/open?id=1WcLLC9igpUqqS08flRpugIxaDspnLOlh" TargetMode="External"/><Relationship Id="rId953" Type="http://schemas.openxmlformats.org/officeDocument/2006/relationships/hyperlink" Target="https://drive.google.com/open?id=1M0hRhPC3a3IyOKNqqYI3DuTHpEP2DqVg" TargetMode="External"/><Relationship Id="rId710" Type="http://schemas.openxmlformats.org/officeDocument/2006/relationships/hyperlink" Target="https://drive.google.com/open?id=1OH_W5vEl3wUpWVvgjDIyGYbikySClqCy" TargetMode="External"/><Relationship Id="rId952" Type="http://schemas.openxmlformats.org/officeDocument/2006/relationships/hyperlink" Target="https://drive.google.com/open?id=1V5CUtX8DPQX-y4eD0XMWDxTWg40aZdkh" TargetMode="External"/><Relationship Id="rId951" Type="http://schemas.openxmlformats.org/officeDocument/2006/relationships/hyperlink" Target="https://drive.google.com/open?id=1e9IPjUKcrc4qmGTtySDKOJdFGRCM2WfF" TargetMode="External"/><Relationship Id="rId716" Type="http://schemas.openxmlformats.org/officeDocument/2006/relationships/hyperlink" Target="https://drive.google.com/open?id=1HPUMCMb-rfGIE0twLwO6tjIzYIhexzsD" TargetMode="External"/><Relationship Id="rId958" Type="http://schemas.openxmlformats.org/officeDocument/2006/relationships/hyperlink" Target="https://drive.google.com/open?id=1z9HRF8vF5ANCmdUurhcxGSiYP7pkO8cG" TargetMode="External"/><Relationship Id="rId715" Type="http://schemas.openxmlformats.org/officeDocument/2006/relationships/hyperlink" Target="https://drive.google.com/open?id=1UOEtLm0sIvQO89aPpVebDn1GaZXbsViX" TargetMode="External"/><Relationship Id="rId957" Type="http://schemas.openxmlformats.org/officeDocument/2006/relationships/hyperlink" Target="https://drive.google.com/open?id=1WM7IR5YNxX0m6zM_TfMG_okEXxK7bdKG" TargetMode="External"/><Relationship Id="rId714" Type="http://schemas.openxmlformats.org/officeDocument/2006/relationships/hyperlink" Target="https://drive.google.com/open?id=1hoAvvFAf4ky30288LfjL67e20Faw4SLO" TargetMode="External"/><Relationship Id="rId956" Type="http://schemas.openxmlformats.org/officeDocument/2006/relationships/hyperlink" Target="https://drive.google.com/open?id=1HgEauqhv0MIPDa_J-mAM3pFKethy7RIj" TargetMode="External"/><Relationship Id="rId713" Type="http://schemas.openxmlformats.org/officeDocument/2006/relationships/hyperlink" Target="https://drive.google.com/open?id=1r6BCOMigBj13MQd9EyQaF5v9zJdJbC1g" TargetMode="External"/><Relationship Id="rId955" Type="http://schemas.openxmlformats.org/officeDocument/2006/relationships/hyperlink" Target="https://drive.google.com/open?id=1CsLkWVgs4HSyvZFhqLY21ozAqdYBbW61" TargetMode="External"/><Relationship Id="rId59" Type="http://schemas.openxmlformats.org/officeDocument/2006/relationships/hyperlink" Target="https://drive.google.com/file/d/1axcEFk1zqYiSGUuFbKh6HeJPZWY_g1bT/view?usp=sharing" TargetMode="External"/><Relationship Id="rId58" Type="http://schemas.openxmlformats.org/officeDocument/2006/relationships/hyperlink" Target="https://drive.google.com/file/d/1oTOIH34-fBsygzm8jek8iqtobITYbu0U/view?usp=sharing" TargetMode="External"/><Relationship Id="rId950" Type="http://schemas.openxmlformats.org/officeDocument/2006/relationships/hyperlink" Target="https://drive.google.com/open?id=1WiS7Mdf2zCH-PmD2eauYCkIRrW6tLeh3" TargetMode="External"/><Relationship Id="rId590" Type="http://schemas.openxmlformats.org/officeDocument/2006/relationships/hyperlink" Target="https://drive.google.com/open?id=1YDzcy4cEwIS_HvD_Vmja0q9DlzJEhEkq" TargetMode="External"/><Relationship Id="rId107" Type="http://schemas.openxmlformats.org/officeDocument/2006/relationships/hyperlink" Target="https://drive.google.com/open?id=1KB-UrOoyDpHegqMNQemlcv-02un-NwaI&amp;usp=drive_copy" TargetMode="External"/><Relationship Id="rId349" Type="http://schemas.openxmlformats.org/officeDocument/2006/relationships/hyperlink" Target="https://drive.google.com/open?id=1BqNf-7FKYr3Aaur4Sn3vNzbU_GyZ7HKL" TargetMode="External"/><Relationship Id="rId106" Type="http://schemas.openxmlformats.org/officeDocument/2006/relationships/hyperlink" Target="https://drive.google.com/open?id=1QVCJw14CIfU0kZpf26o6P3dG1RSginwe&amp;usp=drive_copy" TargetMode="External"/><Relationship Id="rId348" Type="http://schemas.openxmlformats.org/officeDocument/2006/relationships/hyperlink" Target="https://drive.google.com/open?id=1Ubp5lA1N2JESdKhzke7FtEzmJHrOHe2Z" TargetMode="External"/><Relationship Id="rId105" Type="http://schemas.openxmlformats.org/officeDocument/2006/relationships/hyperlink" Target="https://drive.google.com/open?id=1kpLnqxd-mbU8AOrTvkHmSmZzV3Qc13Wl&amp;usp=drive_copy" TargetMode="External"/><Relationship Id="rId347" Type="http://schemas.openxmlformats.org/officeDocument/2006/relationships/hyperlink" Target="https://drive.google.com/open?id=1t116qUN0JEC6HW1q8k98-nTKeRJP5HKu" TargetMode="External"/><Relationship Id="rId589" Type="http://schemas.openxmlformats.org/officeDocument/2006/relationships/hyperlink" Target="https://drive.google.com/open?id=1lUBL-r3kC1urm9o2GAgbdHl-DQVAVHij" TargetMode="External"/><Relationship Id="rId104" Type="http://schemas.openxmlformats.org/officeDocument/2006/relationships/hyperlink" Target="https://drive.google.com/open?id=14nVql8u7wtGOkvdCJf86aMsjhIJKzkZM&amp;usp=drive_copy" TargetMode="External"/><Relationship Id="rId346" Type="http://schemas.openxmlformats.org/officeDocument/2006/relationships/hyperlink" Target="https://drive.google.com/open?id=16wdgHZGgSEyPocy6wDuJaWMY0lQWMsHl" TargetMode="External"/><Relationship Id="rId588" Type="http://schemas.openxmlformats.org/officeDocument/2006/relationships/hyperlink" Target="https://drive.google.com/open?id=1Nb0p9xiEvl85JP3wer261vkiTzCo-mR6" TargetMode="External"/><Relationship Id="rId109" Type="http://schemas.openxmlformats.org/officeDocument/2006/relationships/hyperlink" Target="https://drive.google.com/open?id=1DrgpzaS2XQ6o8l4LbzSthm_4e-F8stt-&amp;usp=drive_copy" TargetMode="External"/><Relationship Id="rId108" Type="http://schemas.openxmlformats.org/officeDocument/2006/relationships/hyperlink" Target="https://drive.google.com/open?id=1LHZUw9zNJmg46No0R0Q7WdtWbc_kMEX3&amp;usp=drive_copy" TargetMode="External"/><Relationship Id="rId341" Type="http://schemas.openxmlformats.org/officeDocument/2006/relationships/hyperlink" Target="https://drive.google.com/open?id=1FiWSq3e9jMxN8QwnMgyHKN1x9_LxnW4_" TargetMode="External"/><Relationship Id="rId583" Type="http://schemas.openxmlformats.org/officeDocument/2006/relationships/hyperlink" Target="https://drive.google.com/open?id=1InFzKICoH2hvWdy1Tp2kg7CKLTNHmCGl" TargetMode="External"/><Relationship Id="rId340" Type="http://schemas.openxmlformats.org/officeDocument/2006/relationships/hyperlink" Target="https://drive.google.com/open?id=1IB6IgNdPK0asUNPgD3RIgQ8_XzSJPlzh" TargetMode="External"/><Relationship Id="rId582" Type="http://schemas.openxmlformats.org/officeDocument/2006/relationships/hyperlink" Target="https://drive.google.com/open?id=1yKKaYmP2v4crU1mnHXLYMdh_D7pUuvw-" TargetMode="External"/><Relationship Id="rId581" Type="http://schemas.openxmlformats.org/officeDocument/2006/relationships/hyperlink" Target="https://drive.google.com/open?id=1W1jyZs5_eSfMEMHgKv3kPOS7mG5HmcnL" TargetMode="External"/><Relationship Id="rId580" Type="http://schemas.openxmlformats.org/officeDocument/2006/relationships/hyperlink" Target="https://drive.google.com/open?id=1fViIEALVIW6jCoYfKFYYZE6cX53eN-Zs" TargetMode="External"/><Relationship Id="rId103" Type="http://schemas.openxmlformats.org/officeDocument/2006/relationships/hyperlink" Target="https://drive.google.com/file/d/1L-aTkLVkoIrMNV04SbfBWK1C6gW-pc8W/view?usp=drive_link" TargetMode="External"/><Relationship Id="rId345" Type="http://schemas.openxmlformats.org/officeDocument/2006/relationships/hyperlink" Target="https://drive.google.com/open?id=1bYyTqw_XF1vBSElTsREAHRw2hXKEv9G9" TargetMode="External"/><Relationship Id="rId587" Type="http://schemas.openxmlformats.org/officeDocument/2006/relationships/hyperlink" Target="https://drive.google.com/open?id=1BcKGOVIPUdKjUAcVVJFL_YnwL_wxdx4c" TargetMode="External"/><Relationship Id="rId102" Type="http://schemas.openxmlformats.org/officeDocument/2006/relationships/hyperlink" Target="https://drive.google.com/file/d/1bLSkHB2yhMoT-YkR2DJL-ah8vyRRm0vr/view?usp=drive_link" TargetMode="External"/><Relationship Id="rId344" Type="http://schemas.openxmlformats.org/officeDocument/2006/relationships/hyperlink" Target="https://drive.google.com/open?id=1LT3eLj6Xqf70xoyHmTwtCSSqV9YYcL0a" TargetMode="External"/><Relationship Id="rId586" Type="http://schemas.openxmlformats.org/officeDocument/2006/relationships/hyperlink" Target="https://drive.google.com/open?id=119rIjHUvkas_laEFknbPD_UtCgWZ3x8B" TargetMode="External"/><Relationship Id="rId101" Type="http://schemas.openxmlformats.org/officeDocument/2006/relationships/hyperlink" Target="https://drive.google.com/open?id=1IyJ2t3QX89acLnAflXwf9oN7OZixUJF0&amp;usp=drive_copy" TargetMode="External"/><Relationship Id="rId343" Type="http://schemas.openxmlformats.org/officeDocument/2006/relationships/hyperlink" Target="https://drive.google.com/open?id=1o4rPiwQTmX0jfWrYy02-5b3V9qj8F6CJ" TargetMode="External"/><Relationship Id="rId585" Type="http://schemas.openxmlformats.org/officeDocument/2006/relationships/hyperlink" Target="https://drive.google.com/open?id=1hsRIFsJAH0UZzxM91pnZFe0M1jfA9KV2" TargetMode="External"/><Relationship Id="rId100" Type="http://schemas.openxmlformats.org/officeDocument/2006/relationships/hyperlink" Target="https://drive.google.com/open?id=1ZKFCAxwbiGqn878mmCjFrKxaejsJfAVm&amp;usp=drive_copy" TargetMode="External"/><Relationship Id="rId342" Type="http://schemas.openxmlformats.org/officeDocument/2006/relationships/hyperlink" Target="https://drive.google.com/open?id=1HckVngtthhFVhoMJcMugTM0dLWTEzsMT" TargetMode="External"/><Relationship Id="rId584" Type="http://schemas.openxmlformats.org/officeDocument/2006/relationships/hyperlink" Target="https://drive.google.com/open?id=1JU28-Wia-HPket97uB_3Ybss2E-FIPuM" TargetMode="External"/><Relationship Id="rId338" Type="http://schemas.openxmlformats.org/officeDocument/2006/relationships/hyperlink" Target="https://drive.google.com/open?id=1D36rDdkwut95W2BCpXJBX-Oxhne5tLvj" TargetMode="External"/><Relationship Id="rId337" Type="http://schemas.openxmlformats.org/officeDocument/2006/relationships/hyperlink" Target="https://drive.google.com/open?id=12cSX4HmsHcT35aU0HAoL7rBkr6LHdB5W" TargetMode="External"/><Relationship Id="rId579" Type="http://schemas.openxmlformats.org/officeDocument/2006/relationships/hyperlink" Target="https://drive.google.com/open?id=1huGvoJL-dZ--Zd7j6-66JkEP5ZPIYpVG" TargetMode="External"/><Relationship Id="rId336" Type="http://schemas.openxmlformats.org/officeDocument/2006/relationships/hyperlink" Target="https://drive.google.com/open?id=1t6ewVpJZb5y6nDF9te-MZPVROPYWqEAC" TargetMode="External"/><Relationship Id="rId578" Type="http://schemas.openxmlformats.org/officeDocument/2006/relationships/hyperlink" Target="https://drive.google.com/open?id=1neHa2g-bvs2VUOO8FREDhOSNgxHk1CYe" TargetMode="External"/><Relationship Id="rId335" Type="http://schemas.openxmlformats.org/officeDocument/2006/relationships/hyperlink" Target="https://drive.google.com/open?id=1ZBc0Yq-z9Sh5YaDE58noKTdECuRyF2qd" TargetMode="External"/><Relationship Id="rId577" Type="http://schemas.openxmlformats.org/officeDocument/2006/relationships/hyperlink" Target="https://drive.google.com/open?id=1VUd19XkM1A9Q6l6U2APTrgTzPso6JTXc" TargetMode="External"/><Relationship Id="rId339" Type="http://schemas.openxmlformats.org/officeDocument/2006/relationships/hyperlink" Target="https://drive.google.com/open?id=15rKQHvCoB-emKd_ziZNqcml7v8ZMi3ZO" TargetMode="External"/><Relationship Id="rId330" Type="http://schemas.openxmlformats.org/officeDocument/2006/relationships/hyperlink" Target="https://drive.google.com/open?id=18Dx7RRCZTHTfHh5c9czEC-I1N-JQWF0w" TargetMode="External"/><Relationship Id="rId572" Type="http://schemas.openxmlformats.org/officeDocument/2006/relationships/hyperlink" Target="https://drive.google.com/open?id=1kxhX52uEdg22jlRcGZzWEay8Nheu16w5" TargetMode="External"/><Relationship Id="rId571" Type="http://schemas.openxmlformats.org/officeDocument/2006/relationships/hyperlink" Target="https://drive.google.com/open?id=1-ZLU6n_vpKUKzW1pRHisYFjPXosXj_2U" TargetMode="External"/><Relationship Id="rId570" Type="http://schemas.openxmlformats.org/officeDocument/2006/relationships/hyperlink" Target="https://drive.google.com/open?id=1HXo0myLIArqegFYoZ8ziNRm52nn4g7aj" TargetMode="External"/><Relationship Id="rId334" Type="http://schemas.openxmlformats.org/officeDocument/2006/relationships/hyperlink" Target="https://drive.google.com/open?id=15P51Jwny5aWAIR5d0KX6m6mf_id1czYC" TargetMode="External"/><Relationship Id="rId576" Type="http://schemas.openxmlformats.org/officeDocument/2006/relationships/hyperlink" Target="https://drive.google.com/open?id=1Ea5QM6gpk8RNGfhasPesP__AjqC3fpCC" TargetMode="External"/><Relationship Id="rId333" Type="http://schemas.openxmlformats.org/officeDocument/2006/relationships/hyperlink" Target="https://drive.google.com/open?id=1NmRI__BwUOdquZRE6CCdIANM2u0J3QjZ" TargetMode="External"/><Relationship Id="rId575" Type="http://schemas.openxmlformats.org/officeDocument/2006/relationships/hyperlink" Target="https://drive.google.com/open?id=1HmEee7OBGY92MviGwISVEyvh1HfW4NfD" TargetMode="External"/><Relationship Id="rId332" Type="http://schemas.openxmlformats.org/officeDocument/2006/relationships/hyperlink" Target="https://drive.google.com/open?id=1Nt2eMzqRiPx90YCMAMH7_cy0vEoFipt6" TargetMode="External"/><Relationship Id="rId574" Type="http://schemas.openxmlformats.org/officeDocument/2006/relationships/hyperlink" Target="https://drive.google.com/open?id=1jcenor8hxtgUOJbmcuslSTW3-QrgPzMQ" TargetMode="External"/><Relationship Id="rId331" Type="http://schemas.openxmlformats.org/officeDocument/2006/relationships/hyperlink" Target="https://drive.google.com/open?id=1ictz7k9iDuSqplqKqY22E8P2weddORxm" TargetMode="External"/><Relationship Id="rId573" Type="http://schemas.openxmlformats.org/officeDocument/2006/relationships/hyperlink" Target="https://drive.google.com/open?id=1UE8yHFU-raCFD9-28Bo_fUn3eemEm8C2" TargetMode="External"/><Relationship Id="rId370" Type="http://schemas.openxmlformats.org/officeDocument/2006/relationships/hyperlink" Target="https://drive.google.com/open?id=1ctCSZAYcwxJZaH4VDqhl6xkPaO9Ribtk" TargetMode="External"/><Relationship Id="rId129" Type="http://schemas.openxmlformats.org/officeDocument/2006/relationships/hyperlink" Target="https://drive.google.com/open?id=1y6Xb-niilj0PmmPCdTf1-l280xLZAMEa" TargetMode="External"/><Relationship Id="rId128" Type="http://schemas.openxmlformats.org/officeDocument/2006/relationships/hyperlink" Target="https://drive.google.com/open?id=1s1XPxuqk_Ms827ll0TVa1r5EUSpYfLET" TargetMode="External"/><Relationship Id="rId127" Type="http://schemas.openxmlformats.org/officeDocument/2006/relationships/hyperlink" Target="https://drive.google.com/open?id=1kJvcwbFMC4L8jN81pK9ODfObEDcr-4jb" TargetMode="External"/><Relationship Id="rId369" Type="http://schemas.openxmlformats.org/officeDocument/2006/relationships/hyperlink" Target="https://drive.google.com/open?id=1Omiasgk0Anq6pk1NVCmkVxB1wmRG6uDz" TargetMode="External"/><Relationship Id="rId126" Type="http://schemas.openxmlformats.org/officeDocument/2006/relationships/hyperlink" Target="https://drive.google.com/open?id=1nOvoE9UMMfl7G5Z70Z-O2JCn8nrAks1a" TargetMode="External"/><Relationship Id="rId368" Type="http://schemas.openxmlformats.org/officeDocument/2006/relationships/hyperlink" Target="https://drive.google.com/open?id=194ybDhaXpkhN_4GM3jMXpCY0K3Kr6Jh6" TargetMode="External"/><Relationship Id="rId121" Type="http://schemas.openxmlformats.org/officeDocument/2006/relationships/hyperlink" Target="https://drive.google.com/open?id=118LDMtYCW7gRmSpzHZQkrBlyzb9rjWPJ" TargetMode="External"/><Relationship Id="rId363" Type="http://schemas.openxmlformats.org/officeDocument/2006/relationships/hyperlink" Target="https://drive.google.com/open?id=16TSyfzHfEFglAuaQKta8CDYOrdM42zuW" TargetMode="External"/><Relationship Id="rId120" Type="http://schemas.openxmlformats.org/officeDocument/2006/relationships/hyperlink" Target="https://drive.google.com/open?id=1ltW3AQDf-03p0-CK0waz8b8SHtS72ojY" TargetMode="External"/><Relationship Id="rId362" Type="http://schemas.openxmlformats.org/officeDocument/2006/relationships/hyperlink" Target="https://drive.google.com/open?id=13vYqWm_Eyc2wvoSdTjxCBIu89STlarhN" TargetMode="External"/><Relationship Id="rId361" Type="http://schemas.openxmlformats.org/officeDocument/2006/relationships/hyperlink" Target="https://drive.google.com/open?id=16qjlGbzPwVqI-8JDW9fHvuyOh99nLXmu" TargetMode="External"/><Relationship Id="rId360" Type="http://schemas.openxmlformats.org/officeDocument/2006/relationships/hyperlink" Target="https://drive.google.com/open?id=1RpAyZ1jT3q69rR4h4f_XoNKTReueS_Ds" TargetMode="External"/><Relationship Id="rId125" Type="http://schemas.openxmlformats.org/officeDocument/2006/relationships/hyperlink" Target="https://drive.google.com/open?id=1n9zdiYEhNkbHRCQDBpYR7oScgHyMr6Wt" TargetMode="External"/><Relationship Id="rId367" Type="http://schemas.openxmlformats.org/officeDocument/2006/relationships/hyperlink" Target="https://drive.google.com/open?id=1f-rgc83M1iT1qWl56QQaAc11bfI2ppMr" TargetMode="External"/><Relationship Id="rId124" Type="http://schemas.openxmlformats.org/officeDocument/2006/relationships/hyperlink" Target="https://drive.google.com/open?id=1Qmoeq6PDpo3CeXritN_NtutCUL2PnD8g" TargetMode="External"/><Relationship Id="rId366" Type="http://schemas.openxmlformats.org/officeDocument/2006/relationships/hyperlink" Target="https://drive.google.com/open?id=1orcUrc3i4TVFwOqYnvSNaZxwnJAf_Afh" TargetMode="External"/><Relationship Id="rId123" Type="http://schemas.openxmlformats.org/officeDocument/2006/relationships/hyperlink" Target="https://drive.google.com/open?id=132TFMkB9SiVjp7tglQllr4Q1WvdYiejD" TargetMode="External"/><Relationship Id="rId365" Type="http://schemas.openxmlformats.org/officeDocument/2006/relationships/hyperlink" Target="https://drive.google.com/open?id=1CxvMzEU-yR4ervrt7IEdCslQuNesBaMO" TargetMode="External"/><Relationship Id="rId122" Type="http://schemas.openxmlformats.org/officeDocument/2006/relationships/hyperlink" Target="https://drive.google.com/open?id=1G95Cup5jEP-dOFRhKmJGfXKqLAEYW6Q6" TargetMode="External"/><Relationship Id="rId364" Type="http://schemas.openxmlformats.org/officeDocument/2006/relationships/hyperlink" Target="https://drive.google.com/open?id=1EygwP2Zz_7BfP2N08DNGI7VAoUD3cMos" TargetMode="External"/><Relationship Id="rId95" Type="http://schemas.openxmlformats.org/officeDocument/2006/relationships/hyperlink" Target="https://drive.google.com/file/d/1j-CxTOmpYZ0iFH396xWkZa3fXi3zRihh/view?usp=sharing" TargetMode="External"/><Relationship Id="rId94" Type="http://schemas.openxmlformats.org/officeDocument/2006/relationships/hyperlink" Target="https://drive.google.com/file/d/1P-5561bNz23ITqNrKfIYaMWzRIa5OrYY/view?usp=sharing" TargetMode="External"/><Relationship Id="rId97" Type="http://schemas.openxmlformats.org/officeDocument/2006/relationships/hyperlink" Target="https://drive.google.com/open?id=1iOX2cF0ATWUoDiPauu_Z5-dKIa4qkMbY&amp;usp=drive_copy" TargetMode="External"/><Relationship Id="rId96" Type="http://schemas.openxmlformats.org/officeDocument/2006/relationships/hyperlink" Target="https://drive.google.com/open?id=1r670EIBpwTB6uGItp8jYvWv_k8DR_Q7J&amp;usp=drive_copy" TargetMode="External"/><Relationship Id="rId99" Type="http://schemas.openxmlformats.org/officeDocument/2006/relationships/hyperlink" Target="https://drive.google.com/open?id=11LJwsdiP_XVnutqqWM4fCZhQI4W2X-CX&amp;usp=drive_copy" TargetMode="External"/><Relationship Id="rId98" Type="http://schemas.openxmlformats.org/officeDocument/2006/relationships/hyperlink" Target="https://drive.google.com/open?id=18KN2u4f0qyp38rT28J8hvRP4D-fTMEry&amp;usp=drive_copy" TargetMode="External"/><Relationship Id="rId91" Type="http://schemas.openxmlformats.org/officeDocument/2006/relationships/hyperlink" Target="https://drive.google.com/file/d/1ib2bH_yqDFb2oLrskPMe3HF_OALCqseU/view?usp=sharing" TargetMode="External"/><Relationship Id="rId90" Type="http://schemas.openxmlformats.org/officeDocument/2006/relationships/hyperlink" Target="https://drive.google.com/file/d/17Yd4KelTSZNnzCm1YWNN_y63CNbtnW42/view?usp=sharing" TargetMode="External"/><Relationship Id="rId93" Type="http://schemas.openxmlformats.org/officeDocument/2006/relationships/hyperlink" Target="https://drive.google.com/open?id=1t0epBZkygWbJ8nUuxt9hLb_hyd6P662P" TargetMode="External"/><Relationship Id="rId92" Type="http://schemas.openxmlformats.org/officeDocument/2006/relationships/hyperlink" Target="https://drive.google.com/file/d/1qo8nfKVv3Tfn9xTSc6SxQ8Z9pVgS4JWp/view?usp=sharing" TargetMode="External"/><Relationship Id="rId118" Type="http://schemas.openxmlformats.org/officeDocument/2006/relationships/hyperlink" Target="https://drive.google.com/open?id=1uuOwrJAq0ns4dZWWfxh_a08asGpzbAOt" TargetMode="External"/><Relationship Id="rId117" Type="http://schemas.openxmlformats.org/officeDocument/2006/relationships/hyperlink" Target="https://drive.google.com/open?id=1yaCcFW_9KFwB-FRR52g3JB28MfzdB5QL&amp;usp=drive_copy" TargetMode="External"/><Relationship Id="rId359" Type="http://schemas.openxmlformats.org/officeDocument/2006/relationships/hyperlink" Target="https://drive.google.com/open?id=1j6GoOlYkgk2CfaL88s4dmGSiEqHzOkp9" TargetMode="External"/><Relationship Id="rId116" Type="http://schemas.openxmlformats.org/officeDocument/2006/relationships/hyperlink" Target="https://drive.google.com/open?id=1Y6GBr8tXNHI-R0GbumGKR1Hz7krj8kad&amp;usp=drive_copy" TargetMode="External"/><Relationship Id="rId358" Type="http://schemas.openxmlformats.org/officeDocument/2006/relationships/hyperlink" Target="https://drive.google.com/open?id=1vOeMRHhOML4P0q6-KcaOXLKTFOBYZ6qa" TargetMode="External"/><Relationship Id="rId115" Type="http://schemas.openxmlformats.org/officeDocument/2006/relationships/hyperlink" Target="https://drive.google.com/open?id=1ToCatw1w-nJdIVcP6WXXl6u7eXznFhnk&amp;usp=drive_copy" TargetMode="External"/><Relationship Id="rId357" Type="http://schemas.openxmlformats.org/officeDocument/2006/relationships/hyperlink" Target="https://drive.google.com/open?id=1GcqIpsJPky6TihkA5OCeSrXAfxGf5PjD" TargetMode="External"/><Relationship Id="rId599" Type="http://schemas.openxmlformats.org/officeDocument/2006/relationships/hyperlink" Target="https://drive.google.com/open?id=12TCl7EOrQijA3YDPiXeSS2y_gwcYjH-o" TargetMode="External"/><Relationship Id="rId119" Type="http://schemas.openxmlformats.org/officeDocument/2006/relationships/hyperlink" Target="https://drive.google.com/open?id=1SvQX5ldtURcTKPctaTzZjf2pPwqk9DtE" TargetMode="External"/><Relationship Id="rId110" Type="http://schemas.openxmlformats.org/officeDocument/2006/relationships/hyperlink" Target="https://drive.google.com/open?id=1hslz3IHrQFrlQzqlrNdAwF7eHb7-PRfL&amp;usp=drive_copy" TargetMode="External"/><Relationship Id="rId352" Type="http://schemas.openxmlformats.org/officeDocument/2006/relationships/hyperlink" Target="https://drive.google.com/open?id=1I69N-B27dJ8JIob9jGPo0CNj-OTKOCyn" TargetMode="External"/><Relationship Id="rId594" Type="http://schemas.openxmlformats.org/officeDocument/2006/relationships/hyperlink" Target="https://drive.google.com/open?id=1fUiwaTv5ibzxLF-ye37EP6dvSqX5zt_A" TargetMode="External"/><Relationship Id="rId351" Type="http://schemas.openxmlformats.org/officeDocument/2006/relationships/hyperlink" Target="https://drive.google.com/open?id=1m_HVo4sHynfvGPAP9JpH71B8_Daws65d" TargetMode="External"/><Relationship Id="rId593" Type="http://schemas.openxmlformats.org/officeDocument/2006/relationships/hyperlink" Target="https://drive.google.com/open?id=1EC7VpPXewj7v1-LZYnxe9InnTy0tcPOc" TargetMode="External"/><Relationship Id="rId350" Type="http://schemas.openxmlformats.org/officeDocument/2006/relationships/hyperlink" Target="https://drive.google.com/open?id=1z9xn8kAAlXufRhjK9yjVAjfst99XiCR5" TargetMode="External"/><Relationship Id="rId592" Type="http://schemas.openxmlformats.org/officeDocument/2006/relationships/hyperlink" Target="https://drive.google.com/open?id=1gdR3n7OIfc9QLtsh8rIV2yOP9oPgBDZ9" TargetMode="External"/><Relationship Id="rId591" Type="http://schemas.openxmlformats.org/officeDocument/2006/relationships/hyperlink" Target="https://drive.google.com/open?id=179135pJ7iIIlHIvpfVxoBcGTRTHqWXg2" TargetMode="External"/><Relationship Id="rId114" Type="http://schemas.openxmlformats.org/officeDocument/2006/relationships/hyperlink" Target="https://drive.google.com/file/d/1qan2_kLBVGglbJyCXxVhkoPN6nuFgtmZ/view?usp=sharing" TargetMode="External"/><Relationship Id="rId356" Type="http://schemas.openxmlformats.org/officeDocument/2006/relationships/hyperlink" Target="https://drive.google.com/open?id=1Ao37CJ2-thaRKoRn-Em__XmXMYCM-uNa" TargetMode="External"/><Relationship Id="rId598" Type="http://schemas.openxmlformats.org/officeDocument/2006/relationships/hyperlink" Target="https://drive.google.com/open?id=1_IGNKPEJ6BcLcGQuMMEuEKFM06X9dE19" TargetMode="External"/><Relationship Id="rId113" Type="http://schemas.openxmlformats.org/officeDocument/2006/relationships/hyperlink" Target="https://drive.google.com/open?id=10-Y5D7xQZFg_fMpPnvOnQJaefkDK0Sas&amp;usp=drive_copy" TargetMode="External"/><Relationship Id="rId355" Type="http://schemas.openxmlformats.org/officeDocument/2006/relationships/hyperlink" Target="https://drive.google.com/open?id=1kuUk_fiHvMPSCu4hrDlPQN29K3Q3KHCt" TargetMode="External"/><Relationship Id="rId597" Type="http://schemas.openxmlformats.org/officeDocument/2006/relationships/hyperlink" Target="https://drive.google.com/open?id=1eqKrwvfiN_8pjjudXajk84jXimSh7Xjk" TargetMode="External"/><Relationship Id="rId112" Type="http://schemas.openxmlformats.org/officeDocument/2006/relationships/hyperlink" Target="https://drive.google.com/open?id=1Ba-jrFzLi-R0m_6oYosvG3IUPRyZ-2YL&amp;usp=drive_copy" TargetMode="External"/><Relationship Id="rId354" Type="http://schemas.openxmlformats.org/officeDocument/2006/relationships/hyperlink" Target="https://drive.google.com/open?id=11ncS-d7TFIq6qPwDJUyo5Va1h6XbGJ2d" TargetMode="External"/><Relationship Id="rId596" Type="http://schemas.openxmlformats.org/officeDocument/2006/relationships/hyperlink" Target="https://drive.google.com/open?id=1Jt-8XdHYvAtKOMtzFBMS0loAr8G1wkcA" TargetMode="External"/><Relationship Id="rId111" Type="http://schemas.openxmlformats.org/officeDocument/2006/relationships/hyperlink" Target="https://drive.google.com/open?id=13MRpZeCKuZ8pCwaBg8iMJWAVPlEKkVjs&amp;usp=drive_copy" TargetMode="External"/><Relationship Id="rId353" Type="http://schemas.openxmlformats.org/officeDocument/2006/relationships/hyperlink" Target="https://drive.google.com/open?id=1-9fmzA4-jtB7pBuNBV-m7-xq8fKCntvd" TargetMode="External"/><Relationship Id="rId595" Type="http://schemas.openxmlformats.org/officeDocument/2006/relationships/hyperlink" Target="https://drive.google.com/open?id=1xijPLhryrqUu7WYvubGnP4dyQKYAxH06" TargetMode="External"/><Relationship Id="rId305" Type="http://schemas.openxmlformats.org/officeDocument/2006/relationships/hyperlink" Target="https://drive.google.com/open?id=1f-rgc83M1iT1qWl56QQaAc11bfI2ppMr" TargetMode="External"/><Relationship Id="rId547" Type="http://schemas.openxmlformats.org/officeDocument/2006/relationships/hyperlink" Target="https://drive.google.com/open?id=1iVkSQSBjmOTwcwHOwby5uNFv4DnbdDIe" TargetMode="External"/><Relationship Id="rId789" Type="http://schemas.openxmlformats.org/officeDocument/2006/relationships/hyperlink" Target="https://drive.google.com/open?id=11TQrYrPe6oUGnyPwWlqm_Xcz2EC11G4w" TargetMode="External"/><Relationship Id="rId304" Type="http://schemas.openxmlformats.org/officeDocument/2006/relationships/hyperlink" Target="https://drive.google.com/open?id=1LjYLaBwU3-UPk82rWTXqNq_bcPhxwa8D" TargetMode="External"/><Relationship Id="rId546" Type="http://schemas.openxmlformats.org/officeDocument/2006/relationships/hyperlink" Target="https://drive.google.com/open?id=1gd2jbM6OJq08gcJkSiJZeaCx_zW6PUe_" TargetMode="External"/><Relationship Id="rId788" Type="http://schemas.openxmlformats.org/officeDocument/2006/relationships/hyperlink" Target="https://drive.google.com/open?id=1IUBfUA1pM7j25eRUcs57v_jt967zALD8" TargetMode="External"/><Relationship Id="rId303" Type="http://schemas.openxmlformats.org/officeDocument/2006/relationships/hyperlink" Target="https://drive.google.com/open?id=1T8TkQooxXyb04-k13pFU6n4ZaqIF0stE" TargetMode="External"/><Relationship Id="rId545" Type="http://schemas.openxmlformats.org/officeDocument/2006/relationships/hyperlink" Target="https://drive.google.com/open?id=1chz2SsFYonkorZ27VTZ7DPXQUCFuDQkx" TargetMode="External"/><Relationship Id="rId787" Type="http://schemas.openxmlformats.org/officeDocument/2006/relationships/hyperlink" Target="https://drive.google.com/open?id=1OhCLvbYX6Wv0Po9UQUUDY_WoYwZIlL0-" TargetMode="External"/><Relationship Id="rId302" Type="http://schemas.openxmlformats.org/officeDocument/2006/relationships/hyperlink" Target="https://drive.google.com/open?id=13__Stje8Pu5gAHrAAWl4jlHUAXt_agiE" TargetMode="External"/><Relationship Id="rId544" Type="http://schemas.openxmlformats.org/officeDocument/2006/relationships/hyperlink" Target="https://drive.google.com/open?id=11WJA5MgdRE-G-luYqH7ZrRWAuT5C9pE-" TargetMode="External"/><Relationship Id="rId786" Type="http://schemas.openxmlformats.org/officeDocument/2006/relationships/hyperlink" Target="https://drive.google.com/open?id=1v2BPGliWQ5CrmPmZu2eI-9QsENbd1T9c" TargetMode="External"/><Relationship Id="rId309" Type="http://schemas.openxmlformats.org/officeDocument/2006/relationships/hyperlink" Target="https://drive.google.com/open?id=1wKra1PbcYKB156r1lUA2hZ8C30CoijAr" TargetMode="External"/><Relationship Id="rId308" Type="http://schemas.openxmlformats.org/officeDocument/2006/relationships/hyperlink" Target="https://drive.google.com/open?id=1dwQih1vkGjSk2RAuAfOpYaTxxqr7yE2z" TargetMode="External"/><Relationship Id="rId307" Type="http://schemas.openxmlformats.org/officeDocument/2006/relationships/hyperlink" Target="https://drive.google.com/open?id=1mZoFbnuOkJFXIuem6Ao3kiTykiUG3Yhm" TargetMode="External"/><Relationship Id="rId549" Type="http://schemas.openxmlformats.org/officeDocument/2006/relationships/hyperlink" Target="https://drive.google.com/open?id=1T4R_4nO0SSGgGgUBmcSrnT4W5zZxwR39" TargetMode="External"/><Relationship Id="rId306" Type="http://schemas.openxmlformats.org/officeDocument/2006/relationships/hyperlink" Target="https://drive.google.com/open?id=1UsbKdUXgL17IVRS4gUBXC8FiQglbZAnx" TargetMode="External"/><Relationship Id="rId548" Type="http://schemas.openxmlformats.org/officeDocument/2006/relationships/hyperlink" Target="https://drive.google.com/open?id=1pVH7F9EyKOxO5GY6Ba8KdKy1VYeyGYId" TargetMode="External"/><Relationship Id="rId781" Type="http://schemas.openxmlformats.org/officeDocument/2006/relationships/hyperlink" Target="https://drive.google.com/open?id=1uIWAKfu3XHZBXV8-NnRKovsTreaQ1q03" TargetMode="External"/><Relationship Id="rId780" Type="http://schemas.openxmlformats.org/officeDocument/2006/relationships/hyperlink" Target="https://drive.google.com/open?id=1igDkRYZF487mioPqY-rYfwlR6hUFonQY" TargetMode="External"/><Relationship Id="rId301" Type="http://schemas.openxmlformats.org/officeDocument/2006/relationships/hyperlink" Target="https://drive.google.com/open?id=1LO9UAkmjtOjQmwti76iF_BXlDmmPvwQ3" TargetMode="External"/><Relationship Id="rId543" Type="http://schemas.openxmlformats.org/officeDocument/2006/relationships/hyperlink" Target="https://drive.google.com/open?id=1HYRpz_5Z5vqWTmke8HLt_FxEadSfVU8W" TargetMode="External"/><Relationship Id="rId785" Type="http://schemas.openxmlformats.org/officeDocument/2006/relationships/hyperlink" Target="https://drive.google.com/open?id=1eZWNPLBwqVHSyyJ9tm3zvA_0MQwwlEXo" TargetMode="External"/><Relationship Id="rId300" Type="http://schemas.openxmlformats.org/officeDocument/2006/relationships/hyperlink" Target="https://drive.google.com/open?id=1I1kQUEB3C4bQdUj6TK-4_YAW4UhSRjsn" TargetMode="External"/><Relationship Id="rId542" Type="http://schemas.openxmlformats.org/officeDocument/2006/relationships/hyperlink" Target="https://drive.google.com/open?id=1qmeFEzFfS-Ltr1kEchZ-oSGyXxBRt2-a" TargetMode="External"/><Relationship Id="rId784" Type="http://schemas.openxmlformats.org/officeDocument/2006/relationships/hyperlink" Target="https://drive.google.com/open?id=1PtjaelqO_PX7PfnzEjcLQTiKEhVkAiJi" TargetMode="External"/><Relationship Id="rId541" Type="http://schemas.openxmlformats.org/officeDocument/2006/relationships/hyperlink" Target="https://drive.google.com/open?id=1jHtqkxagu9F5Iz0hPWfZ8r56rwdNPXmH" TargetMode="External"/><Relationship Id="rId783" Type="http://schemas.openxmlformats.org/officeDocument/2006/relationships/hyperlink" Target="https://drive.google.com/open?id=1TvAdZyWkeHjM-d8XPTodHw8bB_ivDdPA" TargetMode="External"/><Relationship Id="rId540" Type="http://schemas.openxmlformats.org/officeDocument/2006/relationships/hyperlink" Target="https://drive.google.com/open?id=12Mz8rKKF9k134NnzOmyTj5iP5rrf7Kot" TargetMode="External"/><Relationship Id="rId782" Type="http://schemas.openxmlformats.org/officeDocument/2006/relationships/hyperlink" Target="https://drive.google.com/open?id=1MhUv8M4llbI4k5amSrVMxXLcR27GFFIp" TargetMode="External"/><Relationship Id="rId536" Type="http://schemas.openxmlformats.org/officeDocument/2006/relationships/hyperlink" Target="https://drive.google.com/open?id=1hrmcQKGArk4R1cQkzU8a8lprcDM_S1l4" TargetMode="External"/><Relationship Id="rId778" Type="http://schemas.openxmlformats.org/officeDocument/2006/relationships/hyperlink" Target="https://drive.google.com/open?id=1vfRCWQAUnWQ7SpZ2-2gzBE1tzF5s6MK0" TargetMode="External"/><Relationship Id="rId535" Type="http://schemas.openxmlformats.org/officeDocument/2006/relationships/hyperlink" Target="https://drive.google.com/open?id=13DyiXGrJhBpXvNGGSzOtjzMhqzUJKpYL" TargetMode="External"/><Relationship Id="rId777" Type="http://schemas.openxmlformats.org/officeDocument/2006/relationships/hyperlink" Target="https://drive.google.com/open?id=1L6slNoCAxvKOsqX9fOKb71li9AwhGthy" TargetMode="External"/><Relationship Id="rId534" Type="http://schemas.openxmlformats.org/officeDocument/2006/relationships/hyperlink" Target="https://drive.google.com/open?id=17WwHukEWzgDdM_JBM4onztFo49z7Sjk-" TargetMode="External"/><Relationship Id="rId776" Type="http://schemas.openxmlformats.org/officeDocument/2006/relationships/hyperlink" Target="https://drive.google.com/open?id=1SAbuz8fZ40FTxNIHgKE2Obn3oqMK6QY2" TargetMode="External"/><Relationship Id="rId533" Type="http://schemas.openxmlformats.org/officeDocument/2006/relationships/hyperlink" Target="https://drive.google.com/open?id=15yd3xZhJSzZZ4VPbzhsV0fmlB8-zeAck" TargetMode="External"/><Relationship Id="rId775" Type="http://schemas.openxmlformats.org/officeDocument/2006/relationships/hyperlink" Target="https://drive.google.com/open?id=1wmnswQPDs1FqAqtyMrf3W9KP60Elgo0I" TargetMode="External"/><Relationship Id="rId539" Type="http://schemas.openxmlformats.org/officeDocument/2006/relationships/hyperlink" Target="https://drive.google.com/open?id=1OQP3k8nurzWeOmVSgx2o_KxhfL1VKhIm" TargetMode="External"/><Relationship Id="rId538" Type="http://schemas.openxmlformats.org/officeDocument/2006/relationships/hyperlink" Target="https://drive.google.com/open?id=1dof8Mpx_R459xDEzVTutlXhGPNvhUDrp" TargetMode="External"/><Relationship Id="rId537" Type="http://schemas.openxmlformats.org/officeDocument/2006/relationships/hyperlink" Target="https://drive.google.com/open?id=1lLc0jdMFVTRRzrhzGPfRKUzGB2WdhQZe" TargetMode="External"/><Relationship Id="rId779" Type="http://schemas.openxmlformats.org/officeDocument/2006/relationships/hyperlink" Target="https://drive.google.com/open?id=1jS3LNMsjyKiSIDNaHr3Qf1YALyXBBwts" TargetMode="External"/><Relationship Id="rId770" Type="http://schemas.openxmlformats.org/officeDocument/2006/relationships/hyperlink" Target="https://drive.google.com/open?id=1YG3VNVJ6NHaJMP-HRvub2zo97zE-Ld--" TargetMode="External"/><Relationship Id="rId532" Type="http://schemas.openxmlformats.org/officeDocument/2006/relationships/hyperlink" Target="https://drive.google.com/open?id=1AqcRwDtGnZc1NdACYm9efC1nkWe6zcL6" TargetMode="External"/><Relationship Id="rId774" Type="http://schemas.openxmlformats.org/officeDocument/2006/relationships/hyperlink" Target="https://drive.google.com/open?id=1k9UHo-pNxckbzQZXERDxx9CjVaojwJCG" TargetMode="External"/><Relationship Id="rId531" Type="http://schemas.openxmlformats.org/officeDocument/2006/relationships/hyperlink" Target="https://drive.google.com/open?id=1gXpKlbezFrlGrKGMRt6-CunVEMEEx5Eu" TargetMode="External"/><Relationship Id="rId773" Type="http://schemas.openxmlformats.org/officeDocument/2006/relationships/hyperlink" Target="https://drive.google.com/open?id=1VkzI8G0yG-tw--Rvc9bhBIT5w3l8_Lk6" TargetMode="External"/><Relationship Id="rId530" Type="http://schemas.openxmlformats.org/officeDocument/2006/relationships/hyperlink" Target="https://drive.google.com/open?id=1wtarmSWR8J1W4sGNqG3VALzHXMQla6Xw" TargetMode="External"/><Relationship Id="rId772" Type="http://schemas.openxmlformats.org/officeDocument/2006/relationships/hyperlink" Target="https://drive.google.com/open?id=1xZRLebiMbhemUoGzaEH4IyBDk_hSsLO8" TargetMode="External"/><Relationship Id="rId771" Type="http://schemas.openxmlformats.org/officeDocument/2006/relationships/hyperlink" Target="https://drive.google.com/open?id=11lZm4F3WmfGDpy6RGKxqvtjwMKaoPy98" TargetMode="External"/><Relationship Id="rId327" Type="http://schemas.openxmlformats.org/officeDocument/2006/relationships/hyperlink" Target="https://drive.google.com/open?id=1U66sjdWSfvv7yJqhjqKElAPVU72ONHkd" TargetMode="External"/><Relationship Id="rId569" Type="http://schemas.openxmlformats.org/officeDocument/2006/relationships/hyperlink" Target="https://drive.google.com/open?id=1mEtoWy0JwPxeyePEjCh_WLI5AEKtdlZk" TargetMode="External"/><Relationship Id="rId326" Type="http://schemas.openxmlformats.org/officeDocument/2006/relationships/hyperlink" Target="https://drive.google.com/open?id=1yktHx5DHjcS_UQFjqq_4Omp5wPIXAk55" TargetMode="External"/><Relationship Id="rId568" Type="http://schemas.openxmlformats.org/officeDocument/2006/relationships/hyperlink" Target="https://drive.google.com/open?id=1gE8HCWbAwh57X943x3ATJ2n6ugjbYrAR" TargetMode="External"/><Relationship Id="rId325" Type="http://schemas.openxmlformats.org/officeDocument/2006/relationships/hyperlink" Target="https://drive.google.com/open?id=15srtteouHCx5dwDK-XmkOdpEBTxysCVg" TargetMode="External"/><Relationship Id="rId567" Type="http://schemas.openxmlformats.org/officeDocument/2006/relationships/hyperlink" Target="https://drive.google.com/open?id=1NvAxQbzyPqrtQTEFCOgiky6J8C7BrRcq" TargetMode="External"/><Relationship Id="rId324" Type="http://schemas.openxmlformats.org/officeDocument/2006/relationships/hyperlink" Target="https://drive.google.com/open?id=1qgmFmS2LViLXUC7zz34nW0U5sSug9oL7" TargetMode="External"/><Relationship Id="rId566" Type="http://schemas.openxmlformats.org/officeDocument/2006/relationships/hyperlink" Target="https://drive.google.com/open?id=1AYcpmHFs7EnHowK2IhbfsN5MhcAAD9sO" TargetMode="External"/><Relationship Id="rId329" Type="http://schemas.openxmlformats.org/officeDocument/2006/relationships/hyperlink" Target="https://drive.google.com/open?id=1O2zQXxjyfgA-372Jn-ud5058avraqHd4" TargetMode="External"/><Relationship Id="rId328" Type="http://schemas.openxmlformats.org/officeDocument/2006/relationships/hyperlink" Target="https://drive.google.com/open?id=10gPpXCkO6lhxZ206qFokL-uWFIx4Xo3C" TargetMode="External"/><Relationship Id="rId561" Type="http://schemas.openxmlformats.org/officeDocument/2006/relationships/hyperlink" Target="https://drive.google.com/open?id=1T7hT6QQMvkCADEhzM4ZBVWhKOmWO2-c4" TargetMode="External"/><Relationship Id="rId560" Type="http://schemas.openxmlformats.org/officeDocument/2006/relationships/hyperlink" Target="https://drive.google.com/open?id=1UbaauTpc2yMMVHuUKIyAWN2TXpM3VOu8" TargetMode="External"/><Relationship Id="rId323" Type="http://schemas.openxmlformats.org/officeDocument/2006/relationships/hyperlink" Target="https://drive.google.com/open?id=1W5GII29EDm3EDdkdv-ZaRr7pRbgI9UzJ" TargetMode="External"/><Relationship Id="rId565" Type="http://schemas.openxmlformats.org/officeDocument/2006/relationships/hyperlink" Target="https://drive.google.com/open?id=1JRKYseVIeUdmkEPKzKVZ4TCvv4nAbkMC" TargetMode="External"/><Relationship Id="rId322" Type="http://schemas.openxmlformats.org/officeDocument/2006/relationships/hyperlink" Target="https://drive.google.com/open?id=1MlrYcFLSpY53UelXtYpDzrQv4qiXK_uv" TargetMode="External"/><Relationship Id="rId564" Type="http://schemas.openxmlformats.org/officeDocument/2006/relationships/hyperlink" Target="https://drive.google.com/open?id=1SIRFiwQZpnXuky474YCZ0xfXhNWy2gGb" TargetMode="External"/><Relationship Id="rId321" Type="http://schemas.openxmlformats.org/officeDocument/2006/relationships/hyperlink" Target="https://drive.google.com/open?id=1keOLeek6HySUfP-g5bE7lRXy0qE7L5nX" TargetMode="External"/><Relationship Id="rId563" Type="http://schemas.openxmlformats.org/officeDocument/2006/relationships/hyperlink" Target="https://drive.google.com/open?id=11B7iM0DoOf_WBh2Z6KvFEVUTi_nBXqiM" TargetMode="External"/><Relationship Id="rId320" Type="http://schemas.openxmlformats.org/officeDocument/2006/relationships/hyperlink" Target="https://drive.google.com/open?id=1PS6pM4jccmqQYXP6QxefnKj2xXhmViRn" TargetMode="External"/><Relationship Id="rId562" Type="http://schemas.openxmlformats.org/officeDocument/2006/relationships/hyperlink" Target="https://drive.google.com/open?id=1lgLCrycrIKf5YFSnyxLo8zXvS0igNXRD" TargetMode="External"/><Relationship Id="rId316" Type="http://schemas.openxmlformats.org/officeDocument/2006/relationships/hyperlink" Target="https://drive.google.com/open?id=1Ouz4hQ4IhAfwXZivVg-7wSgQID72hWs0" TargetMode="External"/><Relationship Id="rId558" Type="http://schemas.openxmlformats.org/officeDocument/2006/relationships/hyperlink" Target="https://drive.google.com/open?id=1tMIbOiqwD2MaRVYGM-HEO2WkPd1Copt5" TargetMode="External"/><Relationship Id="rId315" Type="http://schemas.openxmlformats.org/officeDocument/2006/relationships/hyperlink" Target="https://drive.google.com/open?id=17MTqP5rXNYq-iVdG_81n1eeiI9ms-mXj" TargetMode="External"/><Relationship Id="rId557" Type="http://schemas.openxmlformats.org/officeDocument/2006/relationships/hyperlink" Target="https://drive.google.com/open?id=1k6Cnz73thqNU3xR_GV95hmK4vYrGb4bC" TargetMode="External"/><Relationship Id="rId799" Type="http://schemas.openxmlformats.org/officeDocument/2006/relationships/hyperlink" Target="https://drive.google.com/open?id=1biaKIItxqoU-6EmqPYa245Wyi9penS6J" TargetMode="External"/><Relationship Id="rId314" Type="http://schemas.openxmlformats.org/officeDocument/2006/relationships/hyperlink" Target="https://drive.google.com/open?id=1LGoKCnzUwiZf3oUVwSDCsY63peVzSbAN" TargetMode="External"/><Relationship Id="rId556" Type="http://schemas.openxmlformats.org/officeDocument/2006/relationships/hyperlink" Target="https://drive.google.com/open?id=1s5KFtIbkrZGviWC4Ef_eCxoA0MDDIa3W" TargetMode="External"/><Relationship Id="rId798" Type="http://schemas.openxmlformats.org/officeDocument/2006/relationships/hyperlink" Target="https://drive.google.com/open?id=1B_mz2EhiQZalKblLe7zS1GlAA0qzy-vX" TargetMode="External"/><Relationship Id="rId313" Type="http://schemas.openxmlformats.org/officeDocument/2006/relationships/hyperlink" Target="https://drive.google.com/open?id=1GfvxMFQSit5BDmlkrs5gEyko8wVep522" TargetMode="External"/><Relationship Id="rId555" Type="http://schemas.openxmlformats.org/officeDocument/2006/relationships/hyperlink" Target="https://drive.google.com/open?id=1Q-AyoWZ8d47vmCUi-BQe-zGZzhNMhqb8" TargetMode="External"/><Relationship Id="rId797" Type="http://schemas.openxmlformats.org/officeDocument/2006/relationships/hyperlink" Target="https://drive.google.com/open?id=1tv39nKk4GkNkACZufEOwqAzHTqVxymTM" TargetMode="External"/><Relationship Id="rId319" Type="http://schemas.openxmlformats.org/officeDocument/2006/relationships/hyperlink" Target="https://drive.google.com/open?id=133If3L9T6ppN7Kjr63r248ccf6hxB8Gs" TargetMode="External"/><Relationship Id="rId318" Type="http://schemas.openxmlformats.org/officeDocument/2006/relationships/hyperlink" Target="https://drive.google.com/open?id=1bKpyzdhuXVTeRI-mSrv0o7IBgT_k3QVb" TargetMode="External"/><Relationship Id="rId317" Type="http://schemas.openxmlformats.org/officeDocument/2006/relationships/hyperlink" Target="https://drive.google.com/open?id=1Cv9d_Tg_uB867z5fha4EE09KVqyb4Twg" TargetMode="External"/><Relationship Id="rId559" Type="http://schemas.openxmlformats.org/officeDocument/2006/relationships/hyperlink" Target="https://drive.google.com/open?id=1k-Jiim_DnwEw-DpkJ6zwNXCxXiBSHIvM" TargetMode="External"/><Relationship Id="rId550" Type="http://schemas.openxmlformats.org/officeDocument/2006/relationships/hyperlink" Target="https://drive.google.com/open?id=13DZAIth04gsW_fj0JO3AbZNsywwybrtX" TargetMode="External"/><Relationship Id="rId792" Type="http://schemas.openxmlformats.org/officeDocument/2006/relationships/hyperlink" Target="https://drive.google.com/open?id=1TKQQzUP1sGpgTJQQst8F1Xkk313FQIQW" TargetMode="External"/><Relationship Id="rId791" Type="http://schemas.openxmlformats.org/officeDocument/2006/relationships/hyperlink" Target="https://drive.google.com/open?id=1rl9-gCZk5C6urI-3RaH71GySv-UGrWt6" TargetMode="External"/><Relationship Id="rId790" Type="http://schemas.openxmlformats.org/officeDocument/2006/relationships/hyperlink" Target="https://drive.google.com/open?id=1ayNu6LIQJ_ZbGPWb2gS5AHNsSDvq96Tx" TargetMode="External"/><Relationship Id="rId312" Type="http://schemas.openxmlformats.org/officeDocument/2006/relationships/hyperlink" Target="https://drive.google.com/open?id=17h3J16fSHk29p8LNkVIzfzNU7ZbR0ZA9" TargetMode="External"/><Relationship Id="rId554" Type="http://schemas.openxmlformats.org/officeDocument/2006/relationships/hyperlink" Target="https://drive.google.com/open?id=14GHHEvOWQ9FOe1QyDGY8HqnNww_AANXq" TargetMode="External"/><Relationship Id="rId796" Type="http://schemas.openxmlformats.org/officeDocument/2006/relationships/hyperlink" Target="https://drive.google.com/open?id=1IRohSBATUSOazjxqMSVqPuwInUW_hhY4" TargetMode="External"/><Relationship Id="rId311" Type="http://schemas.openxmlformats.org/officeDocument/2006/relationships/hyperlink" Target="https://drive.google.com/open?id=1JuRaaHbN6LSSU4hrmSPmCXnus9Uc2ciK" TargetMode="External"/><Relationship Id="rId553" Type="http://schemas.openxmlformats.org/officeDocument/2006/relationships/hyperlink" Target="https://drive.google.com/open?id=1zun9GB14jvIohQ9QuwV98f8hcXyY9LHe" TargetMode="External"/><Relationship Id="rId795" Type="http://schemas.openxmlformats.org/officeDocument/2006/relationships/hyperlink" Target="https://drive.google.com/open?id=1Gq3MRq7WmBYuplInydlHo7SsyHBzvInE" TargetMode="External"/><Relationship Id="rId310" Type="http://schemas.openxmlformats.org/officeDocument/2006/relationships/hyperlink" Target="https://drive.google.com/open?id=1EYMb1ifSadC1ePmc3Qw_p7Atz5zHFqTc" TargetMode="External"/><Relationship Id="rId552" Type="http://schemas.openxmlformats.org/officeDocument/2006/relationships/hyperlink" Target="https://drive.google.com/open?id=1uKsCY1YdK0Oj5Xb5fXQ80GFt_N2k-gYi" TargetMode="External"/><Relationship Id="rId794" Type="http://schemas.openxmlformats.org/officeDocument/2006/relationships/hyperlink" Target="https://drive.google.com/open?id=1lYVHaMu8mnQheVT1oTEQNI3CRKZnfSS7" TargetMode="External"/><Relationship Id="rId551" Type="http://schemas.openxmlformats.org/officeDocument/2006/relationships/hyperlink" Target="https://drive.google.com/open?id=1lucDKOqu20reC-AwG2nkAcueP50bO7oh" TargetMode="External"/><Relationship Id="rId793" Type="http://schemas.openxmlformats.org/officeDocument/2006/relationships/hyperlink" Target="https://drive.google.com/open?id=12pfOT1zUanxrB5lEFqAp9XFZL56pysBz" TargetMode="External"/><Relationship Id="rId297" Type="http://schemas.openxmlformats.org/officeDocument/2006/relationships/hyperlink" Target="https://drive.google.com/open?id=1DvIeolr_Shuky7vy4kJ34WwvXBUlQ1RC" TargetMode="External"/><Relationship Id="rId296" Type="http://schemas.openxmlformats.org/officeDocument/2006/relationships/hyperlink" Target="https://drive.google.com/open?id=1efblGorH7tiXBxixMkB39IEUPMVai7rZ" TargetMode="External"/><Relationship Id="rId295" Type="http://schemas.openxmlformats.org/officeDocument/2006/relationships/hyperlink" Target="https://drive.google.com/open?id=1aJbaeIyG-bJlKQTlBsWPL99wtySCUFPh" TargetMode="External"/><Relationship Id="rId294" Type="http://schemas.openxmlformats.org/officeDocument/2006/relationships/hyperlink" Target="https://drive.google.com/open?id=1b1c-BaqL18M482KUpdaYDXYjpiZUc-Sx" TargetMode="External"/><Relationship Id="rId299" Type="http://schemas.openxmlformats.org/officeDocument/2006/relationships/hyperlink" Target="https://drive.google.com/open?id=1ZplZEDHRfAnMsdkzU1Syl5AptPo-6BSA" TargetMode="External"/><Relationship Id="rId298" Type="http://schemas.openxmlformats.org/officeDocument/2006/relationships/hyperlink" Target="https://drive.google.com/open?id=1JeEq7VS_Ci3jI5WFGuSTun6-WIDiAHlL" TargetMode="External"/><Relationship Id="rId271" Type="http://schemas.openxmlformats.org/officeDocument/2006/relationships/hyperlink" Target="https://drive.google.com/open?id=1NVUgnMIO0-HmP5QRbiYk_eYxURfDRD2i" TargetMode="External"/><Relationship Id="rId270" Type="http://schemas.openxmlformats.org/officeDocument/2006/relationships/hyperlink" Target="https://drive.google.com/open?id=1zdLETjcCBLFmbzdVJgIt7s_3_LJQNcdC" TargetMode="External"/><Relationship Id="rId269" Type="http://schemas.openxmlformats.org/officeDocument/2006/relationships/hyperlink" Target="https://drive.google.com/open?id=10LAqwvJwPX56-9yunjvpZMxxAKV4-7SC" TargetMode="External"/><Relationship Id="rId264" Type="http://schemas.openxmlformats.org/officeDocument/2006/relationships/hyperlink" Target="https://drive.google.com/open?id=11GB1dnPOUKbUvxJgiCxsLVbf6x8vpgK8" TargetMode="External"/><Relationship Id="rId263" Type="http://schemas.openxmlformats.org/officeDocument/2006/relationships/hyperlink" Target="https://drive.google.com/open?id=1kxDu2PBXAbeuwvYftAAbJhi12CIZUmOQ" TargetMode="External"/><Relationship Id="rId262" Type="http://schemas.openxmlformats.org/officeDocument/2006/relationships/hyperlink" Target="https://drive.google.com/open?id=17ZDtADIMrwGGmFZO_xDzuZDArsjr2ptN" TargetMode="External"/><Relationship Id="rId261" Type="http://schemas.openxmlformats.org/officeDocument/2006/relationships/hyperlink" Target="https://drive.google.com/open?id=1Zn6xUloduJ1IPT_slTMZqvyxgNIRN98S" TargetMode="External"/><Relationship Id="rId268" Type="http://schemas.openxmlformats.org/officeDocument/2006/relationships/hyperlink" Target="https://drive.google.com/open?id=1DO3wcfM-sgjcLRy2khF1MxWTGNGRJDCe" TargetMode="External"/><Relationship Id="rId267" Type="http://schemas.openxmlformats.org/officeDocument/2006/relationships/hyperlink" Target="https://drive.google.com/open?id=17Nu__N0C9w36N_y2URHVntilUHNbm5co" TargetMode="External"/><Relationship Id="rId266" Type="http://schemas.openxmlformats.org/officeDocument/2006/relationships/hyperlink" Target="https://drive.google.com/open?id=1XuDOykmp48lZ1aYYu5FIQggpVDNXeUiZ" TargetMode="External"/><Relationship Id="rId265" Type="http://schemas.openxmlformats.org/officeDocument/2006/relationships/hyperlink" Target="https://drive.google.com/open?id=1eXe2rSGu4UEqq-4VMUbvy3HTzXsNKZPv" TargetMode="External"/><Relationship Id="rId260" Type="http://schemas.openxmlformats.org/officeDocument/2006/relationships/hyperlink" Target="https://drive.google.com/open?id=1xV2bF6vM3-QO23NIMTZzSwhiqGO5IBZw" TargetMode="External"/><Relationship Id="rId259" Type="http://schemas.openxmlformats.org/officeDocument/2006/relationships/hyperlink" Target="https://drive.google.com/open?id=1Q342O0e23c3_EQjWplPN8G6joZ1gxIpP" TargetMode="External"/><Relationship Id="rId258" Type="http://schemas.openxmlformats.org/officeDocument/2006/relationships/hyperlink" Target="https://drive.google.com/open?id=1IWRIcftjvKUQ6a4IFHNVTuxpleEqxO4Q" TargetMode="External"/><Relationship Id="rId253" Type="http://schemas.openxmlformats.org/officeDocument/2006/relationships/hyperlink" Target="https://drive.google.com/open?id=1VZzWGDWxwBAVQgruC0Vnxe6fWuP3MWEC" TargetMode="External"/><Relationship Id="rId495" Type="http://schemas.openxmlformats.org/officeDocument/2006/relationships/hyperlink" Target="https://drive.google.com/open?id=1Wi2lIk4kE3y9xz8QF11R5aqf_kkpINlY" TargetMode="External"/><Relationship Id="rId252" Type="http://schemas.openxmlformats.org/officeDocument/2006/relationships/hyperlink" Target="https://drive.google.com/open?id=1Sf4a-qVF6i63IMeGgBomYm_atN9f5n0g" TargetMode="External"/><Relationship Id="rId494" Type="http://schemas.openxmlformats.org/officeDocument/2006/relationships/hyperlink" Target="https://drive.google.com/open?id=18jecDp6fFp2gpsIKLdks9wDhjSJQnAgW" TargetMode="External"/><Relationship Id="rId251" Type="http://schemas.openxmlformats.org/officeDocument/2006/relationships/hyperlink" Target="https://drive.google.com/open?id=179RRTqXbEC9UUM_TmbuyKXiq9soeqoSR" TargetMode="External"/><Relationship Id="rId493" Type="http://schemas.openxmlformats.org/officeDocument/2006/relationships/hyperlink" Target="https://drive.google.com/open?id=1yE4QCgobRhxgqNCQ9txvmHMCnV8RwqLX" TargetMode="External"/><Relationship Id="rId250" Type="http://schemas.openxmlformats.org/officeDocument/2006/relationships/hyperlink" Target="https://drive.google.com/open?id=14ymV1sPMYp2LBSyIF-3pnzhzmnZ9zY2i" TargetMode="External"/><Relationship Id="rId492" Type="http://schemas.openxmlformats.org/officeDocument/2006/relationships/hyperlink" Target="https://drive.google.com/open?id=1E-tEiIPMwbGCJjaAxa1S6mSgQX84WFse" TargetMode="External"/><Relationship Id="rId257" Type="http://schemas.openxmlformats.org/officeDocument/2006/relationships/hyperlink" Target="https://drive.google.com/open?id=1HrS5J5VYjy89T-vSQgAWmkvS1YQ1SDNL" TargetMode="External"/><Relationship Id="rId499" Type="http://schemas.openxmlformats.org/officeDocument/2006/relationships/hyperlink" Target="https://drive.google.com/open?id=1-vk_Rr4RCFkLi1qyCcr71CZQFj15svBE" TargetMode="External"/><Relationship Id="rId256" Type="http://schemas.openxmlformats.org/officeDocument/2006/relationships/hyperlink" Target="https://drive.google.com/open?id=1El9pz-ASU0Xo8lvEpD6nA1YzoBFe06M6" TargetMode="External"/><Relationship Id="rId498" Type="http://schemas.openxmlformats.org/officeDocument/2006/relationships/hyperlink" Target="https://drive.google.com/open?id=14YrLWPJKEzmEQzEXy80NUYnCcjHZFSVI" TargetMode="External"/><Relationship Id="rId255" Type="http://schemas.openxmlformats.org/officeDocument/2006/relationships/hyperlink" Target="https://drive.google.com/open?id=1mLPv2qdOdzrHInSeBuZBwHXUMAkyq1bp" TargetMode="External"/><Relationship Id="rId497" Type="http://schemas.openxmlformats.org/officeDocument/2006/relationships/hyperlink" Target="https://drive.google.com/open?id=1h_0RA6-jJt6SryJtK7bLDvDSPd0JQeLk" TargetMode="External"/><Relationship Id="rId254" Type="http://schemas.openxmlformats.org/officeDocument/2006/relationships/hyperlink" Target="https://drive.google.com/open?id=1A_skjByTxLVK6bx6RVL8g1m5KRFhb2yg" TargetMode="External"/><Relationship Id="rId496" Type="http://schemas.openxmlformats.org/officeDocument/2006/relationships/hyperlink" Target="https://drive.google.com/open?id=1kzOXTSuOQ-mDNE13f47J5XS4f7ZUAcVb" TargetMode="External"/><Relationship Id="rId293" Type="http://schemas.openxmlformats.org/officeDocument/2006/relationships/hyperlink" Target="https://drive.google.com/open?id=1xuSakarCjWm13qjJtvu8aJeuSuUPadvQ" TargetMode="External"/><Relationship Id="rId292" Type="http://schemas.openxmlformats.org/officeDocument/2006/relationships/hyperlink" Target="https://drive.google.com/open?id=1Oo62uxSWh50Q__f59mUKaFHTDNdSUUkN" TargetMode="External"/><Relationship Id="rId291" Type="http://schemas.openxmlformats.org/officeDocument/2006/relationships/hyperlink" Target="https://drive.google.com/open?id=1mRSGgBfYLRGDtGY8TrpSR54r57eptKDk" TargetMode="External"/><Relationship Id="rId290" Type="http://schemas.openxmlformats.org/officeDocument/2006/relationships/hyperlink" Target="https://drive.google.com/open?id=1s88wIDjxy9btarGXqN9NfDFkm867PO3H" TargetMode="External"/><Relationship Id="rId286" Type="http://schemas.openxmlformats.org/officeDocument/2006/relationships/hyperlink" Target="https://drive.google.com/open?id=10jA6klQGWDarw4plP-uZYPXVUP1g1x7b" TargetMode="External"/><Relationship Id="rId285" Type="http://schemas.openxmlformats.org/officeDocument/2006/relationships/hyperlink" Target="https://drive.google.com/open?id=1-usVkQZ45z7Q5q41TJ7KKxmjVPCn9p4G" TargetMode="External"/><Relationship Id="rId284" Type="http://schemas.openxmlformats.org/officeDocument/2006/relationships/hyperlink" Target="https://drive.google.com/open?id=1jLynHc3ul17ML9HwsX3zFZUgJ_YCROU6" TargetMode="External"/><Relationship Id="rId283" Type="http://schemas.openxmlformats.org/officeDocument/2006/relationships/hyperlink" Target="https://drive.google.com/open?id=1zIVIjQzmkuTLKDuUsMnO8GhvHxnHB1qL" TargetMode="External"/><Relationship Id="rId289" Type="http://schemas.openxmlformats.org/officeDocument/2006/relationships/hyperlink" Target="https://drive.google.com/open?id=1NnC6uef-3w-jK0lx7z8SLdUsv1wSGHri" TargetMode="External"/><Relationship Id="rId288" Type="http://schemas.openxmlformats.org/officeDocument/2006/relationships/hyperlink" Target="https://drive.google.com/open?id=1RQ5JEL_eShM96QboNoO8BL9e5oHQe5v3" TargetMode="External"/><Relationship Id="rId287" Type="http://schemas.openxmlformats.org/officeDocument/2006/relationships/hyperlink" Target="https://drive.google.com/open?id=1R1zXovLWqUI5xbquUqr0GoYdzeXytRVX" TargetMode="External"/><Relationship Id="rId282" Type="http://schemas.openxmlformats.org/officeDocument/2006/relationships/hyperlink" Target="https://drive.google.com/open?id=1tnXS-CIKH493aI347WZu-1GUxuk0emuv" TargetMode="External"/><Relationship Id="rId281" Type="http://schemas.openxmlformats.org/officeDocument/2006/relationships/hyperlink" Target="https://drive.google.com/open?id=1yBOA6eg5AswMp04ome663-ImIlMoLRPv" TargetMode="External"/><Relationship Id="rId280" Type="http://schemas.openxmlformats.org/officeDocument/2006/relationships/hyperlink" Target="https://drive.google.com/open?id=1YcManyj0d24nyPM82lTz0ZYJ5n7tuzE3" TargetMode="External"/><Relationship Id="rId275" Type="http://schemas.openxmlformats.org/officeDocument/2006/relationships/hyperlink" Target="https://drive.google.com/open?id=1kQhF9s82SEOxje_tJsnPEvRIGf9EksQI" TargetMode="External"/><Relationship Id="rId274" Type="http://schemas.openxmlformats.org/officeDocument/2006/relationships/hyperlink" Target="https://drive.google.com/open?id=1G5e5QHX9j543EGFaOeTl4iiQpgI-yPWk" TargetMode="External"/><Relationship Id="rId273" Type="http://schemas.openxmlformats.org/officeDocument/2006/relationships/hyperlink" Target="https://drive.google.com/open?id=1EAGsw9diakoiWS9JPRY797EdZJbVsGv-" TargetMode="External"/><Relationship Id="rId272" Type="http://schemas.openxmlformats.org/officeDocument/2006/relationships/hyperlink" Target="https://drive.google.com/open?id=1qiB2oAqVqvRXU6aLyyc5sJAUcK9Qb9A_" TargetMode="External"/><Relationship Id="rId279" Type="http://schemas.openxmlformats.org/officeDocument/2006/relationships/hyperlink" Target="https://drive.google.com/open?id=1Wbd9y44ex_XGwDeH0KiwwigNTmmjW0RP" TargetMode="External"/><Relationship Id="rId278" Type="http://schemas.openxmlformats.org/officeDocument/2006/relationships/hyperlink" Target="https://drive.google.com/open?id=1HK9L5a06z7eeJtzdo17wmTrnSfls0iGY" TargetMode="External"/><Relationship Id="rId277" Type="http://schemas.openxmlformats.org/officeDocument/2006/relationships/hyperlink" Target="https://drive.google.com/open?id=1yPSFJeeGHyDqKgqLKfMvU795k1Ft2piG" TargetMode="External"/><Relationship Id="rId276" Type="http://schemas.openxmlformats.org/officeDocument/2006/relationships/hyperlink" Target="https://drive.google.com/open?id=1gA7Dlm7FcE2RFdbGAO1O6zs8nQFWVqvB" TargetMode="External"/><Relationship Id="rId907" Type="http://schemas.openxmlformats.org/officeDocument/2006/relationships/hyperlink" Target="https://drive.google.com/open?id=16KorU7aS0MbG_ZWJlGK4ZrevBhEvgiyk" TargetMode="External"/><Relationship Id="rId906" Type="http://schemas.openxmlformats.org/officeDocument/2006/relationships/hyperlink" Target="https://drive.google.com/open?id=1huy33XtUx5uD_t8uiYMcUHIZXJd3LkM1" TargetMode="External"/><Relationship Id="rId905" Type="http://schemas.openxmlformats.org/officeDocument/2006/relationships/hyperlink" Target="https://drive.google.com/open?id=1Fw3ei2GyMNMqvPdwHWvOIvXcuBxXoIP5" TargetMode="External"/><Relationship Id="rId904" Type="http://schemas.openxmlformats.org/officeDocument/2006/relationships/hyperlink" Target="https://drive.google.com/open?id=1B0zgr6qCoAEFcUYzYYiyh5UVCjeAQOxv" TargetMode="External"/><Relationship Id="rId909" Type="http://schemas.openxmlformats.org/officeDocument/2006/relationships/hyperlink" Target="https://drive.google.com/open?id=1wWBHyJKZH9IF6pAOaAYCCiaPomekHVEH" TargetMode="External"/><Relationship Id="rId908" Type="http://schemas.openxmlformats.org/officeDocument/2006/relationships/hyperlink" Target="https://drive.google.com/open?id=1adRgjon2dRDiaBxJ0B6vc7FGF3A1L4Is" TargetMode="External"/><Relationship Id="rId903" Type="http://schemas.openxmlformats.org/officeDocument/2006/relationships/hyperlink" Target="https://drive.google.com/open?id=1oFcL-ReofM18QbQP7mYKsxVUHLIaMGf9" TargetMode="External"/><Relationship Id="rId902" Type="http://schemas.openxmlformats.org/officeDocument/2006/relationships/hyperlink" Target="https://drive.google.com/open?id=1aZRL3Uuji0QIYqxeFnb3XejZqWcToXs_" TargetMode="External"/><Relationship Id="rId901" Type="http://schemas.openxmlformats.org/officeDocument/2006/relationships/hyperlink" Target="https://drive.google.com/open?id=1kiBnLo8QLtlL-ryhxD-yZjkF3iqgHC-Z" TargetMode="External"/><Relationship Id="rId900" Type="http://schemas.openxmlformats.org/officeDocument/2006/relationships/hyperlink" Target="https://drive.google.com/open?id=1W2Gl7u4m3fu_9YBmeCCHghE2D7QOdckh" TargetMode="External"/><Relationship Id="rId929" Type="http://schemas.openxmlformats.org/officeDocument/2006/relationships/hyperlink" Target="https://drive.google.com/open?id=1efYORzW7fp4sATe7M4F07ugTm1g4NjIs" TargetMode="External"/><Relationship Id="rId928" Type="http://schemas.openxmlformats.org/officeDocument/2006/relationships/hyperlink" Target="https://drive.google.com/open?id=1NuziYNio9ORXJ7YJrPaNsI7mwM2zZUv3" TargetMode="External"/><Relationship Id="rId927" Type="http://schemas.openxmlformats.org/officeDocument/2006/relationships/hyperlink" Target="https://drive.google.com/open?id=1DNHEoupwpcOU37mwe5-pB2aylmrZPg9n" TargetMode="External"/><Relationship Id="rId926" Type="http://schemas.openxmlformats.org/officeDocument/2006/relationships/hyperlink" Target="https://drive.google.com/open?id=1HamHiMGhmZB9kWOlLa91p0tzP6WkXWXW" TargetMode="External"/><Relationship Id="rId921" Type="http://schemas.openxmlformats.org/officeDocument/2006/relationships/hyperlink" Target="https://drive.google.com/open?id=1CXZBer0AXM6ZfGeiYx72PueBttN4eqZd" TargetMode="External"/><Relationship Id="rId920" Type="http://schemas.openxmlformats.org/officeDocument/2006/relationships/hyperlink" Target="https://drive.google.com/open?id=1CSj45kOH9_etv-aVGCelA0Opfs5mrOKw" TargetMode="External"/><Relationship Id="rId925" Type="http://schemas.openxmlformats.org/officeDocument/2006/relationships/hyperlink" Target="https://drive.google.com/open?id=1cjGPYSVWbKIUxvjIb5a8IPhZ2PJDpjOR" TargetMode="External"/><Relationship Id="rId924" Type="http://schemas.openxmlformats.org/officeDocument/2006/relationships/hyperlink" Target="https://drive.google.com/open?id=179jih2jQcC53zX6WTYsXn5dNv9BqFeuj" TargetMode="External"/><Relationship Id="rId923" Type="http://schemas.openxmlformats.org/officeDocument/2006/relationships/hyperlink" Target="https://drive.google.com/open?id=187yEWg3z-JLIALsduf9nUNxDUjPBN8e_" TargetMode="External"/><Relationship Id="rId922" Type="http://schemas.openxmlformats.org/officeDocument/2006/relationships/hyperlink" Target="https://drive.google.com/open?id=1b5NnLIYSGJyqzvUeOcd9WPIoLAoViSck" TargetMode="External"/><Relationship Id="rId918" Type="http://schemas.openxmlformats.org/officeDocument/2006/relationships/hyperlink" Target="https://drive.google.com/open?id=1RewAw6CTpmap1oGfMbV8WWpckVGGI65A" TargetMode="External"/><Relationship Id="rId917" Type="http://schemas.openxmlformats.org/officeDocument/2006/relationships/hyperlink" Target="https://drive.google.com/open?id=1gNQek6HTwnE_PmyutDmyG381DQ7KEz4x" TargetMode="External"/><Relationship Id="rId916" Type="http://schemas.openxmlformats.org/officeDocument/2006/relationships/hyperlink" Target="https://drive.google.com/open?id=1t5HzoK_AvRG9OrQ4HZZy0RoL62KwmR0p" TargetMode="External"/><Relationship Id="rId915" Type="http://schemas.openxmlformats.org/officeDocument/2006/relationships/hyperlink" Target="https://drive.google.com/open?id=1bZbQUY4ybe0X-qOVobhtd_eHH7iJEmE_" TargetMode="External"/><Relationship Id="rId919" Type="http://schemas.openxmlformats.org/officeDocument/2006/relationships/hyperlink" Target="https://drive.google.com/open?id=1dGV4BEIPC2-o4R6H1TxE0mhtZHofQ1eK" TargetMode="External"/><Relationship Id="rId910" Type="http://schemas.openxmlformats.org/officeDocument/2006/relationships/hyperlink" Target="https://drive.google.com/open?id=1kfw9PdJWHqxfPuL8UvV9bQBeDAWwEo74" TargetMode="External"/><Relationship Id="rId914" Type="http://schemas.openxmlformats.org/officeDocument/2006/relationships/hyperlink" Target="https://drive.google.com/open?id=1ZHSRqFRe7Avh5TpLJmAD7lvACvlXVLp5" TargetMode="External"/><Relationship Id="rId913" Type="http://schemas.openxmlformats.org/officeDocument/2006/relationships/hyperlink" Target="https://drive.google.com/open?id=1zIRXWN2Vby0edgzla8y2iEA1LmLH7diq" TargetMode="External"/><Relationship Id="rId912" Type="http://schemas.openxmlformats.org/officeDocument/2006/relationships/hyperlink" Target="https://drive.google.com/open?id=19SrU5Hp3YPX4wFnuxmyKiB3ZzdExAHpU" TargetMode="External"/><Relationship Id="rId911" Type="http://schemas.openxmlformats.org/officeDocument/2006/relationships/hyperlink" Target="https://drive.google.com/open?id=1XVQzMfNDZLIyKviYtop2pcn9MlLvf13M" TargetMode="External"/><Relationship Id="rId629" Type="http://schemas.openxmlformats.org/officeDocument/2006/relationships/hyperlink" Target="https://drive.google.com/open?id=1vfMihNuWAk3sUFYh2H_1vtRFgUSPe-lv" TargetMode="External"/><Relationship Id="rId624" Type="http://schemas.openxmlformats.org/officeDocument/2006/relationships/hyperlink" Target="https://drive.google.com/open?id=1oRZx6gJ7tzPIBczutlK3i1wcNmRhtBEL" TargetMode="External"/><Relationship Id="rId866" Type="http://schemas.openxmlformats.org/officeDocument/2006/relationships/hyperlink" Target="https://drive.google.com/open?id=1Admb-uTrj2nXbQeNwA0tpPH2lscdhhZm" TargetMode="External"/><Relationship Id="rId623" Type="http://schemas.openxmlformats.org/officeDocument/2006/relationships/hyperlink" Target="https://drive.google.com/open?id=1ZFw7qVu2KeY25UaJNcotAwrxQDedgJ6_" TargetMode="External"/><Relationship Id="rId865" Type="http://schemas.openxmlformats.org/officeDocument/2006/relationships/hyperlink" Target="https://drive.google.com/open?id=13saQ_SHvW-G-fblo8nNBwmQ5MT98z9Q7" TargetMode="External"/><Relationship Id="rId622" Type="http://schemas.openxmlformats.org/officeDocument/2006/relationships/hyperlink" Target="https://drive.google.com/open?id=1hEd1nywS14BzMHPSnv0gDVAGqD_x94pi" TargetMode="External"/><Relationship Id="rId864" Type="http://schemas.openxmlformats.org/officeDocument/2006/relationships/hyperlink" Target="https://drive.google.com/open?id=1QiiIJfAuvMdJyHkAFlZL0eC-zYRxFGvz" TargetMode="External"/><Relationship Id="rId621" Type="http://schemas.openxmlformats.org/officeDocument/2006/relationships/hyperlink" Target="https://drive.google.com/open?id=1DRBzeHEKB2b_HSEKaxT6p2kkepNuJP5M" TargetMode="External"/><Relationship Id="rId863" Type="http://schemas.openxmlformats.org/officeDocument/2006/relationships/hyperlink" Target="https://drive.google.com/open?id=1WxNiF5ntPEh4GNHyvdSZrbut62O2bfE2" TargetMode="External"/><Relationship Id="rId628" Type="http://schemas.openxmlformats.org/officeDocument/2006/relationships/hyperlink" Target="https://drive.google.com/open?id=12tGZnpSmUwVz84oq1SRKQGoXhTgjkB5P" TargetMode="External"/><Relationship Id="rId627" Type="http://schemas.openxmlformats.org/officeDocument/2006/relationships/hyperlink" Target="https://drive.google.com/open?id=163XEpihqgIUPJVla_yhGLiVboj2YpBhJ" TargetMode="External"/><Relationship Id="rId869" Type="http://schemas.openxmlformats.org/officeDocument/2006/relationships/hyperlink" Target="https://drive.google.com/open?id=1Hqe-vDs3NJ-02Eh-pebK0Zmb3RmsgOsm" TargetMode="External"/><Relationship Id="rId626" Type="http://schemas.openxmlformats.org/officeDocument/2006/relationships/hyperlink" Target="https://drive.google.com/open?id=1Ziwo2fhwDEjYnEvhQz7znkHBNGz3UEPD" TargetMode="External"/><Relationship Id="rId868" Type="http://schemas.openxmlformats.org/officeDocument/2006/relationships/hyperlink" Target="https://drive.google.com/open?id=1FPMXd_gP9yUG-ijHlWo3XAO3fYxYnwln" TargetMode="External"/><Relationship Id="rId625" Type="http://schemas.openxmlformats.org/officeDocument/2006/relationships/hyperlink" Target="https://drive.google.com/open?id=1KmyjKFVQGgytozZD3f4hY_z_i_NvKGe8" TargetMode="External"/><Relationship Id="rId867" Type="http://schemas.openxmlformats.org/officeDocument/2006/relationships/hyperlink" Target="https://drive.google.com/open?id=1ZYYiLTDds3ho91q8deFNn3ewsp5bfnir" TargetMode="External"/><Relationship Id="rId620" Type="http://schemas.openxmlformats.org/officeDocument/2006/relationships/hyperlink" Target="https://drive.google.com/open?id=1h4t1mHrjNj7GzkmhGiomzx7AvQNgk09x" TargetMode="External"/><Relationship Id="rId862" Type="http://schemas.openxmlformats.org/officeDocument/2006/relationships/hyperlink" Target="https://drive.google.com/open?id=1Nh_6HW5q1cjGXpBFCMFo5JvYXmgeEIU7" TargetMode="External"/><Relationship Id="rId861" Type="http://schemas.openxmlformats.org/officeDocument/2006/relationships/hyperlink" Target="https://drive.google.com/open?id=1aCfAsxkvpc562pT8NDj4IVrBD54oTkBg" TargetMode="External"/><Relationship Id="rId860" Type="http://schemas.openxmlformats.org/officeDocument/2006/relationships/hyperlink" Target="https://drive.google.com/open?id=1fF4-pjPuk8oMIxVHAO7jXSFmkdT1r8qD" TargetMode="External"/><Relationship Id="rId619" Type="http://schemas.openxmlformats.org/officeDocument/2006/relationships/hyperlink" Target="https://drive.google.com/open?id=1i4SdNl9aPEjAJTgN2MG-qTz_vXW9ztE7" TargetMode="External"/><Relationship Id="rId618" Type="http://schemas.openxmlformats.org/officeDocument/2006/relationships/hyperlink" Target="https://drive.google.com/open?id=16O5epzMmFWgNKb6zTlTDIWYtfrJPxq5p" TargetMode="External"/><Relationship Id="rId613" Type="http://schemas.openxmlformats.org/officeDocument/2006/relationships/hyperlink" Target="https://drive.google.com/open?id=1XmyfVhsAIpZ4f1y-Mgy8-9ARoUz5iIn6" TargetMode="External"/><Relationship Id="rId855" Type="http://schemas.openxmlformats.org/officeDocument/2006/relationships/hyperlink" Target="https://drive.google.com/open?id=1ew3Z9nXe24PPTrrCyhPU4FPSC-oDAGpD" TargetMode="External"/><Relationship Id="rId612" Type="http://schemas.openxmlformats.org/officeDocument/2006/relationships/hyperlink" Target="https://drive.google.com/open?id=1R8Q6OQIJ8XYDU4urdunBwmPuqrToLsGF" TargetMode="External"/><Relationship Id="rId854" Type="http://schemas.openxmlformats.org/officeDocument/2006/relationships/hyperlink" Target="https://drive.google.com/open?id=1IvziOGK8IyHne-5i_ci0ByJ0w13hQMtH" TargetMode="External"/><Relationship Id="rId611" Type="http://schemas.openxmlformats.org/officeDocument/2006/relationships/hyperlink" Target="https://drive.google.com/open?id=1DTzlkxkGZd25mKhusEGczoAbjFwQEB_y" TargetMode="External"/><Relationship Id="rId853" Type="http://schemas.openxmlformats.org/officeDocument/2006/relationships/hyperlink" Target="https://drive.google.com/open?id=1P1byOUm98WbrrXcWOnWAQgYPG3Q4O3fT" TargetMode="External"/><Relationship Id="rId610" Type="http://schemas.openxmlformats.org/officeDocument/2006/relationships/hyperlink" Target="https://drive.google.com/open?id=10Z0yJBQ6x1n6VfA8RHgdoMi_BVspb2TE" TargetMode="External"/><Relationship Id="rId852" Type="http://schemas.openxmlformats.org/officeDocument/2006/relationships/hyperlink" Target="https://drive.google.com/open?id=1j4t7lRs6gu9Y3Cn-0fXofbtTENBJ6c8V" TargetMode="External"/><Relationship Id="rId617" Type="http://schemas.openxmlformats.org/officeDocument/2006/relationships/hyperlink" Target="https://drive.google.com/open?id=1vbYlTPfNXsTi6zdIA8ORb_lQYdz-9nS9" TargetMode="External"/><Relationship Id="rId859" Type="http://schemas.openxmlformats.org/officeDocument/2006/relationships/hyperlink" Target="https://drive.google.com/open?id=1PxSBeb_XgEKeZu71DWmJ8vOCptp-NnFJ" TargetMode="External"/><Relationship Id="rId616" Type="http://schemas.openxmlformats.org/officeDocument/2006/relationships/hyperlink" Target="https://drive.google.com/open?id=1bAN1NjP2Xz1AW07EjFwWs_XjqYJA1uLK" TargetMode="External"/><Relationship Id="rId858" Type="http://schemas.openxmlformats.org/officeDocument/2006/relationships/hyperlink" Target="https://drive.google.com/open?id=1TcBMidQgHXoE4jonPQ74CcPV1vQ0yp6a" TargetMode="External"/><Relationship Id="rId615" Type="http://schemas.openxmlformats.org/officeDocument/2006/relationships/hyperlink" Target="https://drive.google.com/open?id=1OfH91D8orMbNbQ8BsYJJ6XoJklcdgZUP" TargetMode="External"/><Relationship Id="rId857" Type="http://schemas.openxmlformats.org/officeDocument/2006/relationships/hyperlink" Target="https://drive.google.com/open?id=1w0XOx-XdGPOlVALjMBQxeC2E1hMbA0gT" TargetMode="External"/><Relationship Id="rId614" Type="http://schemas.openxmlformats.org/officeDocument/2006/relationships/hyperlink" Target="https://drive.google.com/open?id=1piXvLCCkNJ83Nw8kRS67C03_FkBIDEty" TargetMode="External"/><Relationship Id="rId856" Type="http://schemas.openxmlformats.org/officeDocument/2006/relationships/hyperlink" Target="https://drive.google.com/open?id=1WIFSbQPmFQUFWC29YSt_rv4Cen_LszBT" TargetMode="External"/><Relationship Id="rId851" Type="http://schemas.openxmlformats.org/officeDocument/2006/relationships/hyperlink" Target="https://drive.google.com/open?id=1hNwg1sm2iqFiFtGZztnCMtTDQjy5bHi3" TargetMode="External"/><Relationship Id="rId850" Type="http://schemas.openxmlformats.org/officeDocument/2006/relationships/hyperlink" Target="https://drive.google.com/open?id=12NHJUnRuo5qzpQYt0ZSXk-JHYg3zG9_e" TargetMode="External"/><Relationship Id="rId409" Type="http://schemas.openxmlformats.org/officeDocument/2006/relationships/hyperlink" Target="https://drive.google.com/open?id=1DC1f9hVp-RhXlgtD9KdpAAz1LYcnHlkL" TargetMode="External"/><Relationship Id="rId404" Type="http://schemas.openxmlformats.org/officeDocument/2006/relationships/hyperlink" Target="https://drive.google.com/open?id=11ibag0hOaDzMV4CwE3_lJ1VUQOxPkZ3V" TargetMode="External"/><Relationship Id="rId646" Type="http://schemas.openxmlformats.org/officeDocument/2006/relationships/hyperlink" Target="https://drive.google.com/open?id=1msfzQ5KccDGkO097xJGRVXodsrrROZwU" TargetMode="External"/><Relationship Id="rId888" Type="http://schemas.openxmlformats.org/officeDocument/2006/relationships/hyperlink" Target="https://drive.google.com/open?id=1ikXBghz3VTdH0Nw9G3DF2KowBdwcvGsP" TargetMode="External"/><Relationship Id="rId403" Type="http://schemas.openxmlformats.org/officeDocument/2006/relationships/hyperlink" Target="https://drive.google.com/open?id=1ma50GjrsNe9VQMnzMyyT6_KZPzsGzkOk" TargetMode="External"/><Relationship Id="rId645" Type="http://schemas.openxmlformats.org/officeDocument/2006/relationships/hyperlink" Target="https://drive.google.com/open?id=1xNgINv9J72jnQy0Rw5QONCobHjKCg-xE" TargetMode="External"/><Relationship Id="rId887" Type="http://schemas.openxmlformats.org/officeDocument/2006/relationships/hyperlink" Target="https://drive.google.com/open?id=14HMTSDSXal9UnHTP2nfv22PSQqz5A3_w" TargetMode="External"/><Relationship Id="rId402" Type="http://schemas.openxmlformats.org/officeDocument/2006/relationships/hyperlink" Target="https://drive.google.com/open?id=1uCD04KFpQpoMoKbrvDVuDL3r1q8V22Sz" TargetMode="External"/><Relationship Id="rId644" Type="http://schemas.openxmlformats.org/officeDocument/2006/relationships/hyperlink" Target="https://drive.google.com/open?id=1J7pYNOSvYktaiOP8l3Hd2kACWHP_jdVK" TargetMode="External"/><Relationship Id="rId886" Type="http://schemas.openxmlformats.org/officeDocument/2006/relationships/hyperlink" Target="https://drive.google.com/open?id=1XFeTzB8gvp1TTbzKtQvq7xrHOJHc1Qhv" TargetMode="External"/><Relationship Id="rId401" Type="http://schemas.openxmlformats.org/officeDocument/2006/relationships/hyperlink" Target="https://drive.google.com/open?id=1L2s0SXy_Yn3w1JMN5YvsmdIoVtfg5pg-" TargetMode="External"/><Relationship Id="rId643" Type="http://schemas.openxmlformats.org/officeDocument/2006/relationships/hyperlink" Target="https://drive.google.com/file/d/1eqLsV6nLhsSNunKrWwlMXeYU6TK1ncLG/view?usp=drive_link" TargetMode="External"/><Relationship Id="rId885" Type="http://schemas.openxmlformats.org/officeDocument/2006/relationships/hyperlink" Target="https://drive.google.com/open?id=1CTUL11kVX4q-hcWyPD3qDCo_WHwQxdjZ" TargetMode="External"/><Relationship Id="rId408" Type="http://schemas.openxmlformats.org/officeDocument/2006/relationships/hyperlink" Target="https://drive.google.com/open?id=1R1OorkxYBo9QsPzXrrfmiHliC91X8-1W" TargetMode="External"/><Relationship Id="rId407" Type="http://schemas.openxmlformats.org/officeDocument/2006/relationships/hyperlink" Target="https://drive.google.com/open?id=1Vvmk2aEDU_TwCPcSph2GLtuyCX2hIvBr" TargetMode="External"/><Relationship Id="rId649" Type="http://schemas.openxmlformats.org/officeDocument/2006/relationships/hyperlink" Target="https://drive.google.com/open?id=1qFRk-b3s39RC3bUi3nIfdU5xAZldzuUD" TargetMode="External"/><Relationship Id="rId406" Type="http://schemas.openxmlformats.org/officeDocument/2006/relationships/hyperlink" Target="https://drive.google.com/open?id=1gU-Eh_fCBy39FVelF_G8bMJCkLnpE2_T" TargetMode="External"/><Relationship Id="rId648" Type="http://schemas.openxmlformats.org/officeDocument/2006/relationships/hyperlink" Target="https://drive.google.com/open?id=1PH5X5mmMJ175ssh_BAYzlhqjWNKgSsEG" TargetMode="External"/><Relationship Id="rId405" Type="http://schemas.openxmlformats.org/officeDocument/2006/relationships/hyperlink" Target="https://drive.google.com/open?id=16xgGAulrAcIgHGSI6ylISD_ScL6dBfgu" TargetMode="External"/><Relationship Id="rId647" Type="http://schemas.openxmlformats.org/officeDocument/2006/relationships/hyperlink" Target="https://drive.google.com/open?id=1Q2NoJGno51ja-0N7Dml-HnqLczmnv8Yc" TargetMode="External"/><Relationship Id="rId889" Type="http://schemas.openxmlformats.org/officeDocument/2006/relationships/hyperlink" Target="https://drive.google.com/open?id=1CJ5dPvpKF-IdMydcGaSF2KZ-TLWsqX4j" TargetMode="External"/><Relationship Id="rId880" Type="http://schemas.openxmlformats.org/officeDocument/2006/relationships/hyperlink" Target="https://drive.google.com/open?id=1NXiYEjA_GbaMCUDHRBJ6EKvMoht7sQjg" TargetMode="External"/><Relationship Id="rId400" Type="http://schemas.openxmlformats.org/officeDocument/2006/relationships/hyperlink" Target="https://drive.google.com/open?id=1NpsCIvN6eqVUsJafDa361rvEtpiPdofC" TargetMode="External"/><Relationship Id="rId642" Type="http://schemas.openxmlformats.org/officeDocument/2006/relationships/hyperlink" Target="https://drive.google.com/open?id=1KnQWgucq8Po6KmD6PUaFigSEpk8OOhd-" TargetMode="External"/><Relationship Id="rId884" Type="http://schemas.openxmlformats.org/officeDocument/2006/relationships/hyperlink" Target="https://drive.google.com/open?id=1wdcFyv-VSJuevnG5bOw5a2ntRMme_Wq2" TargetMode="External"/><Relationship Id="rId641" Type="http://schemas.openxmlformats.org/officeDocument/2006/relationships/hyperlink" Target="https://drive.google.com/open?id=1_okg4EzF8Ey8SJq9Xp_Smvu5aioLRohS" TargetMode="External"/><Relationship Id="rId883" Type="http://schemas.openxmlformats.org/officeDocument/2006/relationships/hyperlink" Target="https://drive.google.com/open?id=1ywZ18nXnTMEyQ95JDQaHbRH9IuQ6AjYw" TargetMode="External"/><Relationship Id="rId640" Type="http://schemas.openxmlformats.org/officeDocument/2006/relationships/hyperlink" Target="https://drive.google.com/open?id=1yXfCZlqZ-d2ID3Dq5oevVP0C2F1IJe54" TargetMode="External"/><Relationship Id="rId882" Type="http://schemas.openxmlformats.org/officeDocument/2006/relationships/hyperlink" Target="https://drive.google.com/open?id=1GyP6GNso64FQlanYovI75OdMszxR8AXG" TargetMode="External"/><Relationship Id="rId881" Type="http://schemas.openxmlformats.org/officeDocument/2006/relationships/hyperlink" Target="https://drive.google.com/open?id=1gbkPUOdmjzMtk9VMF_Vl4-Bluv6iFQVN" TargetMode="External"/><Relationship Id="rId635" Type="http://schemas.openxmlformats.org/officeDocument/2006/relationships/hyperlink" Target="https://drive.google.com/open?id=1bf1eQMQTBa9NesoknpAE0vsRjKJhWKbK" TargetMode="External"/><Relationship Id="rId877" Type="http://schemas.openxmlformats.org/officeDocument/2006/relationships/hyperlink" Target="https://drive.google.com/open?id=1VmJv6J2xxlhQAqaKeYlbsFlUoVOm81ap" TargetMode="External"/><Relationship Id="rId634" Type="http://schemas.openxmlformats.org/officeDocument/2006/relationships/hyperlink" Target="https://drive.google.com/open?id=1iuywpvcGYwPRyRXxVsFUIECJPzbJI5Wu" TargetMode="External"/><Relationship Id="rId876" Type="http://schemas.openxmlformats.org/officeDocument/2006/relationships/hyperlink" Target="https://drive.google.com/open?id=1QiDIuRTjevmO3pVi1ARJsC6GE5bDM1ed" TargetMode="External"/><Relationship Id="rId633" Type="http://schemas.openxmlformats.org/officeDocument/2006/relationships/hyperlink" Target="https://drive.google.com/open?id=1JMI8pPTSTy3zsneq77HtsYfOsNc48HqO" TargetMode="External"/><Relationship Id="rId875" Type="http://schemas.openxmlformats.org/officeDocument/2006/relationships/hyperlink" Target="https://drive.google.com/open?id=108PFeotJ6GYrdMe31FYxMFanOuFgHfea" TargetMode="External"/><Relationship Id="rId632" Type="http://schemas.openxmlformats.org/officeDocument/2006/relationships/hyperlink" Target="https://drive.google.com/open?id=1N-spcdJqUuuJXe_ywjpKlF4N1a1wSr6W" TargetMode="External"/><Relationship Id="rId874" Type="http://schemas.openxmlformats.org/officeDocument/2006/relationships/hyperlink" Target="https://drive.google.com/open?id=1PHJSSA--QWsoy_XFHo8cEuBRv9BTBbZ7" TargetMode="External"/><Relationship Id="rId639" Type="http://schemas.openxmlformats.org/officeDocument/2006/relationships/hyperlink" Target="https://drive.google.com/open?id=1S4uiFQgFsJj9w8RGwstmGuC8CRsvOzHK" TargetMode="External"/><Relationship Id="rId638" Type="http://schemas.openxmlformats.org/officeDocument/2006/relationships/hyperlink" Target="https://drive.google.com/open?id=1UJRCDRaXTfO55nDBvX8n7ywZ2el5Jm1X" TargetMode="External"/><Relationship Id="rId637" Type="http://schemas.openxmlformats.org/officeDocument/2006/relationships/hyperlink" Target="https://drive.google.com/open?id=1TvqaQXDaO7avbSdGatKWpo8S6BSq4nEh" TargetMode="External"/><Relationship Id="rId879" Type="http://schemas.openxmlformats.org/officeDocument/2006/relationships/hyperlink" Target="https://drive.google.com/open?id=1dRTxK6hbpH2bE8FsmTGV_W4qS1dBdFgB" TargetMode="External"/><Relationship Id="rId636" Type="http://schemas.openxmlformats.org/officeDocument/2006/relationships/hyperlink" Target="https://drive.google.com/open?id=1bnZGoFQoED8fTT0ClGJUXJn101vVT1VT" TargetMode="External"/><Relationship Id="rId878" Type="http://schemas.openxmlformats.org/officeDocument/2006/relationships/hyperlink" Target="https://drive.google.com/open?id=1IEiJFtBEJuIozskRq6GMQX0-7s1VLHD9" TargetMode="External"/><Relationship Id="rId631" Type="http://schemas.openxmlformats.org/officeDocument/2006/relationships/hyperlink" Target="https://drive.google.com/open?id=1HC_xxUsDqU_8V6unMuE5jpGDD1A9y_wg" TargetMode="External"/><Relationship Id="rId873" Type="http://schemas.openxmlformats.org/officeDocument/2006/relationships/hyperlink" Target="https://drive.google.com/open?id=1X-rlhAakQhB01N_Fhoo5G9ozbs8sMPQM" TargetMode="External"/><Relationship Id="rId630" Type="http://schemas.openxmlformats.org/officeDocument/2006/relationships/hyperlink" Target="https://drive.google.com/open?id=1V1VVHtS7C6YcUN9o7nr29LrDQkoEE3Yq" TargetMode="External"/><Relationship Id="rId872" Type="http://schemas.openxmlformats.org/officeDocument/2006/relationships/hyperlink" Target="https://drive.google.com/open?id=1zLo-5US06FzoF6DR4DG1fH0ElGlDHJ0N" TargetMode="External"/><Relationship Id="rId871" Type="http://schemas.openxmlformats.org/officeDocument/2006/relationships/hyperlink" Target="https://drive.google.com/open?id=1ZZCaF6sqZWzUDlb9wC6VmLcUBrwVg1Le" TargetMode="External"/><Relationship Id="rId870" Type="http://schemas.openxmlformats.org/officeDocument/2006/relationships/hyperlink" Target="https://drive.google.com/open?id=1d3W8GQhM1egMmxPxgh2qUcBD7_-5Wd7k" TargetMode="External"/><Relationship Id="rId829" Type="http://schemas.openxmlformats.org/officeDocument/2006/relationships/hyperlink" Target="https://drive.google.com/open?id=1HdJm4jlSlxxPs973a7HstMzMhc_zsp5G" TargetMode="External"/><Relationship Id="rId828" Type="http://schemas.openxmlformats.org/officeDocument/2006/relationships/hyperlink" Target="https://drive.google.com/open?id=11MPiRvuhjzKtHDzUOLTcZeLtoooYtKrv" TargetMode="External"/><Relationship Id="rId827" Type="http://schemas.openxmlformats.org/officeDocument/2006/relationships/hyperlink" Target="https://drive.google.com/open?id=1W46BRAgtoZITXndca1oMrPz6a87RgIWF" TargetMode="External"/><Relationship Id="rId822" Type="http://schemas.openxmlformats.org/officeDocument/2006/relationships/hyperlink" Target="https://drive.google.com/open?id=1gekZhL3-zWp5DK0FBBmXPlPA69Z36z2N" TargetMode="External"/><Relationship Id="rId821" Type="http://schemas.openxmlformats.org/officeDocument/2006/relationships/hyperlink" Target="https://drive.google.com/open?id=1Sc6XIRt5km-2i5pW7HPh7zhYENZguP0g" TargetMode="External"/><Relationship Id="rId820" Type="http://schemas.openxmlformats.org/officeDocument/2006/relationships/hyperlink" Target="https://drive.google.com/open?id=1nQ5YQVZFCsuVYEF6nflyIA84438k48NC" TargetMode="External"/><Relationship Id="rId826" Type="http://schemas.openxmlformats.org/officeDocument/2006/relationships/hyperlink" Target="https://drive.google.com/open?id=1_ExTESjosPgOxMKQWmFoiGsJcmCWQa6T" TargetMode="External"/><Relationship Id="rId825" Type="http://schemas.openxmlformats.org/officeDocument/2006/relationships/hyperlink" Target="https://drive.google.com/open?id=1sMHkt1HfG5ZqafyUzzZWTMox_Qcv6RY6" TargetMode="External"/><Relationship Id="rId824" Type="http://schemas.openxmlformats.org/officeDocument/2006/relationships/hyperlink" Target="https://drive.google.com/open?id=1SOCjV9CL3b4im0q5iBa3O8tTiV9wXh4y" TargetMode="External"/><Relationship Id="rId823" Type="http://schemas.openxmlformats.org/officeDocument/2006/relationships/hyperlink" Target="https://drive.google.com/open?id=14KsRKTIRZMBJgp-yYQ5H_r6B7j8FdY6U" TargetMode="External"/><Relationship Id="rId819" Type="http://schemas.openxmlformats.org/officeDocument/2006/relationships/hyperlink" Target="https://drive.google.com/open?id=1zg9h9gzq3YUVYGatFRaFy51dgFeyXnVm" TargetMode="External"/><Relationship Id="rId818" Type="http://schemas.openxmlformats.org/officeDocument/2006/relationships/hyperlink" Target="https://drive.google.com/open?id=1QhjNo5EDpFVxM-sHKskVUACOHsDvWeYz" TargetMode="External"/><Relationship Id="rId817" Type="http://schemas.openxmlformats.org/officeDocument/2006/relationships/hyperlink" Target="https://drive.google.com/open?id=1KmswUg6MTmF5DamJb1oN-cbYLv32j4Vr" TargetMode="External"/><Relationship Id="rId816" Type="http://schemas.openxmlformats.org/officeDocument/2006/relationships/hyperlink" Target="https://drive.google.com/open?id=1A6wuG9oSM-wwEfEXQHv573SUF-YT9Zl0" TargetMode="External"/><Relationship Id="rId811" Type="http://schemas.openxmlformats.org/officeDocument/2006/relationships/hyperlink" Target="https://drive.google.com/open?id=1qm-n4z4_K0DkwXRbdryRmsGEV-ZUA9eb" TargetMode="External"/><Relationship Id="rId810" Type="http://schemas.openxmlformats.org/officeDocument/2006/relationships/hyperlink" Target="https://drive.google.com/open?id=1rD5EwOI2FmUxIQyaRhFtoiYO1fajmTO9" TargetMode="External"/><Relationship Id="rId815" Type="http://schemas.openxmlformats.org/officeDocument/2006/relationships/hyperlink" Target="https://drive.google.com/open?id=12bXdxbAaFCuB3110jnIpyZQzH6BVTVJa" TargetMode="External"/><Relationship Id="rId814" Type="http://schemas.openxmlformats.org/officeDocument/2006/relationships/hyperlink" Target="https://drive.google.com/open?id=1LDFXS2GBJcTUElwVsLWK65IQxq4JjGo9" TargetMode="External"/><Relationship Id="rId813" Type="http://schemas.openxmlformats.org/officeDocument/2006/relationships/hyperlink" Target="https://drive.google.com/open?id=12haYU2uq01ysrteh9ZPWJgibNIAotheh" TargetMode="External"/><Relationship Id="rId812" Type="http://schemas.openxmlformats.org/officeDocument/2006/relationships/hyperlink" Target="https://drive.google.com/open?id=1aGDMrSMBD8xNhWJZXFzWe-mYYjz8NMJu" TargetMode="External"/><Relationship Id="rId609" Type="http://schemas.openxmlformats.org/officeDocument/2006/relationships/hyperlink" Target="https://drive.google.com/open?id=1CSB7MK7Dkfhd2Hub_uekBsK5UKVWbHdw" TargetMode="External"/><Relationship Id="rId608" Type="http://schemas.openxmlformats.org/officeDocument/2006/relationships/hyperlink" Target="https://drive.google.com/open?id=1oTEVFkA4P-rTb8bfZb5CiAAD4XCLDGvr" TargetMode="External"/><Relationship Id="rId607" Type="http://schemas.openxmlformats.org/officeDocument/2006/relationships/hyperlink" Target="https://drive.google.com/open?id=1j5cRHaZNqmNT2qWFggJg5k4-_cPhvbad" TargetMode="External"/><Relationship Id="rId849" Type="http://schemas.openxmlformats.org/officeDocument/2006/relationships/hyperlink" Target="https://drive.google.com/open?id=1osBiBf7kLpkBvqZD6DoXaipUb9kw7U_6" TargetMode="External"/><Relationship Id="rId602" Type="http://schemas.openxmlformats.org/officeDocument/2006/relationships/hyperlink" Target="https://drive.google.com/open?id=1z9Noy4M9CJgqqYNpeNr0eFh_BBxmrahB" TargetMode="External"/><Relationship Id="rId844" Type="http://schemas.openxmlformats.org/officeDocument/2006/relationships/hyperlink" Target="https://drive.google.com/open?id=1yN4ZjKrOLevW6Ma0b_TcpZa6BHtKDHKt" TargetMode="External"/><Relationship Id="rId601" Type="http://schemas.openxmlformats.org/officeDocument/2006/relationships/hyperlink" Target="https://drive.google.com/open?id=1Gqop5jSNiXF4i3jCqJauqQE_jqsZucCc" TargetMode="External"/><Relationship Id="rId843" Type="http://schemas.openxmlformats.org/officeDocument/2006/relationships/hyperlink" Target="https://drive.google.com/open?id=1tJTg0XiSbKA6u-ja_GAIv9JoxcZPdVLf" TargetMode="External"/><Relationship Id="rId600" Type="http://schemas.openxmlformats.org/officeDocument/2006/relationships/hyperlink" Target="https://drive.google.com/open?id=1cZwlALptK4bSJbPkFkRXh2-QTDUUt9Ul" TargetMode="External"/><Relationship Id="rId842" Type="http://schemas.openxmlformats.org/officeDocument/2006/relationships/hyperlink" Target="https://drive.google.com/open?id=1uM9vMBcJ2YXGlBQDujqX3QGecZx87zGm" TargetMode="External"/><Relationship Id="rId841" Type="http://schemas.openxmlformats.org/officeDocument/2006/relationships/hyperlink" Target="https://drive.google.com/open?id=1t6mXKR7ETJgsT54sFkVoO1Vyh36CAzvp" TargetMode="External"/><Relationship Id="rId606" Type="http://schemas.openxmlformats.org/officeDocument/2006/relationships/hyperlink" Target="https://drive.google.com/open?id=1KnL8Pcln9HnDL0d4Jt8ZELLcua3vFsx0" TargetMode="External"/><Relationship Id="rId848" Type="http://schemas.openxmlformats.org/officeDocument/2006/relationships/hyperlink" Target="https://drive.google.com/open?id=1KrmD9i3n1zFyoL_khvNz5lLEDzXnk6zu" TargetMode="External"/><Relationship Id="rId605" Type="http://schemas.openxmlformats.org/officeDocument/2006/relationships/hyperlink" Target="https://drive.google.com/open?id=15Ylq-h9bejBBPG9XCTIkT6BPbzoEEk22" TargetMode="External"/><Relationship Id="rId847" Type="http://schemas.openxmlformats.org/officeDocument/2006/relationships/hyperlink" Target="https://drive.google.com/open?id=1fybkYdoGzsUmL9qW4rOf0NqfBMXQRCu1" TargetMode="External"/><Relationship Id="rId604" Type="http://schemas.openxmlformats.org/officeDocument/2006/relationships/hyperlink" Target="https://drive.google.com/open?id=1jtSCLgqKMiGnher70odYt7Xpd4bVQpNj" TargetMode="External"/><Relationship Id="rId846" Type="http://schemas.openxmlformats.org/officeDocument/2006/relationships/hyperlink" Target="https://drive.google.com/open?id=1LLUt1Hv15scsQUxrcaK9y3CrjpXxIXVa" TargetMode="External"/><Relationship Id="rId603" Type="http://schemas.openxmlformats.org/officeDocument/2006/relationships/hyperlink" Target="https://drive.google.com/open?id=1O8K7_TGXxEsAMocRMkLV0tTm669LGflN" TargetMode="External"/><Relationship Id="rId845" Type="http://schemas.openxmlformats.org/officeDocument/2006/relationships/hyperlink" Target="https://drive.google.com/open?id=1DJta8hxfbSRTASosaOUu43wIlIGWV53a" TargetMode="External"/><Relationship Id="rId840" Type="http://schemas.openxmlformats.org/officeDocument/2006/relationships/hyperlink" Target="https://drive.google.com/open?id=17NsaHo9PfqNvmt9Ba40KP1juZOBuOKD9" TargetMode="External"/><Relationship Id="rId839" Type="http://schemas.openxmlformats.org/officeDocument/2006/relationships/hyperlink" Target="https://drive.google.com/open?id=1s7AgSO_BwcVI-Yh6jFqIJuGP2oCrxwt2" TargetMode="External"/><Relationship Id="rId838" Type="http://schemas.openxmlformats.org/officeDocument/2006/relationships/hyperlink" Target="https://drive.google.com/open?id=1vDB1BDZPo5MAjQph9Qe3Fe8IizLJ2LTg" TargetMode="External"/><Relationship Id="rId833" Type="http://schemas.openxmlformats.org/officeDocument/2006/relationships/hyperlink" Target="https://drive.google.com/open?id=1llJiomSZStg-udxpHM2DY5aIUJbapT72" TargetMode="External"/><Relationship Id="rId832" Type="http://schemas.openxmlformats.org/officeDocument/2006/relationships/hyperlink" Target="https://drive.google.com/open?id=11Zz7R6-JxUX9ifqsBaAy70lmHYsWSIeq" TargetMode="External"/><Relationship Id="rId831" Type="http://schemas.openxmlformats.org/officeDocument/2006/relationships/hyperlink" Target="https://drive.google.com/open?id=17Fw53kbYmqg_eL2HTm7MnaptlAK0M94i" TargetMode="External"/><Relationship Id="rId830" Type="http://schemas.openxmlformats.org/officeDocument/2006/relationships/hyperlink" Target="https://drive.google.com/open?id=1tv7FpW8GaTF0QFtQ-5sKPuTkf_CMXt8W" TargetMode="External"/><Relationship Id="rId837" Type="http://schemas.openxmlformats.org/officeDocument/2006/relationships/hyperlink" Target="https://drive.google.com/open?id=1lVSqL8NZj6rZwsbFQBtEFQRdH1I7ub9G" TargetMode="External"/><Relationship Id="rId836" Type="http://schemas.openxmlformats.org/officeDocument/2006/relationships/hyperlink" Target="https://drive.google.com/open?id=1DF17J1oFDUrxWuozKUJNZiYQOCMeg4w5" TargetMode="External"/><Relationship Id="rId835" Type="http://schemas.openxmlformats.org/officeDocument/2006/relationships/hyperlink" Target="https://drive.google.com/open?id=1BuB-Ip15zkqS2bVteIL_vHSdlLXss18-" TargetMode="External"/><Relationship Id="rId834" Type="http://schemas.openxmlformats.org/officeDocument/2006/relationships/hyperlink" Target="https://drive.google.com/open?id=1LQnM1ca1uXk5yQHeStbXyR16gdHLRvn5" TargetMode="External"/><Relationship Id="rId1059" Type="http://schemas.openxmlformats.org/officeDocument/2006/relationships/hyperlink" Target="https://drive.google.com/open?id=1pTzwO6pPQwJ0tTaM9yJzpwZzxOmtM19-" TargetMode="External"/><Relationship Id="rId228" Type="http://schemas.openxmlformats.org/officeDocument/2006/relationships/hyperlink" Target="https://drive.google.com/open?id=13EGdIXB5LuTZVtfGm3AePXOTUVLwOWam" TargetMode="External"/><Relationship Id="rId227" Type="http://schemas.openxmlformats.org/officeDocument/2006/relationships/hyperlink" Target="https://drive.google.com/open?id=1cVphHaKnIJRUn2Uiz9l0Bxnl07ixnoBv" TargetMode="External"/><Relationship Id="rId469" Type="http://schemas.openxmlformats.org/officeDocument/2006/relationships/hyperlink" Target="https://drive.google.com/open?id=1LdH_0oDms9-0m0Qc61mM36nGQUxhTk3b" TargetMode="External"/><Relationship Id="rId226" Type="http://schemas.openxmlformats.org/officeDocument/2006/relationships/hyperlink" Target="https://drive.google.com/open?id=1tOsck8CQenai86S-EUyigNbr59n3lNFE" TargetMode="External"/><Relationship Id="rId468" Type="http://schemas.openxmlformats.org/officeDocument/2006/relationships/hyperlink" Target="https://drive.google.com/open?id=152JCNxofHARh6CQXjQTZevDdx7Rhr94o" TargetMode="External"/><Relationship Id="rId225" Type="http://schemas.openxmlformats.org/officeDocument/2006/relationships/hyperlink" Target="https://drive.google.com/open?id=1O59U3U2XSuoXEjowGrIfEKCIBEmAu_tu" TargetMode="External"/><Relationship Id="rId467" Type="http://schemas.openxmlformats.org/officeDocument/2006/relationships/hyperlink" Target="https://drive.google.com/open?id=1XkCISu7T7yTytBFG7QirssU9mXZSGnIo" TargetMode="External"/><Relationship Id="rId229" Type="http://schemas.openxmlformats.org/officeDocument/2006/relationships/hyperlink" Target="https://drive.google.com/open?id=1fRP7FurLYAht9fN4DhdeXk_x-B5MyS61" TargetMode="External"/><Relationship Id="rId1050" Type="http://schemas.openxmlformats.org/officeDocument/2006/relationships/hyperlink" Target="https://drive.google.com/open?id=1j11VtqnWtXJt8ISW4vjnLDXHhEjZowzO" TargetMode="External"/><Relationship Id="rId220" Type="http://schemas.openxmlformats.org/officeDocument/2006/relationships/hyperlink" Target="https://drive.google.com/open?id=1KT5gItFAAT0555cyHsNhFHG97U9BMc1k" TargetMode="External"/><Relationship Id="rId462" Type="http://schemas.openxmlformats.org/officeDocument/2006/relationships/hyperlink" Target="https://drive.google.com/open?id=169HPh0B9HJDNRXtVmPWdYIR9AopHOWEB" TargetMode="External"/><Relationship Id="rId1051" Type="http://schemas.openxmlformats.org/officeDocument/2006/relationships/hyperlink" Target="https://drive.google.com/open?id=12Vw_-pJPodlR25kVfWV6Srg-sJ8V1lXQ" TargetMode="External"/><Relationship Id="rId461" Type="http://schemas.openxmlformats.org/officeDocument/2006/relationships/hyperlink" Target="https://drive.google.com/open?id=1Q9XVyWqgxd3vHe6cwZ6YGljlo-utzdlQ" TargetMode="External"/><Relationship Id="rId1052" Type="http://schemas.openxmlformats.org/officeDocument/2006/relationships/hyperlink" Target="https://drive.google.com/open?id=1ouhu7n9q5XIOwDdvIxFwUi9wZIW5x5C5" TargetMode="External"/><Relationship Id="rId460" Type="http://schemas.openxmlformats.org/officeDocument/2006/relationships/hyperlink" Target="https://drive.google.com/open?id=1rldhhYBz3qZV3GOJ9ZxgYkBGVZ9EnoU2" TargetMode="External"/><Relationship Id="rId1053" Type="http://schemas.openxmlformats.org/officeDocument/2006/relationships/hyperlink" Target="https://drive.google.com/open?id=12QOfXgP6CSIjao1gNKPGqZFg0y-O-LnU" TargetMode="External"/><Relationship Id="rId1054" Type="http://schemas.openxmlformats.org/officeDocument/2006/relationships/hyperlink" Target="https://drive.google.com/open?id=1TwatMnjmfiY6xdMKvG0SYk6jzryT5hLt" TargetMode="External"/><Relationship Id="rId224" Type="http://schemas.openxmlformats.org/officeDocument/2006/relationships/hyperlink" Target="https://drive.google.com/open?id=1EErpwG-iBinYlYNFUmiOiJ8cgEpiQidr" TargetMode="External"/><Relationship Id="rId466" Type="http://schemas.openxmlformats.org/officeDocument/2006/relationships/hyperlink" Target="https://drive.google.com/open?id=1lFFdp0dnUGppfJadxczZR6SiCoQGiNUU" TargetMode="External"/><Relationship Id="rId1055" Type="http://schemas.openxmlformats.org/officeDocument/2006/relationships/hyperlink" Target="https://drive.google.com/open?id=19KEw3zJMQSoabRykB0VJeYVJwelNFGBA" TargetMode="External"/><Relationship Id="rId223" Type="http://schemas.openxmlformats.org/officeDocument/2006/relationships/hyperlink" Target="https://drive.google.com/open?id=148kwrDI2CAVstu1rL7hELyRhJnJSn5Og" TargetMode="External"/><Relationship Id="rId465" Type="http://schemas.openxmlformats.org/officeDocument/2006/relationships/hyperlink" Target="https://drive.google.com/open?id=1u_wqOr0tiNiBzEmdU3F2S1s1MJedzWpg" TargetMode="External"/><Relationship Id="rId1056" Type="http://schemas.openxmlformats.org/officeDocument/2006/relationships/hyperlink" Target="https://drive.google.com/open?id=1QXBOrsD8W2n5Fhg-anZDSKz09JEHErET" TargetMode="External"/><Relationship Id="rId222" Type="http://schemas.openxmlformats.org/officeDocument/2006/relationships/hyperlink" Target="https://drive.google.com/open?id=1tenvZHweZWYsrCBDKirqjgO4wU54kWjH" TargetMode="External"/><Relationship Id="rId464" Type="http://schemas.openxmlformats.org/officeDocument/2006/relationships/hyperlink" Target="https://drive.google.com/open?id=1rrg8LJ38D0nezHfX53GErBxhnRdb3Zl2" TargetMode="External"/><Relationship Id="rId1057" Type="http://schemas.openxmlformats.org/officeDocument/2006/relationships/hyperlink" Target="https://drive.google.com/open?id=1mEm2i-ifiR_bvnEaFL43C8PmhgOQgMwU" TargetMode="External"/><Relationship Id="rId221" Type="http://schemas.openxmlformats.org/officeDocument/2006/relationships/hyperlink" Target="https://drive.google.com/open?id=1kzOgYWu09SK68s3mm5kJDDW4qJvFAF3a" TargetMode="External"/><Relationship Id="rId463" Type="http://schemas.openxmlformats.org/officeDocument/2006/relationships/hyperlink" Target="https://drive.google.com/open?id=1ezL1PIFZ06NPHxPq9ItcCypRYdkfTF1h" TargetMode="External"/><Relationship Id="rId1058" Type="http://schemas.openxmlformats.org/officeDocument/2006/relationships/hyperlink" Target="https://drive.google.com/open?id=1JCbLZajMLMPZuyXTlkV3jQ_LYA7JKgbD" TargetMode="External"/><Relationship Id="rId1048" Type="http://schemas.openxmlformats.org/officeDocument/2006/relationships/hyperlink" Target="https://drive.google.com/open?id=1rR2aRPsAOm9K39lJ5HvPr1j4p2CkXC_d" TargetMode="External"/><Relationship Id="rId1049" Type="http://schemas.openxmlformats.org/officeDocument/2006/relationships/hyperlink" Target="https://drive.google.com/open?id=1WGCQPiu33F57pAs3Q5mF-FtB6LZuVjMc" TargetMode="External"/><Relationship Id="rId217" Type="http://schemas.openxmlformats.org/officeDocument/2006/relationships/hyperlink" Target="https://drive.google.com/open?id=14oQaN-0FhguVnuOeremprw_ki5Qwi0Z5" TargetMode="External"/><Relationship Id="rId459" Type="http://schemas.openxmlformats.org/officeDocument/2006/relationships/hyperlink" Target="https://drive.google.com/open?id=1IoTY-G6QNLz-uSLUscRa5af7U6ORBtkb" TargetMode="External"/><Relationship Id="rId216" Type="http://schemas.openxmlformats.org/officeDocument/2006/relationships/hyperlink" Target="https://drive.google.com/open?id=1K_ofuxuhofdzuR3vpXOgZ0t3ydJSLBVZ" TargetMode="External"/><Relationship Id="rId458" Type="http://schemas.openxmlformats.org/officeDocument/2006/relationships/hyperlink" Target="https://drive.google.com/open?id=1-Eyo0UB9vddLUW4Bax47egtzGVA_Vmk4" TargetMode="External"/><Relationship Id="rId215" Type="http://schemas.openxmlformats.org/officeDocument/2006/relationships/hyperlink" Target="https://drive.google.com/open?id=1qT2zglqFxz6jnG09fi3DhAiAnFymJP_H" TargetMode="External"/><Relationship Id="rId457" Type="http://schemas.openxmlformats.org/officeDocument/2006/relationships/hyperlink" Target="https://drive.google.com/open?id=1D67sUtTiesyAx9fwcWmYGSqGFZib_JV3" TargetMode="External"/><Relationship Id="rId699" Type="http://schemas.openxmlformats.org/officeDocument/2006/relationships/hyperlink" Target="https://drive.google.com/open?id=1r-hBHkstf86tIaFDYcSfWHBchRyQ14W-" TargetMode="External"/><Relationship Id="rId214" Type="http://schemas.openxmlformats.org/officeDocument/2006/relationships/hyperlink" Target="https://drive.google.com/open?id=1lkgdHNqiQAPp0Ts4Y8RUtRrEA4Y1i5ZB" TargetMode="External"/><Relationship Id="rId456" Type="http://schemas.openxmlformats.org/officeDocument/2006/relationships/hyperlink" Target="https://drive.google.com/open?id=1UMpO2HFNMh2gLGVNj66Vbit9kUw2QsYs" TargetMode="External"/><Relationship Id="rId698" Type="http://schemas.openxmlformats.org/officeDocument/2006/relationships/hyperlink" Target="https://drive.google.com/open?id=136uKz9R9TsLQ5-2p0jEgTZ2G15dxOp6t" TargetMode="External"/><Relationship Id="rId219" Type="http://schemas.openxmlformats.org/officeDocument/2006/relationships/hyperlink" Target="https://drive.google.com/open?id=1F3YxfVPO6-HuYRwfKTdz2L05g94sRO01" TargetMode="External"/><Relationship Id="rId218" Type="http://schemas.openxmlformats.org/officeDocument/2006/relationships/hyperlink" Target="https://drive.google.com/open?id=1hZEpRdD_XG7egEvc9wk0Rh6HM8Cxql-U" TargetMode="External"/><Relationship Id="rId451" Type="http://schemas.openxmlformats.org/officeDocument/2006/relationships/hyperlink" Target="https://drive.google.com/open?id=1k_jM7kvhJ3rmCb8haZqhqIDFLCKmUwwL" TargetMode="External"/><Relationship Id="rId693" Type="http://schemas.openxmlformats.org/officeDocument/2006/relationships/hyperlink" Target="https://drive.google.com/open?id=1O7D6Yv-MiT0GV0z5sqxe7yRT-acDAbLF" TargetMode="External"/><Relationship Id="rId1040" Type="http://schemas.openxmlformats.org/officeDocument/2006/relationships/hyperlink" Target="https://drive.google.com/open?id=1oPhLxFBKDAPlpGuY073DgrcC_KY6sRLp" TargetMode="External"/><Relationship Id="rId450" Type="http://schemas.openxmlformats.org/officeDocument/2006/relationships/hyperlink" Target="https://drive.google.com/open?id=179RRTqXbEC9UUM_TmbuyKXiq9soeqoSR" TargetMode="External"/><Relationship Id="rId692" Type="http://schemas.openxmlformats.org/officeDocument/2006/relationships/hyperlink" Target="https://drive.google.com/open?id=1JqMSMafIntRn75q2xRUhK9eZTCGhI2-7" TargetMode="External"/><Relationship Id="rId1041" Type="http://schemas.openxmlformats.org/officeDocument/2006/relationships/hyperlink" Target="https://drive.google.com/open?id=1imLwLgQBl1xXxVfeIjKAhuao4xPKu115" TargetMode="External"/><Relationship Id="rId691" Type="http://schemas.openxmlformats.org/officeDocument/2006/relationships/hyperlink" Target="https://drive.google.com/open?id=1UIaNYsyg_Tw-54PleF8HKUlNht7lblPB" TargetMode="External"/><Relationship Id="rId1042" Type="http://schemas.openxmlformats.org/officeDocument/2006/relationships/hyperlink" Target="https://drive.google.com/open?id=1Q72Izjjk9IESbKCkzOL8TGFSDleo1opx" TargetMode="External"/><Relationship Id="rId690" Type="http://schemas.openxmlformats.org/officeDocument/2006/relationships/hyperlink" Target="https://drive.google.com/open?id=1BzH_BWv-dEaqB9duWgXxYMTSqWHPYf6D" TargetMode="External"/><Relationship Id="rId1043" Type="http://schemas.openxmlformats.org/officeDocument/2006/relationships/hyperlink" Target="https://drive.google.com/open?id=1EZl71WYwCJV1T6VCtljp1mZ_ITSUwvIs" TargetMode="External"/><Relationship Id="rId213" Type="http://schemas.openxmlformats.org/officeDocument/2006/relationships/hyperlink" Target="https://drive.google.com/open?id=1vcBb7lNrx15Jn5adgW6heqOPXlT1ZCj0" TargetMode="External"/><Relationship Id="rId455" Type="http://schemas.openxmlformats.org/officeDocument/2006/relationships/hyperlink" Target="https://drive.google.com/open?id=1BjB_ToL2Ux1iMFx9s42yxJ1C73WcoS1b" TargetMode="External"/><Relationship Id="rId697" Type="http://schemas.openxmlformats.org/officeDocument/2006/relationships/hyperlink" Target="https://drive.google.com/open?id=1l4VD1dfhYMBwEjWpk2JVP0kgMViMYAOf" TargetMode="External"/><Relationship Id="rId1044" Type="http://schemas.openxmlformats.org/officeDocument/2006/relationships/hyperlink" Target="https://drive.google.com/open?id=1U5lUnfPGiAhC9AbbKe_y4QuExTVp0zLs" TargetMode="External"/><Relationship Id="rId212" Type="http://schemas.openxmlformats.org/officeDocument/2006/relationships/hyperlink" Target="https://drive.google.com/open?id=1gEzI1xfVpLNHv0kWGMCckClKJoEcUzZJ" TargetMode="External"/><Relationship Id="rId454" Type="http://schemas.openxmlformats.org/officeDocument/2006/relationships/hyperlink" Target="https://drive.google.com/open?id=1hETs9kuSEdPwsilwp7e1eXqgAVi7yH6X" TargetMode="External"/><Relationship Id="rId696" Type="http://schemas.openxmlformats.org/officeDocument/2006/relationships/hyperlink" Target="https://drive.google.com/open?id=1j1fa6vT62fPGENKyisS3ndmLfxybpYT2" TargetMode="External"/><Relationship Id="rId1045" Type="http://schemas.openxmlformats.org/officeDocument/2006/relationships/hyperlink" Target="https://drive.google.com/open?id=1FW8OqWhIKzHBk1ILM2DtFSfIeDuJulww" TargetMode="External"/><Relationship Id="rId211" Type="http://schemas.openxmlformats.org/officeDocument/2006/relationships/hyperlink" Target="https://drive.google.com/open?id=1BOl_hCb0cAvgK7KOB_S3ny0sOOw-Fym4" TargetMode="External"/><Relationship Id="rId453" Type="http://schemas.openxmlformats.org/officeDocument/2006/relationships/hyperlink" Target="https://drive.google.com/open?id=12V1_1e6vabtE-g6zOpW5Q9MGvnf77E08" TargetMode="External"/><Relationship Id="rId695" Type="http://schemas.openxmlformats.org/officeDocument/2006/relationships/hyperlink" Target="https://drive.google.com/open?id=12q18fQ1-txdNbZMlJLOxzvVLkh2XcDYK" TargetMode="External"/><Relationship Id="rId1046" Type="http://schemas.openxmlformats.org/officeDocument/2006/relationships/hyperlink" Target="https://drive.google.com/open?id=1GSN1Cfij_xkV3Oy8X4vz2Zb0NvlRKEj6" TargetMode="External"/><Relationship Id="rId210" Type="http://schemas.openxmlformats.org/officeDocument/2006/relationships/hyperlink" Target="https://drive.google.com/open?id=1_WOnNmcRxwDi3G9qskSqQWgYXEHay0Mw" TargetMode="External"/><Relationship Id="rId452" Type="http://schemas.openxmlformats.org/officeDocument/2006/relationships/hyperlink" Target="https://drive.google.com/open?id=1J_TX4j_ZDs1PD_hOXoLMHnVKSjRFZu5V" TargetMode="External"/><Relationship Id="rId694" Type="http://schemas.openxmlformats.org/officeDocument/2006/relationships/hyperlink" Target="https://drive.google.com/open?id=1zSpNAUyajIMSCuAbFc6Y-EhkxPwuyKah" TargetMode="External"/><Relationship Id="rId1047" Type="http://schemas.openxmlformats.org/officeDocument/2006/relationships/hyperlink" Target="https://drive.google.com/open?id=17l-xOmYkRsVT4hzjNhvcb92ghHJG1C_n" TargetMode="External"/><Relationship Id="rId491" Type="http://schemas.openxmlformats.org/officeDocument/2006/relationships/hyperlink" Target="https://drive.google.com/open?id=1X51E3kekugq6GEnZzSpPLkv_hrGr1RJ6" TargetMode="External"/><Relationship Id="rId490" Type="http://schemas.openxmlformats.org/officeDocument/2006/relationships/hyperlink" Target="https://drive.google.com/open?id=1r5Ewe8xucRJ-nKyqITC3fzPdnN3qeO1L" TargetMode="External"/><Relationship Id="rId249" Type="http://schemas.openxmlformats.org/officeDocument/2006/relationships/hyperlink" Target="https://drive.google.com/open?id=1EFsmWbF3iw5M9nwG1epnZvJIvVgbYWmH" TargetMode="External"/><Relationship Id="rId248" Type="http://schemas.openxmlformats.org/officeDocument/2006/relationships/hyperlink" Target="https://drive.google.com/open?id=1R7E-bw5ERSov3TWDcRXHl647d3QquQiF" TargetMode="External"/><Relationship Id="rId247" Type="http://schemas.openxmlformats.org/officeDocument/2006/relationships/hyperlink" Target="https://drive.google.com/open?id=17ab3SVOy5qLLUWMicAWkyCCKz8FECgIC" TargetMode="External"/><Relationship Id="rId489" Type="http://schemas.openxmlformats.org/officeDocument/2006/relationships/hyperlink" Target="https://drive.google.com/open?id=1McTZwBf33GTs8aT3Ne17JhlNyx6nGRxM" TargetMode="External"/><Relationship Id="rId242" Type="http://schemas.openxmlformats.org/officeDocument/2006/relationships/hyperlink" Target="https://drive.google.com/open?id=1sCyb6WvzoG_wkWvIKv2VurELN6gUwkpu" TargetMode="External"/><Relationship Id="rId484" Type="http://schemas.openxmlformats.org/officeDocument/2006/relationships/hyperlink" Target="https://drive.google.com/open?id=1jCZQX8CgKwgYZuXgvO2iw1wxiD8vpDwu" TargetMode="External"/><Relationship Id="rId241" Type="http://schemas.openxmlformats.org/officeDocument/2006/relationships/hyperlink" Target="https://drive.google.com/open?id=1Eg0mdjJQLwa1b1LPjJkfa9LzevypvH-d" TargetMode="External"/><Relationship Id="rId483" Type="http://schemas.openxmlformats.org/officeDocument/2006/relationships/hyperlink" Target="https://drive.google.com/open?id=1gaAsiIPE6cjTL4Dyz55QmEyBWCsheqy6" TargetMode="External"/><Relationship Id="rId240" Type="http://schemas.openxmlformats.org/officeDocument/2006/relationships/hyperlink" Target="https://drive.google.com/open?id=18mORqjhB3gmU7ko9RANcWALhVOgcB0_A" TargetMode="External"/><Relationship Id="rId482" Type="http://schemas.openxmlformats.org/officeDocument/2006/relationships/hyperlink" Target="https://drive.google.com/open?id=1uSfF22ewVcGZ2YqWFXykqmV7AEmWp1Oh" TargetMode="External"/><Relationship Id="rId481" Type="http://schemas.openxmlformats.org/officeDocument/2006/relationships/hyperlink" Target="https://drive.google.com/open?id=1UVST9zj6R1VL3LdBq800jDq_y3Kyr01N" TargetMode="External"/><Relationship Id="rId246" Type="http://schemas.openxmlformats.org/officeDocument/2006/relationships/hyperlink" Target="https://drive.google.com/open?id=16nZT-yQO1FvDvGlF74lPcLxdyDkYe43h" TargetMode="External"/><Relationship Id="rId488" Type="http://schemas.openxmlformats.org/officeDocument/2006/relationships/hyperlink" Target="https://drive.google.com/open?id=1HspXL4-Db3aF0y3lZlSCybcT29ltKED6" TargetMode="External"/><Relationship Id="rId245" Type="http://schemas.openxmlformats.org/officeDocument/2006/relationships/hyperlink" Target="https://drive.google.com/open?id=1xb1FuWGc8qNhk_145JmfPB_-pyWXdbP_" TargetMode="External"/><Relationship Id="rId487" Type="http://schemas.openxmlformats.org/officeDocument/2006/relationships/hyperlink" Target="https://drive.google.com/open?id=1HNe7olHEX7b0KzpBBidilmd7cHQ-qTGA" TargetMode="External"/><Relationship Id="rId244" Type="http://schemas.openxmlformats.org/officeDocument/2006/relationships/hyperlink" Target="https://drive.google.com/open?id=1NrpGXrKpITE8LaQerccVkCfRg9WEuhKL" TargetMode="External"/><Relationship Id="rId486" Type="http://schemas.openxmlformats.org/officeDocument/2006/relationships/hyperlink" Target="https://drive.google.com/open?id=1LmxgWP1Bm_UrVhWxr401RaNHsUs_1Zb4" TargetMode="External"/><Relationship Id="rId243" Type="http://schemas.openxmlformats.org/officeDocument/2006/relationships/hyperlink" Target="https://drive.google.com/open?id=1nMJt4BQTcNkN9RRW9YN0O2BUrGtka7Vt" TargetMode="External"/><Relationship Id="rId485" Type="http://schemas.openxmlformats.org/officeDocument/2006/relationships/hyperlink" Target="https://drive.google.com/open?id=1BgS6i3fTOKlQuiweYePkRr_azSztGMcA" TargetMode="External"/><Relationship Id="rId480" Type="http://schemas.openxmlformats.org/officeDocument/2006/relationships/hyperlink" Target="https://drive.google.com/open?id=1SnHHQjguD6Ebkc0wO1IUqFJAItJF-Bjk" TargetMode="External"/><Relationship Id="rId239" Type="http://schemas.openxmlformats.org/officeDocument/2006/relationships/hyperlink" Target="https://drive.google.com/open?id=1ZIhck5qbnPI-uuWB4NyrisBJLpjWOxNv" TargetMode="External"/><Relationship Id="rId238" Type="http://schemas.openxmlformats.org/officeDocument/2006/relationships/hyperlink" Target="https://drive.google.com/open?id=17aNBD0-le0VxmCl2kI1WfIp5Aj7mqre6" TargetMode="External"/><Relationship Id="rId237" Type="http://schemas.openxmlformats.org/officeDocument/2006/relationships/hyperlink" Target="https://drive.google.com/open?id=1YRBCGBlP5j77JE6aiMv_sr7L1BWFmQzp" TargetMode="External"/><Relationship Id="rId479" Type="http://schemas.openxmlformats.org/officeDocument/2006/relationships/hyperlink" Target="https://drive.google.com/open?id=1VjUdw0y1ghRetwvn6ISE7jI1PuJippz0" TargetMode="External"/><Relationship Id="rId236" Type="http://schemas.openxmlformats.org/officeDocument/2006/relationships/hyperlink" Target="https://drive.google.com/open?id=1IfBaYOJI48yyv-xiRAsc3D2FOLZxsmmx" TargetMode="External"/><Relationship Id="rId478" Type="http://schemas.openxmlformats.org/officeDocument/2006/relationships/hyperlink" Target="https://drive.google.com/open?id=1_a6uPjuD7b26axS2XMPjID6z1Ul1-XKL" TargetMode="External"/><Relationship Id="rId1060" Type="http://schemas.openxmlformats.org/officeDocument/2006/relationships/hyperlink" Target="https://drive.google.com/open?id=1WxUTlDKl2MLit1YnLBuGgcvvIOyFwo4w" TargetMode="External"/><Relationship Id="rId1061" Type="http://schemas.openxmlformats.org/officeDocument/2006/relationships/hyperlink" Target="https://drive.google.com/open?id=1DVYEsvZAxlEOSRKQP3aYl5aSctRO1QZ-" TargetMode="External"/><Relationship Id="rId231" Type="http://schemas.openxmlformats.org/officeDocument/2006/relationships/hyperlink" Target="https://drive.google.com/open?id=1tUSyBLfY1FfVHBBqrlCh84Xs8Ck_GF7t" TargetMode="External"/><Relationship Id="rId473" Type="http://schemas.openxmlformats.org/officeDocument/2006/relationships/hyperlink" Target="https://drive.google.com/open?id=18Sbs6HfcVeSWKIrDDaQJxDs5gYPlfpKe" TargetMode="External"/><Relationship Id="rId1062" Type="http://schemas.openxmlformats.org/officeDocument/2006/relationships/drawing" Target="../drawings/drawing1.xml"/><Relationship Id="rId230" Type="http://schemas.openxmlformats.org/officeDocument/2006/relationships/hyperlink" Target="https://drive.google.com/open?id=10YSsfgsV72N2AtpiHjL6VLZ2RiXpyhHv" TargetMode="External"/><Relationship Id="rId472" Type="http://schemas.openxmlformats.org/officeDocument/2006/relationships/hyperlink" Target="https://drive.google.com/open?id=1Q-hkNRhAuZsNo-W_vBk-M8EPVWtWEL34" TargetMode="External"/><Relationship Id="rId1063" Type="http://schemas.openxmlformats.org/officeDocument/2006/relationships/vmlDrawing" Target="../drawings/vmlDrawing1.vml"/><Relationship Id="rId471" Type="http://schemas.openxmlformats.org/officeDocument/2006/relationships/hyperlink" Target="https://drive.google.com/open?id=1JShELUWe8Tr0XhCzyfcE8zOkSvdwGDvS" TargetMode="External"/><Relationship Id="rId470" Type="http://schemas.openxmlformats.org/officeDocument/2006/relationships/hyperlink" Target="https://drive.google.com/open?id=15S0liZ8-wPf7UpJ0GX1rl3CFsdsJ8mXi" TargetMode="External"/><Relationship Id="rId235" Type="http://schemas.openxmlformats.org/officeDocument/2006/relationships/hyperlink" Target="https://drive.google.com/open?id=1i0_0g2GYHYmne6DSbPdGix9SuRVVlJTg" TargetMode="External"/><Relationship Id="rId477" Type="http://schemas.openxmlformats.org/officeDocument/2006/relationships/hyperlink" Target="https://drive.google.com/open?id=1E3BLd7QkUDnkueThyo8sokEqC4D7Xt_6" TargetMode="External"/><Relationship Id="rId234" Type="http://schemas.openxmlformats.org/officeDocument/2006/relationships/hyperlink" Target="https://drive.google.com/open?id=18LArw2VD_LLucz-bcw1Z8A6vEtO0MxRn" TargetMode="External"/><Relationship Id="rId476" Type="http://schemas.openxmlformats.org/officeDocument/2006/relationships/hyperlink" Target="https://drive.google.com/open?id=1-2DdD2wwoTqHr5RFVgasdKmYa9t9QAnt" TargetMode="External"/><Relationship Id="rId233" Type="http://schemas.openxmlformats.org/officeDocument/2006/relationships/hyperlink" Target="https://drive.google.com/open?id=1fW5bMDX58_ubtuRVy46hSaJADLXtX285" TargetMode="External"/><Relationship Id="rId475" Type="http://schemas.openxmlformats.org/officeDocument/2006/relationships/hyperlink" Target="https://drive.google.com/open?id=1HmsiJDFU0p0duf61JtQ25cabcyMTfmD8" TargetMode="External"/><Relationship Id="rId232" Type="http://schemas.openxmlformats.org/officeDocument/2006/relationships/hyperlink" Target="https://drive.google.com/open?id=1BASeMUp_wzoq0VIbXunwsqh9wXduGfjb" TargetMode="External"/><Relationship Id="rId474" Type="http://schemas.openxmlformats.org/officeDocument/2006/relationships/hyperlink" Target="https://drive.google.com/open?id=1bmcn2Q2cyD3YHKqPIu4D-8UN6jkwqI-L" TargetMode="External"/><Relationship Id="rId1015" Type="http://schemas.openxmlformats.org/officeDocument/2006/relationships/hyperlink" Target="https://drive.google.com/open?id=11Ot41P1UyG5m7v7AFlPkclHIIaj6ltPD" TargetMode="External"/><Relationship Id="rId1016" Type="http://schemas.openxmlformats.org/officeDocument/2006/relationships/hyperlink" Target="https://drive.google.com/open?id=1DrGIRWuNYa_2dBr41gPmSRKIsv1-axUk" TargetMode="External"/><Relationship Id="rId1017" Type="http://schemas.openxmlformats.org/officeDocument/2006/relationships/hyperlink" Target="https://drive.google.com/open?id=1XCRorLEm6McgsR8LLs4ZWVXb1LTRDZ9b" TargetMode="External"/><Relationship Id="rId1018" Type="http://schemas.openxmlformats.org/officeDocument/2006/relationships/hyperlink" Target="https://drive.google.com/open?id=13TXAa6C9eZjXxB7VmiQeN2ItInhsGZYv" TargetMode="External"/><Relationship Id="rId1019" Type="http://schemas.openxmlformats.org/officeDocument/2006/relationships/hyperlink" Target="https://drive.google.com/open?id=1aBNdZ27aYqN6gEHKcoeYftwYFyeOyyFp" TargetMode="External"/><Relationship Id="rId426" Type="http://schemas.openxmlformats.org/officeDocument/2006/relationships/hyperlink" Target="https://drive.google.com/open?id=1c18h90qw87nt1dkM2Z44nl0r5ABV5I-0" TargetMode="External"/><Relationship Id="rId668" Type="http://schemas.openxmlformats.org/officeDocument/2006/relationships/hyperlink" Target="https://drive.google.com/open?id=1VcjwOLrJzauHF80qOYXV16J0tb4nLMFh" TargetMode="External"/><Relationship Id="rId425" Type="http://schemas.openxmlformats.org/officeDocument/2006/relationships/hyperlink" Target="https://drive.google.com/open?id=1jk-ZqpbQLPSgb1baNuPHPoGcO1FjtO3S" TargetMode="External"/><Relationship Id="rId667" Type="http://schemas.openxmlformats.org/officeDocument/2006/relationships/hyperlink" Target="https://drive.google.com/open?id=1T1yS7MU36Z6hSWcjLIUQt4j7qVTpsFX6" TargetMode="External"/><Relationship Id="rId424" Type="http://schemas.openxmlformats.org/officeDocument/2006/relationships/hyperlink" Target="https://drive.google.com/open?id=1bMpD3HD-fNTA5Lzr6hXzEfcIipXKIxsX" TargetMode="External"/><Relationship Id="rId666" Type="http://schemas.openxmlformats.org/officeDocument/2006/relationships/hyperlink" Target="https://drive.google.com/open?id=1ch4ejoOuXAeaPtfL-lfKHM4hnyMkQGV8" TargetMode="External"/><Relationship Id="rId423" Type="http://schemas.openxmlformats.org/officeDocument/2006/relationships/hyperlink" Target="https://drive.google.com/open?id=1qBsMWEzY4NbUp8yD2K4iUyZEWE5l-G9-" TargetMode="External"/><Relationship Id="rId665" Type="http://schemas.openxmlformats.org/officeDocument/2006/relationships/hyperlink" Target="https://drive.google.com/open?id=1AgLcN7fbK71TPuUi1-X1RRFSL1jxCM1k" TargetMode="External"/><Relationship Id="rId429" Type="http://schemas.openxmlformats.org/officeDocument/2006/relationships/hyperlink" Target="https://drive.google.com/open?id=1bZy9QSYICehhMcvugiDcprzvCvgmv8Wo" TargetMode="External"/><Relationship Id="rId428" Type="http://schemas.openxmlformats.org/officeDocument/2006/relationships/hyperlink" Target="https://drive.google.com/open?id=10YPIpxHtnmGxV-IAZZPFtIGJOJFYFEMT" TargetMode="External"/><Relationship Id="rId427" Type="http://schemas.openxmlformats.org/officeDocument/2006/relationships/hyperlink" Target="https://drive.google.com/open?id=1oide9LorjdH61nTKyRrweP1CBWzUgtvy" TargetMode="External"/><Relationship Id="rId669" Type="http://schemas.openxmlformats.org/officeDocument/2006/relationships/hyperlink" Target="https://drive.google.com/open?id=1cMh6SceY1dph1CQUMpSKAQLvn3hbIOXo" TargetMode="External"/><Relationship Id="rId660" Type="http://schemas.openxmlformats.org/officeDocument/2006/relationships/hyperlink" Target="https://drive.google.com/open?id=10OU0B2WkC_1fBsz7FMSLArowQ29weXU2" TargetMode="External"/><Relationship Id="rId1010" Type="http://schemas.openxmlformats.org/officeDocument/2006/relationships/hyperlink" Target="https://drive.google.com/open?id=1YovxILzokpgeZmIAK_uPvuGgl7GjFvzT" TargetMode="External"/><Relationship Id="rId422" Type="http://schemas.openxmlformats.org/officeDocument/2006/relationships/hyperlink" Target="https://drive.google.com/open?id=1RGZu1m5MnULAZCCmyc5SrsXBwlxTy5ci" TargetMode="External"/><Relationship Id="rId664" Type="http://schemas.openxmlformats.org/officeDocument/2006/relationships/hyperlink" Target="https://drive.google.com/open?id=1ir7QRph4f3CmHZ3hmLBHzIk2TZViP-_1" TargetMode="External"/><Relationship Id="rId1011" Type="http://schemas.openxmlformats.org/officeDocument/2006/relationships/hyperlink" Target="https://drive.google.com/open?id=1_ATH4CodeFdjmpYtY1Lw8hg_S1FuO-Fu" TargetMode="External"/><Relationship Id="rId421" Type="http://schemas.openxmlformats.org/officeDocument/2006/relationships/hyperlink" Target="https://drive.google.com/open?id=1JAbvUmcZ_VfpR0qOviN231KpF_0zVa4N" TargetMode="External"/><Relationship Id="rId663" Type="http://schemas.openxmlformats.org/officeDocument/2006/relationships/hyperlink" Target="https://drive.google.com/open?id=1OWY6tnaDF5KsLlpBtiAabN4lFXD35Jmc" TargetMode="External"/><Relationship Id="rId1012" Type="http://schemas.openxmlformats.org/officeDocument/2006/relationships/hyperlink" Target="https://drive.google.com/open?id=1G0NUJnG18eHTycyPCDRU-7ZupWg7sic-" TargetMode="External"/><Relationship Id="rId420" Type="http://schemas.openxmlformats.org/officeDocument/2006/relationships/hyperlink" Target="https://drive.google.com/open?id=1yrhGlkhtvWkhfplvsHUXtn2oVJ-uTrd2" TargetMode="External"/><Relationship Id="rId662" Type="http://schemas.openxmlformats.org/officeDocument/2006/relationships/hyperlink" Target="https://drive.google.com/open?id=1viDYY0a3O0dajbd9HF0PVK65NR3KusW7" TargetMode="External"/><Relationship Id="rId1013" Type="http://schemas.openxmlformats.org/officeDocument/2006/relationships/hyperlink" Target="https://drive.google.com/open?id=1ClBdPmlxwWi9AyaIZ15oq_aLlSDwlhmb" TargetMode="External"/><Relationship Id="rId661" Type="http://schemas.openxmlformats.org/officeDocument/2006/relationships/hyperlink" Target="https://drive.google.com/open?id=1rdIGw_QQUFBrAjQr23fauoQp3h4GehFT" TargetMode="External"/><Relationship Id="rId1014" Type="http://schemas.openxmlformats.org/officeDocument/2006/relationships/hyperlink" Target="https://drive.google.com/open?id=1BGIYcLcqieZmtrTPrEwoI5oKfp-NF78s" TargetMode="External"/><Relationship Id="rId1004" Type="http://schemas.openxmlformats.org/officeDocument/2006/relationships/hyperlink" Target="https://drive.google.com/open?id=1cW64cI7lJwtl-BlM2w7TxiDtkD4DB2Yq" TargetMode="External"/><Relationship Id="rId1005" Type="http://schemas.openxmlformats.org/officeDocument/2006/relationships/hyperlink" Target="https://drive.google.com/open?id=1laQxx958iPbenxRXgMrQSVwqbnkpNKFg" TargetMode="External"/><Relationship Id="rId1006" Type="http://schemas.openxmlformats.org/officeDocument/2006/relationships/hyperlink" Target="https://drive.google.com/open?id=14O4xBqUy8PFc87D_-lxHa4ffqnfjPMuz" TargetMode="External"/><Relationship Id="rId1007" Type="http://schemas.openxmlformats.org/officeDocument/2006/relationships/hyperlink" Target="https://drive.google.com/open?id=15ubbTF4BSwnA-8JW1RKEMIKEnAcXwd1m" TargetMode="External"/><Relationship Id="rId1008" Type="http://schemas.openxmlformats.org/officeDocument/2006/relationships/hyperlink" Target="https://drive.google.com/open?id=11asmZ7G3kX_io2M8cVhvUiwar32RWP5Y" TargetMode="External"/><Relationship Id="rId1009" Type="http://schemas.openxmlformats.org/officeDocument/2006/relationships/hyperlink" Target="https://drive.google.com/open?id=1t0kbfWKvs1kBlus9Z8rXMsUMa431LIix" TargetMode="External"/><Relationship Id="rId415" Type="http://schemas.openxmlformats.org/officeDocument/2006/relationships/hyperlink" Target="https://drive.google.com/open?id=1y8MqL5CyJA93lyQXao8ZBPTd-YtI9pi3" TargetMode="External"/><Relationship Id="rId657" Type="http://schemas.openxmlformats.org/officeDocument/2006/relationships/hyperlink" Target="https://drive.google.com/open?id=1ejqfXhWARf9NKgeEuj0rilsfSvyJ_axC" TargetMode="External"/><Relationship Id="rId899" Type="http://schemas.openxmlformats.org/officeDocument/2006/relationships/hyperlink" Target="https://drive.google.com/open?id=1nYcKocQJ4EMTSU5sUNOce6R33_sUKptd" TargetMode="External"/><Relationship Id="rId414" Type="http://schemas.openxmlformats.org/officeDocument/2006/relationships/hyperlink" Target="https://docs.google.com/document/u/0/d/1MoFPmb6P8UdEo6ePUqa7zISmCk0cwYtC/edit" TargetMode="External"/><Relationship Id="rId656" Type="http://schemas.openxmlformats.org/officeDocument/2006/relationships/hyperlink" Target="https://drive.google.com/open?id=1F0CbWEQ0ftrbrvcgU8HspvH7IWdvTF8J" TargetMode="External"/><Relationship Id="rId898" Type="http://schemas.openxmlformats.org/officeDocument/2006/relationships/hyperlink" Target="https://drive.google.com/open?id=1HZ0wM7e5J84hEBb2SitGGWYPJsPGNWHf" TargetMode="External"/><Relationship Id="rId413" Type="http://schemas.openxmlformats.org/officeDocument/2006/relationships/hyperlink" Target="https://drive.google.com/open?id=1jRa9aE_jAHZDlUcPNYK77E8JhXTP29_g" TargetMode="External"/><Relationship Id="rId655" Type="http://schemas.openxmlformats.org/officeDocument/2006/relationships/hyperlink" Target="https://drive.google.com/open?id=1KuY2hJEgWKKS1oBOn4KaxzcVGN5xj3so" TargetMode="External"/><Relationship Id="rId897" Type="http://schemas.openxmlformats.org/officeDocument/2006/relationships/hyperlink" Target="https://drive.google.com/open?id=1yW9IpA6gacCmBODXnU35iCMStJpLH0mS" TargetMode="External"/><Relationship Id="rId412" Type="http://schemas.openxmlformats.org/officeDocument/2006/relationships/hyperlink" Target="https://drive.google.com/open?id=1AdM-XIxN816nPmI-fKg4FOPpsKNkMmiS" TargetMode="External"/><Relationship Id="rId654" Type="http://schemas.openxmlformats.org/officeDocument/2006/relationships/hyperlink" Target="https://drive.google.com/file/d/1RhwDT4dh-aeRlsSBkSR8e2BlOEeDu89K/view?usp=drive_link" TargetMode="External"/><Relationship Id="rId896" Type="http://schemas.openxmlformats.org/officeDocument/2006/relationships/hyperlink" Target="https://drive.google.com/open?id=1R5qliz4Ze-2degbjXSNPlc_PzifQ0XSZ" TargetMode="External"/><Relationship Id="rId419" Type="http://schemas.openxmlformats.org/officeDocument/2006/relationships/hyperlink" Target="https://drive.google.com/open?id=1I8XKha3JK2SJslhaflrad7HmZnwgRkEh" TargetMode="External"/><Relationship Id="rId418" Type="http://schemas.openxmlformats.org/officeDocument/2006/relationships/hyperlink" Target="https://drive.google.com/open?id=1w3zu22w76oKuFSvvu_25CmmJUTUTROoY" TargetMode="External"/><Relationship Id="rId417" Type="http://schemas.openxmlformats.org/officeDocument/2006/relationships/hyperlink" Target="https://drive.google.com/open?id=1uvk0Ddbqc1-PUadju-uxsOlAED6Ga4pc" TargetMode="External"/><Relationship Id="rId659" Type="http://schemas.openxmlformats.org/officeDocument/2006/relationships/hyperlink" Target="https://drive.google.com/open?id=1z3HmyWvWn-5X_nF-dHO_tNl8NB-Hl4LV" TargetMode="External"/><Relationship Id="rId416" Type="http://schemas.openxmlformats.org/officeDocument/2006/relationships/hyperlink" Target="https://drive.google.com/open?id=1-uIE6RYCLbTwlkIf7pjetDR7fKfNSpKz" TargetMode="External"/><Relationship Id="rId658" Type="http://schemas.openxmlformats.org/officeDocument/2006/relationships/hyperlink" Target="https://drive.google.com/open?id=1nfs1pn9QT4j5oF7pHaMxm3qXxnN9AfXx" TargetMode="External"/><Relationship Id="rId891" Type="http://schemas.openxmlformats.org/officeDocument/2006/relationships/hyperlink" Target="https://drive.google.com/open?id=1GNMfULTP9W9L6GzyEFSYy2aXBKbYdQF6" TargetMode="External"/><Relationship Id="rId890" Type="http://schemas.openxmlformats.org/officeDocument/2006/relationships/hyperlink" Target="https://drive.google.com/open?id=1WdQS-EoSHX95aN_-AtLKYYdHMZVyDQwe" TargetMode="External"/><Relationship Id="rId411" Type="http://schemas.openxmlformats.org/officeDocument/2006/relationships/hyperlink" Target="https://drive.google.com/open?id=1Euwf-qqe5MyqaLGFjLAwU2tym3hHTpeu" TargetMode="External"/><Relationship Id="rId653" Type="http://schemas.openxmlformats.org/officeDocument/2006/relationships/hyperlink" Target="https://drive.google.com/open?id=1dtxmr9BYShqwgfjTL-W1s-BcXenKHbzY" TargetMode="External"/><Relationship Id="rId895" Type="http://schemas.openxmlformats.org/officeDocument/2006/relationships/hyperlink" Target="https://drive.google.com/open?id=1vYQ0CbNq_WKnGpFFkBe80ih9cyIH9SMF" TargetMode="External"/><Relationship Id="rId1000" Type="http://schemas.openxmlformats.org/officeDocument/2006/relationships/hyperlink" Target="https://drive.google.com/open?id=1Zy69f6044aeJ3gHEujxXk0lEO45GqTYg" TargetMode="External"/><Relationship Id="rId410" Type="http://schemas.openxmlformats.org/officeDocument/2006/relationships/hyperlink" Target="https://drive.google.com/open?id=12SJzjqRawinJ402eeDosM-ceSDaLATAH" TargetMode="External"/><Relationship Id="rId652" Type="http://schemas.openxmlformats.org/officeDocument/2006/relationships/hyperlink" Target="https://drive.google.com/open?id=1PESjZbNC2qzPuVLvyNIMRFkbWS18neoM" TargetMode="External"/><Relationship Id="rId894" Type="http://schemas.openxmlformats.org/officeDocument/2006/relationships/hyperlink" Target="https://drive.google.com/open?id=1fs6aB30MuP53a5utoi1iG-vu_lIFwXPf" TargetMode="External"/><Relationship Id="rId1001" Type="http://schemas.openxmlformats.org/officeDocument/2006/relationships/hyperlink" Target="https://drive.google.com/open?id=1gJO57lwUYhI_r6dd7VoMn2dUdJswaSTJ" TargetMode="External"/><Relationship Id="rId651" Type="http://schemas.openxmlformats.org/officeDocument/2006/relationships/hyperlink" Target="https://drive.google.com/file/d/1lbISuGvQCDO4h7qUk3PYfMOlJAj1Dt1P/view?usp=drive_link" TargetMode="External"/><Relationship Id="rId893" Type="http://schemas.openxmlformats.org/officeDocument/2006/relationships/hyperlink" Target="https://drive.google.com/open?id=1jOtH9Udt0EVAc9ZvMU4vx6X_x43hRApg" TargetMode="External"/><Relationship Id="rId1002" Type="http://schemas.openxmlformats.org/officeDocument/2006/relationships/hyperlink" Target="https://drive.google.com/open?id=1sGWjcd26edNFMRuiYo_h0Z2JnvT1cBoi" TargetMode="External"/><Relationship Id="rId650" Type="http://schemas.openxmlformats.org/officeDocument/2006/relationships/hyperlink" Target="https://drive.google.com/open?id=10LoldMA1oLLR2YLY8Q9gsKXEq1CVYaMz" TargetMode="External"/><Relationship Id="rId892" Type="http://schemas.openxmlformats.org/officeDocument/2006/relationships/hyperlink" Target="https://drive.google.com/open?id=1mSPcyu1BWMseoFO_SMnVNObXiKfdIBQx" TargetMode="External"/><Relationship Id="rId1003" Type="http://schemas.openxmlformats.org/officeDocument/2006/relationships/hyperlink" Target="https://drive.google.com/open?id=17DJk5y3k133bZ0Sw3lRp35ekH3BISPzb" TargetMode="External"/><Relationship Id="rId1037" Type="http://schemas.openxmlformats.org/officeDocument/2006/relationships/hyperlink" Target="https://drive.google.com/open?id=1Lp7bl8Wv3YEG_wjOguS8sD9CDiLM12NA" TargetMode="External"/><Relationship Id="rId1038" Type="http://schemas.openxmlformats.org/officeDocument/2006/relationships/hyperlink" Target="https://drive.google.com/open?id=1ybfty9s4-iENoqrWxcKCQOR4siGFUgp3" TargetMode="External"/><Relationship Id="rId1039" Type="http://schemas.openxmlformats.org/officeDocument/2006/relationships/hyperlink" Target="https://drive.google.com/open?id=1en9hsaGcLEIGACr8qhBiI-XbENbZTeWW" TargetMode="External"/><Relationship Id="rId206" Type="http://schemas.openxmlformats.org/officeDocument/2006/relationships/hyperlink" Target="https://drive.google.com/open?id=1et7bjUa28LGQNy0mp_zq1_RW3QPMgzu0" TargetMode="External"/><Relationship Id="rId448" Type="http://schemas.openxmlformats.org/officeDocument/2006/relationships/hyperlink" Target="https://drive.google.com/open?id=1HzB0Ju7Ahy0nqspS4ScRpUHnPojymwVU" TargetMode="External"/><Relationship Id="rId205" Type="http://schemas.openxmlformats.org/officeDocument/2006/relationships/hyperlink" Target="https://drive.google.com/open?id=1bldPI09uvHkegoosh5xIJ1oh_4wu7pNc" TargetMode="External"/><Relationship Id="rId447" Type="http://schemas.openxmlformats.org/officeDocument/2006/relationships/hyperlink" Target="https://drive.google.com/open?id=1nPdeUkPwW7Rci6oz0dLRiyUF80ysdoEz" TargetMode="External"/><Relationship Id="rId689" Type="http://schemas.openxmlformats.org/officeDocument/2006/relationships/hyperlink" Target="https://drive.google.com/open?id=1okABfZlxi1SvKJwr4Dg_9sl3Tz1NepWG" TargetMode="External"/><Relationship Id="rId204" Type="http://schemas.openxmlformats.org/officeDocument/2006/relationships/hyperlink" Target="https://drive.google.com/open?id=1W3RXIgS0NuMo6U8aJ37ZjxDzFTDo-Q3H" TargetMode="External"/><Relationship Id="rId446" Type="http://schemas.openxmlformats.org/officeDocument/2006/relationships/hyperlink" Target="https://drive.google.com/open?id=1ahZU5kJDsHCWfZFkDjvvZatNVz_dylBk" TargetMode="External"/><Relationship Id="rId688" Type="http://schemas.openxmlformats.org/officeDocument/2006/relationships/hyperlink" Target="https://drive.google.com/open?id=1CEN0X4ImqJNgpCdk9999qn_o8lUgBNwO" TargetMode="External"/><Relationship Id="rId203" Type="http://schemas.openxmlformats.org/officeDocument/2006/relationships/hyperlink" Target="https://drive.google.com/open?id=1MzGzf46mGZVZcJ_8Y1tdny0fVczAoNK_" TargetMode="External"/><Relationship Id="rId445" Type="http://schemas.openxmlformats.org/officeDocument/2006/relationships/hyperlink" Target="https://drive.google.com/open?id=1gpOtUFbtFk8GuPE8fQ2SRaPoYeXlhXgi" TargetMode="External"/><Relationship Id="rId687" Type="http://schemas.openxmlformats.org/officeDocument/2006/relationships/hyperlink" Target="https://drive.google.com/open?id=19lrmqZSS1gXaoGG_6rGurBnpe7GSpt5H" TargetMode="External"/><Relationship Id="rId209" Type="http://schemas.openxmlformats.org/officeDocument/2006/relationships/hyperlink" Target="https://drive.google.com/open?id=1ZoPCeiGTQlicgA6bwbgk89ZdaEilxqR1" TargetMode="External"/><Relationship Id="rId208" Type="http://schemas.openxmlformats.org/officeDocument/2006/relationships/hyperlink" Target="https://drive.google.com/open?id=1Uous4m9b0jnvEC1Koo58wE6TxXCyMzDD" TargetMode="External"/><Relationship Id="rId207" Type="http://schemas.openxmlformats.org/officeDocument/2006/relationships/hyperlink" Target="https://drive.google.com/open?id=1hu6OSQ1OY9Oe5nzaOtm-Phu-41ctME1H" TargetMode="External"/><Relationship Id="rId449" Type="http://schemas.openxmlformats.org/officeDocument/2006/relationships/hyperlink" Target="https://drive.google.com/open?id=1VcmTmJFcquRMBXnEZkxwe5rG-TLdVuLd" TargetMode="External"/><Relationship Id="rId440" Type="http://schemas.openxmlformats.org/officeDocument/2006/relationships/hyperlink" Target="https://drive.google.com/open?id=19GmnGJtCa1lzSLV_w3hWoZwawHh_Jh9_" TargetMode="External"/><Relationship Id="rId682" Type="http://schemas.openxmlformats.org/officeDocument/2006/relationships/hyperlink" Target="https://drive.google.com/open?id=1gezw6uo5ydfyZdZFW6cy_f51gcwkoLqb" TargetMode="External"/><Relationship Id="rId681" Type="http://schemas.openxmlformats.org/officeDocument/2006/relationships/hyperlink" Target="https://drive.google.com/open?id=1VmtpqPkF8iq-AiQbRDsU6VyHEsIkXnNk" TargetMode="External"/><Relationship Id="rId1030" Type="http://schemas.openxmlformats.org/officeDocument/2006/relationships/hyperlink" Target="https://drive.google.com/open?id=1vm1xLq_oqEb3yTML80DGBaSmBzDpjE5R" TargetMode="External"/><Relationship Id="rId680" Type="http://schemas.openxmlformats.org/officeDocument/2006/relationships/hyperlink" Target="https://drive.google.com/open?id=1DHtd4pFZTb37Re3DKaliSu_V4W4fK35w" TargetMode="External"/><Relationship Id="rId1031" Type="http://schemas.openxmlformats.org/officeDocument/2006/relationships/hyperlink" Target="https://drive.google.com/open?id=11uRPooQf_M98VfNxmsdoPWOgHqmGX0g9" TargetMode="External"/><Relationship Id="rId1032" Type="http://schemas.openxmlformats.org/officeDocument/2006/relationships/hyperlink" Target="https://drive.google.com/open?id=1UPbBpRC1opmeHRd_2aEo2Y5JlSd2aS5T" TargetMode="External"/><Relationship Id="rId202" Type="http://schemas.openxmlformats.org/officeDocument/2006/relationships/hyperlink" Target="https://drive.google.com/open?id=1-pz0oNHHzZY2MWGDCJ-GAxT3xCU7bWcX" TargetMode="External"/><Relationship Id="rId444" Type="http://schemas.openxmlformats.org/officeDocument/2006/relationships/hyperlink" Target="https://drive.google.com/open?id=1j12tOS4pDNzDQo593mi5AEW7mxILY3UQ" TargetMode="External"/><Relationship Id="rId686" Type="http://schemas.openxmlformats.org/officeDocument/2006/relationships/hyperlink" Target="https://drive.google.com/open?id=1icuONhPYITPklLY4u_Y6X47Y8kXW2Ii_" TargetMode="External"/><Relationship Id="rId1033" Type="http://schemas.openxmlformats.org/officeDocument/2006/relationships/hyperlink" Target="https://drive.google.com/open?id=1qs3Ky6cr7zxiMUW6-tz6HYeYRzdmhztQ" TargetMode="External"/><Relationship Id="rId201" Type="http://schemas.openxmlformats.org/officeDocument/2006/relationships/hyperlink" Target="https://drive.google.com/open?id=1rQhnjJRS4tYALlZLcdF4-4VRUXdD6OCQ" TargetMode="External"/><Relationship Id="rId443" Type="http://schemas.openxmlformats.org/officeDocument/2006/relationships/hyperlink" Target="https://drive.google.com/open?id=12V1_1e6vabtE-g6zOpW5Q9MGvnf77E08" TargetMode="External"/><Relationship Id="rId685" Type="http://schemas.openxmlformats.org/officeDocument/2006/relationships/hyperlink" Target="https://drive.google.com/open?id=1g1B2_W35sYE2ToM9NKI81GHEXp20phYt" TargetMode="External"/><Relationship Id="rId1034" Type="http://schemas.openxmlformats.org/officeDocument/2006/relationships/hyperlink" Target="https://drive.google.com/open?id=1EFOUp6pqV3sTPe9N2qZ73KOURNoKiiu-" TargetMode="External"/><Relationship Id="rId200" Type="http://schemas.openxmlformats.org/officeDocument/2006/relationships/hyperlink" Target="https://drive.google.com/open?id=1YheAzQq5rdePv7EPeQo744RmSA99W42E" TargetMode="External"/><Relationship Id="rId442" Type="http://schemas.openxmlformats.org/officeDocument/2006/relationships/hyperlink" Target="https://drive.google.com/open?id=1XWY3HjXt1LOQXwd9aZAVIRrKyeaLiMR6" TargetMode="External"/><Relationship Id="rId684" Type="http://schemas.openxmlformats.org/officeDocument/2006/relationships/hyperlink" Target="https://drive.google.com/open?id=1CTiu4IlgA_c7VmafvuBSyv_wDCoIuvEn" TargetMode="External"/><Relationship Id="rId1035" Type="http://schemas.openxmlformats.org/officeDocument/2006/relationships/hyperlink" Target="https://drive.google.com/open?id=1_YMtKcENDbxmzC-a_snj2XLU7Fm9p0eY" TargetMode="External"/><Relationship Id="rId441" Type="http://schemas.openxmlformats.org/officeDocument/2006/relationships/hyperlink" Target="https://drive.google.com/open?id=13ZIF_OdyPIzSCzMdpzqX76sRMc2SCh07" TargetMode="External"/><Relationship Id="rId683" Type="http://schemas.openxmlformats.org/officeDocument/2006/relationships/hyperlink" Target="https://drive.google.com/open?id=1YJL7tq_gq2SftqbHpcTmZHKs_Ka8wqsM" TargetMode="External"/><Relationship Id="rId1036" Type="http://schemas.openxmlformats.org/officeDocument/2006/relationships/hyperlink" Target="https://drive.google.com/open?id=1fE4zJpdf4k6TPN58e3uIKDaExY5mqVAq" TargetMode="External"/><Relationship Id="rId1026" Type="http://schemas.openxmlformats.org/officeDocument/2006/relationships/hyperlink" Target="https://drive.google.com/open?id=1EQXLsmt-m-P6SLRNy_hsUgefyLINmwko" TargetMode="External"/><Relationship Id="rId1027" Type="http://schemas.openxmlformats.org/officeDocument/2006/relationships/hyperlink" Target="https://drive.google.com/open?id=1hdWnN2nmdr544-_v4Ai5oGvUJmMUv5UO" TargetMode="External"/><Relationship Id="rId1028" Type="http://schemas.openxmlformats.org/officeDocument/2006/relationships/hyperlink" Target="https://drive.google.com/open?id=1yYOxK9sC1Jy5ymHhwJVSdbUmRSdKOHBE" TargetMode="External"/><Relationship Id="rId1029" Type="http://schemas.openxmlformats.org/officeDocument/2006/relationships/hyperlink" Target="https://drive.google.com/open?id=101srzBRbrMWzns3EBgcsCM_WSnlOrsN3" TargetMode="External"/><Relationship Id="rId437" Type="http://schemas.openxmlformats.org/officeDocument/2006/relationships/hyperlink" Target="https://drive.google.com/open?id=1sGtwhdiuHpw7YKaKA3sxGLpk-n-I8g0W" TargetMode="External"/><Relationship Id="rId679" Type="http://schemas.openxmlformats.org/officeDocument/2006/relationships/hyperlink" Target="https://drive.google.com/open?id=12tBYuZeCYocyImu7040uhpm4KEP3wYtw" TargetMode="External"/><Relationship Id="rId436" Type="http://schemas.openxmlformats.org/officeDocument/2006/relationships/hyperlink" Target="https://drive.google.com/open?id=1Iv2h_r6kOe-TwmWUj2Bs8d-hAbf0J_5E" TargetMode="External"/><Relationship Id="rId678" Type="http://schemas.openxmlformats.org/officeDocument/2006/relationships/hyperlink" Target="https://drive.google.com/open?id=1BZ6fep9sX6keozVg-sJjJgJXdtcjSnp3" TargetMode="External"/><Relationship Id="rId435" Type="http://schemas.openxmlformats.org/officeDocument/2006/relationships/hyperlink" Target="https://drive.google.com/open?id=1D0J47oHdEQDXKj9bNGJXhSPaAW6MP_s3" TargetMode="External"/><Relationship Id="rId677" Type="http://schemas.openxmlformats.org/officeDocument/2006/relationships/hyperlink" Target="https://drive.google.com/open?id=1ilJvwu4_O7wBiOhiRObUyXnD5hD16_7m" TargetMode="External"/><Relationship Id="rId434" Type="http://schemas.openxmlformats.org/officeDocument/2006/relationships/hyperlink" Target="https://drive.google.com/open?id=1Vm7cZNMilPXfFzyZ0fFNhF_ngUh5Zu2w" TargetMode="External"/><Relationship Id="rId676" Type="http://schemas.openxmlformats.org/officeDocument/2006/relationships/hyperlink" Target="https://drive.google.com/open?id=1HZhVG5-Nn22qs_iRCG_DkXxyGvVePJYC" TargetMode="External"/><Relationship Id="rId439" Type="http://schemas.openxmlformats.org/officeDocument/2006/relationships/hyperlink" Target="https://drive.google.com/open?id=1OyslpEKT9uuYdM8SoyQjkEMNR-x8t6Kl" TargetMode="External"/><Relationship Id="rId438" Type="http://schemas.openxmlformats.org/officeDocument/2006/relationships/hyperlink" Target="https://drive.google.com/open?id=1vGBFD0fm6hkoN1LVyPX0tiJRUgaMj083" TargetMode="External"/><Relationship Id="rId671" Type="http://schemas.openxmlformats.org/officeDocument/2006/relationships/hyperlink" Target="https://drive.google.com/open?id=1jRdnpGVMvuCd7QraORma-WJ9ddBfMt43" TargetMode="External"/><Relationship Id="rId670" Type="http://schemas.openxmlformats.org/officeDocument/2006/relationships/hyperlink" Target="https://drive.google.com/open?id=1l6lHOnT_cs7CSTfWxnK5fN2JxmunZ39U" TargetMode="External"/><Relationship Id="rId1020" Type="http://schemas.openxmlformats.org/officeDocument/2006/relationships/hyperlink" Target="https://drive.google.com/open?id=1aJmzFpCrCHkpOxv9yIxUPYiDjnQgLW4T" TargetMode="External"/><Relationship Id="rId1021" Type="http://schemas.openxmlformats.org/officeDocument/2006/relationships/hyperlink" Target="https://drive.google.com/open?id=1IbiEbcDRR9t_ge2iyF-XHEBnI01M_DnW" TargetMode="External"/><Relationship Id="rId433" Type="http://schemas.openxmlformats.org/officeDocument/2006/relationships/hyperlink" Target="https://drive.google.com/open?id=1L-HcVdLmrg4VKvoSj-TrFnhUOsLzBRxB" TargetMode="External"/><Relationship Id="rId675" Type="http://schemas.openxmlformats.org/officeDocument/2006/relationships/hyperlink" Target="https://drive.google.com/open?id=1Mc1GCDUkT-lYimyYUqa-P9l6Q1SUYbt-" TargetMode="External"/><Relationship Id="rId1022" Type="http://schemas.openxmlformats.org/officeDocument/2006/relationships/hyperlink" Target="https://drive.google.com/open?id=1j1v-CwkOxcHH_VOUSOAyxkPAo40KMDY8" TargetMode="External"/><Relationship Id="rId432" Type="http://schemas.openxmlformats.org/officeDocument/2006/relationships/hyperlink" Target="https://drive.google.com/open?id=1ln9I16VHwompQws4Uk0taYEosXMDmVS3" TargetMode="External"/><Relationship Id="rId674" Type="http://schemas.openxmlformats.org/officeDocument/2006/relationships/hyperlink" Target="https://drive.google.com/open?id=1StfpZSoW1MpDYUehx7YxP0PebxNnlZ5N" TargetMode="External"/><Relationship Id="rId1023" Type="http://schemas.openxmlformats.org/officeDocument/2006/relationships/hyperlink" Target="https://drive.google.com/open?id=1BND9tnzzOdmfKEF_jmwSajmwG1L2awCQ" TargetMode="External"/><Relationship Id="rId431" Type="http://schemas.openxmlformats.org/officeDocument/2006/relationships/hyperlink" Target="https://drive.google.com/open?id=1aMJEF0yquMiHV4JBP95W_0GiSsyCVN2_" TargetMode="External"/><Relationship Id="rId673" Type="http://schemas.openxmlformats.org/officeDocument/2006/relationships/hyperlink" Target="https://drive.google.com/open?id=1lqW11QaJ1lqFMCxzlneT5yPiDSH8Yxsc" TargetMode="External"/><Relationship Id="rId1024" Type="http://schemas.openxmlformats.org/officeDocument/2006/relationships/hyperlink" Target="https://drive.google.com/open?id=10RpDIXOLSYxDYIiGWGS-YXiD2oBmQuvQ" TargetMode="External"/><Relationship Id="rId430" Type="http://schemas.openxmlformats.org/officeDocument/2006/relationships/hyperlink" Target="https://drive.google.com/open?id=14fh3z7faKGKL6-mSxH2qyZ50Tg_80w1I" TargetMode="External"/><Relationship Id="rId672" Type="http://schemas.openxmlformats.org/officeDocument/2006/relationships/hyperlink" Target="https://drive.google.com/open?id=1FWKJ3xEVUpOQaQPtZkzEBT-SOqzMoJrI" TargetMode="External"/><Relationship Id="rId1025" Type="http://schemas.openxmlformats.org/officeDocument/2006/relationships/hyperlink" Target="https://drive.google.com/open?id=1bTaeSfpjoACIg_Djpb5pbZoLHaVqDfQ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open?id=1Ms4IZXrDN7BN_uvn5TCIsGL5rcZkV8_f" TargetMode="External"/><Relationship Id="rId2" Type="http://schemas.openxmlformats.org/officeDocument/2006/relationships/hyperlink" Target="https://drive.google.com/open?id=1L5b5Jk1UaqCUOft7oe-YbGqwyUa2d7mi" TargetMode="External"/><Relationship Id="rId3" Type="http://schemas.openxmlformats.org/officeDocument/2006/relationships/hyperlink" Target="https://drive.google.com/open?id=1mZDuOHY9PjXQ06WgzFyx9I35Ru6KNN0w"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Row="1"/>
  <cols>
    <col customWidth="1" min="2" max="2" width="4.75"/>
    <col customWidth="1" min="3" max="3" width="37.25"/>
    <col customWidth="1" min="4" max="4" width="19.0"/>
    <col customWidth="1" min="5" max="5" width="21.63"/>
    <col customWidth="1" min="6" max="6" width="17.63"/>
    <col customWidth="1" hidden="1" min="7" max="7" width="17.63"/>
    <col customWidth="1" min="8" max="8" width="18.88"/>
    <col customWidth="1" min="9" max="9" width="16.25"/>
    <col customWidth="1" min="10" max="11" width="20.38"/>
    <col customWidth="1" min="12" max="12" width="16.25"/>
    <col customWidth="1" min="13" max="13" width="16.88"/>
    <col customWidth="1" min="16" max="16" width="58.63"/>
    <col customWidth="1" min="17" max="17" width="35.75"/>
  </cols>
  <sheetData>
    <row r="1">
      <c r="A1" s="1"/>
      <c r="B1" s="3"/>
      <c r="C1" s="7"/>
      <c r="D1" s="1"/>
      <c r="E1" s="1"/>
      <c r="F1" s="1"/>
      <c r="G1" s="1"/>
      <c r="H1" s="13"/>
      <c r="I1" s="1"/>
      <c r="J1" s="3"/>
      <c r="K1" s="3"/>
      <c r="L1" s="1"/>
      <c r="M1" s="1"/>
      <c r="N1" s="3"/>
      <c r="O1" s="1"/>
      <c r="P1" s="15"/>
      <c r="Q1" s="15"/>
      <c r="R1" s="1"/>
      <c r="S1" s="1"/>
    </row>
    <row r="2">
      <c r="A2" s="1"/>
      <c r="B2" s="16" t="s">
        <v>5</v>
      </c>
      <c r="C2" s="7"/>
      <c r="D2" s="1"/>
      <c r="E2" s="1"/>
      <c r="F2" s="1"/>
      <c r="G2" s="1"/>
      <c r="H2" s="17"/>
      <c r="I2" s="1"/>
      <c r="J2" s="3"/>
      <c r="K2" s="3"/>
      <c r="L2" s="1"/>
      <c r="M2" s="1"/>
      <c r="N2" s="3"/>
      <c r="O2" s="1"/>
      <c r="P2" s="15"/>
      <c r="Q2" s="15"/>
      <c r="R2" s="1"/>
      <c r="S2" s="1"/>
    </row>
    <row r="3">
      <c r="A3" s="1"/>
      <c r="B3" s="3"/>
      <c r="C3" s="7"/>
      <c r="D3" s="1"/>
      <c r="E3" s="1"/>
      <c r="F3" s="1"/>
      <c r="G3" s="1"/>
      <c r="H3" s="13"/>
      <c r="I3" s="1"/>
      <c r="J3" s="3"/>
      <c r="K3" s="3"/>
      <c r="L3" s="1"/>
      <c r="M3" s="1"/>
      <c r="N3" s="3"/>
      <c r="O3" s="1"/>
      <c r="P3" s="15"/>
      <c r="Q3" s="15"/>
      <c r="R3" s="1"/>
      <c r="S3" s="1"/>
    </row>
    <row r="4" collapsed="1">
      <c r="A4" s="2"/>
      <c r="B4" s="21" t="s">
        <v>15</v>
      </c>
      <c r="C4" s="24" t="s">
        <v>3</v>
      </c>
      <c r="D4" s="24" t="s">
        <v>4</v>
      </c>
      <c r="E4" s="24" t="s">
        <v>17</v>
      </c>
      <c r="F4" s="24" t="s">
        <v>18</v>
      </c>
      <c r="G4" s="24" t="s">
        <v>19</v>
      </c>
      <c r="H4" s="26" t="s">
        <v>7</v>
      </c>
      <c r="I4" s="24" t="s">
        <v>8</v>
      </c>
      <c r="J4" s="21" t="s">
        <v>20</v>
      </c>
      <c r="K4" s="21" t="s">
        <v>21</v>
      </c>
      <c r="L4" s="24" t="s">
        <v>9</v>
      </c>
      <c r="M4" s="24" t="s">
        <v>10</v>
      </c>
      <c r="N4" s="21" t="s">
        <v>12</v>
      </c>
      <c r="O4" s="24" t="s">
        <v>22</v>
      </c>
      <c r="P4" s="28" t="s">
        <v>23</v>
      </c>
      <c r="Q4" s="28" t="s">
        <v>24</v>
      </c>
      <c r="R4" s="2"/>
      <c r="S4" s="2"/>
    </row>
    <row r="5" hidden="1" outlineLevel="1">
      <c r="A5" s="1"/>
      <c r="B5" s="17">
        <v>1.0</v>
      </c>
      <c r="C5" s="31" t="s">
        <v>25</v>
      </c>
      <c r="D5" s="37" t="s">
        <v>38</v>
      </c>
      <c r="E5" s="1"/>
      <c r="F5" s="43" t="s">
        <v>40</v>
      </c>
      <c r="G5" s="37"/>
      <c r="H5" s="46">
        <v>45994.0</v>
      </c>
      <c r="I5" s="37" t="s">
        <v>50</v>
      </c>
      <c r="J5" s="49"/>
      <c r="K5" s="49"/>
      <c r="L5" s="37" t="s">
        <v>58</v>
      </c>
      <c r="M5" s="37" t="s">
        <v>59</v>
      </c>
      <c r="N5" s="17" t="s">
        <v>39</v>
      </c>
      <c r="O5" s="1"/>
      <c r="P5" s="15"/>
      <c r="Q5" s="15"/>
      <c r="R5" s="1"/>
      <c r="S5" s="1"/>
    </row>
    <row r="6" hidden="1" outlineLevel="1">
      <c r="A6" s="1"/>
      <c r="B6" s="3">
        <v>2.0</v>
      </c>
      <c r="C6" s="31" t="s">
        <v>64</v>
      </c>
      <c r="D6" s="37" t="s">
        <v>38</v>
      </c>
      <c r="E6" s="1"/>
      <c r="F6" s="43" t="s">
        <v>67</v>
      </c>
      <c r="G6" s="37"/>
      <c r="H6" s="46">
        <v>45994.0</v>
      </c>
      <c r="I6" s="37" t="s">
        <v>77</v>
      </c>
      <c r="J6" s="49"/>
      <c r="K6" s="49"/>
      <c r="L6" s="37" t="s">
        <v>58</v>
      </c>
      <c r="M6" s="37" t="s">
        <v>54</v>
      </c>
      <c r="N6" s="17" t="s">
        <v>28</v>
      </c>
      <c r="O6" s="1"/>
      <c r="P6" s="15"/>
      <c r="Q6" s="15"/>
      <c r="R6" s="1"/>
      <c r="S6" s="1"/>
    </row>
    <row r="7" hidden="1" outlineLevel="1">
      <c r="A7" s="1"/>
      <c r="B7" s="3">
        <f t="shared" ref="B7:B754" si="1">IF(C7&gt;"",B6+1,"")</f>
        <v>3</v>
      </c>
      <c r="C7" s="31" t="s">
        <v>95</v>
      </c>
      <c r="D7" s="37" t="s">
        <v>96</v>
      </c>
      <c r="E7" s="37"/>
      <c r="F7" s="43" t="s">
        <v>98</v>
      </c>
      <c r="G7" s="37"/>
      <c r="H7" s="46">
        <v>45994.0</v>
      </c>
      <c r="I7" s="37" t="s">
        <v>50</v>
      </c>
      <c r="J7" s="49"/>
      <c r="K7" s="49"/>
      <c r="L7" s="37" t="s">
        <v>58</v>
      </c>
      <c r="M7" s="37" t="s">
        <v>59</v>
      </c>
      <c r="N7" s="17" t="s">
        <v>28</v>
      </c>
      <c r="O7" s="37" t="s">
        <v>107</v>
      </c>
      <c r="P7" s="67" t="s">
        <v>107</v>
      </c>
      <c r="Q7" s="15"/>
      <c r="R7" s="1"/>
      <c r="S7" s="1"/>
    </row>
    <row r="8" hidden="1" outlineLevel="1">
      <c r="A8" s="1"/>
      <c r="B8" s="3">
        <f t="shared" si="1"/>
        <v>4</v>
      </c>
      <c r="C8" s="31" t="s">
        <v>109</v>
      </c>
      <c r="D8" s="37" t="s">
        <v>83</v>
      </c>
      <c r="E8" s="1"/>
      <c r="F8" s="43" t="s">
        <v>113</v>
      </c>
      <c r="G8" s="37"/>
      <c r="H8" s="46">
        <v>45994.0</v>
      </c>
      <c r="I8" s="37" t="s">
        <v>79</v>
      </c>
      <c r="J8" s="49"/>
      <c r="K8" s="49"/>
      <c r="L8" s="37" t="s">
        <v>58</v>
      </c>
      <c r="M8" s="37" t="s">
        <v>74</v>
      </c>
      <c r="N8" s="17" t="s">
        <v>28</v>
      </c>
      <c r="O8" s="1"/>
      <c r="P8" s="15"/>
      <c r="Q8" s="15"/>
      <c r="R8" s="1"/>
      <c r="S8" s="1"/>
    </row>
    <row r="9" hidden="1" outlineLevel="1">
      <c r="A9" s="1"/>
      <c r="B9" s="3">
        <f t="shared" si="1"/>
        <v>5</v>
      </c>
      <c r="C9" s="31" t="s">
        <v>122</v>
      </c>
      <c r="D9" s="37" t="s">
        <v>96</v>
      </c>
      <c r="E9" s="1"/>
      <c r="F9" s="43" t="s">
        <v>123</v>
      </c>
      <c r="G9" s="37"/>
      <c r="H9" s="46">
        <v>45994.0</v>
      </c>
      <c r="I9" s="37" t="s">
        <v>77</v>
      </c>
      <c r="J9" s="49"/>
      <c r="K9" s="49"/>
      <c r="L9" s="37" t="s">
        <v>58</v>
      </c>
      <c r="M9" s="37" t="s">
        <v>130</v>
      </c>
      <c r="N9" s="17" t="s">
        <v>28</v>
      </c>
      <c r="O9" s="1" t="s">
        <v>107</v>
      </c>
      <c r="P9" s="15" t="s">
        <v>39</v>
      </c>
      <c r="Q9" s="15" t="s">
        <v>132</v>
      </c>
      <c r="R9" s="1"/>
      <c r="S9" s="1"/>
    </row>
    <row r="10" hidden="1" outlineLevel="1">
      <c r="A10" s="1"/>
      <c r="B10" s="3">
        <f t="shared" si="1"/>
        <v>6</v>
      </c>
      <c r="C10" s="31" t="s">
        <v>133</v>
      </c>
      <c r="D10" s="37" t="s">
        <v>96</v>
      </c>
      <c r="E10" s="1"/>
      <c r="F10" s="43" t="s">
        <v>135</v>
      </c>
      <c r="G10" s="37"/>
      <c r="H10" s="46">
        <v>45994.0</v>
      </c>
      <c r="I10" s="37" t="s">
        <v>79</v>
      </c>
      <c r="J10" s="49"/>
      <c r="K10" s="49"/>
      <c r="L10" s="37" t="s">
        <v>58</v>
      </c>
      <c r="M10" s="37" t="s">
        <v>78</v>
      </c>
      <c r="N10" s="17" t="s">
        <v>28</v>
      </c>
      <c r="O10" s="1" t="s">
        <v>107</v>
      </c>
      <c r="P10" s="15" t="s">
        <v>140</v>
      </c>
      <c r="Q10" s="67" t="s">
        <v>141</v>
      </c>
      <c r="R10" s="1"/>
      <c r="S10" s="1"/>
    </row>
    <row r="11" hidden="1" outlineLevel="1">
      <c r="A11" s="1"/>
      <c r="B11" s="3">
        <f t="shared" si="1"/>
        <v>7</v>
      </c>
      <c r="C11" s="31" t="s">
        <v>142</v>
      </c>
      <c r="D11" s="37" t="s">
        <v>49</v>
      </c>
      <c r="E11" s="1"/>
      <c r="F11" s="43" t="s">
        <v>144</v>
      </c>
      <c r="G11" s="37"/>
      <c r="H11" s="46">
        <v>45994.0</v>
      </c>
      <c r="I11" s="37" t="s">
        <v>79</v>
      </c>
      <c r="J11" s="49"/>
      <c r="K11" s="49"/>
      <c r="L11" s="37" t="s">
        <v>58</v>
      </c>
      <c r="M11" s="37" t="s">
        <v>45</v>
      </c>
      <c r="N11" s="17" t="s">
        <v>39</v>
      </c>
      <c r="O11" s="1"/>
      <c r="P11" s="15"/>
      <c r="Q11" s="15" t="s">
        <v>147</v>
      </c>
      <c r="R11" s="1"/>
      <c r="S11" s="1"/>
    </row>
    <row r="12" hidden="1" outlineLevel="1">
      <c r="A12" s="1"/>
      <c r="B12" s="3">
        <f t="shared" si="1"/>
        <v>8</v>
      </c>
      <c r="C12" s="31" t="s">
        <v>148</v>
      </c>
      <c r="D12" s="37" t="s">
        <v>44</v>
      </c>
      <c r="E12" s="37"/>
      <c r="F12" s="43" t="s">
        <v>149</v>
      </c>
      <c r="G12" s="37"/>
      <c r="H12" s="46">
        <v>45994.0</v>
      </c>
      <c r="I12" s="37" t="s">
        <v>50</v>
      </c>
      <c r="J12" s="49"/>
      <c r="K12" s="49"/>
      <c r="L12" s="37" t="s">
        <v>58</v>
      </c>
      <c r="M12" s="37" t="s">
        <v>74</v>
      </c>
      <c r="N12" s="17" t="s">
        <v>39</v>
      </c>
      <c r="O12" s="1"/>
      <c r="P12" s="67" t="s">
        <v>152</v>
      </c>
      <c r="Q12" s="15"/>
      <c r="R12" s="1"/>
      <c r="S12" s="1"/>
    </row>
    <row r="13" hidden="1" outlineLevel="1">
      <c r="A13" s="1"/>
      <c r="B13" s="3">
        <f t="shared" si="1"/>
        <v>9</v>
      </c>
      <c r="C13" s="31" t="s">
        <v>153</v>
      </c>
      <c r="D13" s="37" t="s">
        <v>83</v>
      </c>
      <c r="E13" s="1"/>
      <c r="F13" s="43" t="s">
        <v>154</v>
      </c>
      <c r="G13" s="37"/>
      <c r="H13" s="46">
        <v>45994.0</v>
      </c>
      <c r="I13" s="37" t="s">
        <v>77</v>
      </c>
      <c r="J13" s="49"/>
      <c r="K13" s="49"/>
      <c r="L13" s="37" t="s">
        <v>58</v>
      </c>
      <c r="M13" s="37" t="s">
        <v>74</v>
      </c>
      <c r="N13" s="17" t="s">
        <v>39</v>
      </c>
      <c r="O13" s="1"/>
      <c r="P13" s="15"/>
      <c r="Q13" s="67" t="s">
        <v>158</v>
      </c>
      <c r="R13" s="1"/>
      <c r="S13" s="1"/>
    </row>
    <row r="14" hidden="1" outlineLevel="1">
      <c r="A14" s="1"/>
      <c r="B14" s="3">
        <f t="shared" si="1"/>
        <v>10</v>
      </c>
      <c r="C14" s="31" t="s">
        <v>160</v>
      </c>
      <c r="D14" s="37" t="s">
        <v>44</v>
      </c>
      <c r="E14" s="37"/>
      <c r="F14" s="43" t="s">
        <v>161</v>
      </c>
      <c r="G14" s="37"/>
      <c r="H14" s="46">
        <v>45994.0</v>
      </c>
      <c r="I14" s="37" t="s">
        <v>77</v>
      </c>
      <c r="J14" s="49"/>
      <c r="K14" s="49"/>
      <c r="L14" s="37" t="s">
        <v>58</v>
      </c>
      <c r="M14" s="37" t="s">
        <v>164</v>
      </c>
      <c r="N14" s="17" t="s">
        <v>28</v>
      </c>
      <c r="O14" s="1"/>
      <c r="P14" s="67" t="s">
        <v>165</v>
      </c>
      <c r="Q14" s="15"/>
      <c r="R14" s="1"/>
      <c r="S14" s="1"/>
    </row>
    <row r="15" hidden="1" outlineLevel="1">
      <c r="A15" s="1"/>
      <c r="B15" s="3">
        <f t="shared" si="1"/>
        <v>11</v>
      </c>
      <c r="C15" s="31" t="s">
        <v>166</v>
      </c>
      <c r="D15" s="37" t="s">
        <v>44</v>
      </c>
      <c r="E15" s="37"/>
      <c r="F15" s="43" t="s">
        <v>167</v>
      </c>
      <c r="G15" s="37"/>
      <c r="H15" s="46">
        <v>45994.0</v>
      </c>
      <c r="I15" s="37" t="s">
        <v>79</v>
      </c>
      <c r="J15" s="49"/>
      <c r="K15" s="49"/>
      <c r="L15" s="37" t="s">
        <v>58</v>
      </c>
      <c r="M15" s="37" t="s">
        <v>60</v>
      </c>
      <c r="N15" s="17" t="s">
        <v>28</v>
      </c>
      <c r="O15" s="1"/>
      <c r="P15" s="67" t="s">
        <v>173</v>
      </c>
      <c r="Q15" s="15" t="s">
        <v>174</v>
      </c>
      <c r="R15" s="1"/>
      <c r="S15" s="1"/>
    </row>
    <row r="16" hidden="1" outlineLevel="1">
      <c r="A16" s="1"/>
      <c r="B16" s="3">
        <f t="shared" si="1"/>
        <v>12</v>
      </c>
      <c r="C16" s="31" t="s">
        <v>175</v>
      </c>
      <c r="D16" s="37" t="s">
        <v>44</v>
      </c>
      <c r="E16" s="1"/>
      <c r="F16" s="43" t="s">
        <v>176</v>
      </c>
      <c r="G16" s="37"/>
      <c r="H16" s="46">
        <v>45994.0</v>
      </c>
      <c r="I16" s="37" t="s">
        <v>77</v>
      </c>
      <c r="J16" s="49"/>
      <c r="K16" s="49"/>
      <c r="L16" s="37" t="s">
        <v>58</v>
      </c>
      <c r="M16" s="37" t="s">
        <v>78</v>
      </c>
      <c r="N16" s="17" t="s">
        <v>39</v>
      </c>
      <c r="O16" s="1"/>
      <c r="P16" s="15" t="s">
        <v>179</v>
      </c>
      <c r="Q16" s="15" t="s">
        <v>180</v>
      </c>
      <c r="R16" s="1"/>
      <c r="S16" s="1"/>
    </row>
    <row r="17" hidden="1" outlineLevel="1">
      <c r="A17" s="1"/>
      <c r="B17" s="3">
        <f t="shared" si="1"/>
        <v>13</v>
      </c>
      <c r="C17" s="31" t="s">
        <v>181</v>
      </c>
      <c r="D17" s="37" t="s">
        <v>44</v>
      </c>
      <c r="E17" s="1"/>
      <c r="F17" s="43" t="s">
        <v>183</v>
      </c>
      <c r="G17" s="37"/>
      <c r="H17" s="46">
        <v>45994.0</v>
      </c>
      <c r="I17" s="37" t="s">
        <v>77</v>
      </c>
      <c r="J17" s="49"/>
      <c r="K17" s="49"/>
      <c r="L17" s="37" t="s">
        <v>58</v>
      </c>
      <c r="M17" s="37" t="s">
        <v>57</v>
      </c>
      <c r="N17" s="17" t="s">
        <v>28</v>
      </c>
      <c r="O17" s="1"/>
      <c r="P17" s="15"/>
      <c r="Q17" s="15"/>
      <c r="R17" s="1"/>
      <c r="S17" s="1"/>
    </row>
    <row r="18" hidden="1" outlineLevel="1">
      <c r="A18" s="1"/>
      <c r="B18" s="3">
        <f t="shared" si="1"/>
        <v>14</v>
      </c>
      <c r="C18" s="31" t="s">
        <v>185</v>
      </c>
      <c r="D18" s="37" t="s">
        <v>44</v>
      </c>
      <c r="E18" s="1"/>
      <c r="F18" s="37"/>
      <c r="G18" s="37"/>
      <c r="H18" s="46">
        <v>45999.0</v>
      </c>
      <c r="I18" s="37" t="s">
        <v>77</v>
      </c>
      <c r="J18" s="49"/>
      <c r="K18" s="49"/>
      <c r="L18" s="37" t="s">
        <v>189</v>
      </c>
      <c r="M18" s="37" t="s">
        <v>130</v>
      </c>
      <c r="N18" s="17" t="s">
        <v>39</v>
      </c>
      <c r="O18" s="1"/>
      <c r="P18" s="15" t="s">
        <v>190</v>
      </c>
      <c r="Q18" s="15"/>
      <c r="R18" s="1"/>
      <c r="S18" s="1"/>
    </row>
    <row r="19" hidden="1" outlineLevel="1">
      <c r="A19" s="1"/>
      <c r="B19" s="3">
        <f t="shared" si="1"/>
        <v>15</v>
      </c>
      <c r="C19" s="31" t="s">
        <v>191</v>
      </c>
      <c r="D19" s="37" t="s">
        <v>56</v>
      </c>
      <c r="E19" s="1"/>
      <c r="F19" s="37"/>
      <c r="G19" s="37"/>
      <c r="H19" s="46">
        <v>45999.0</v>
      </c>
      <c r="I19" s="37" t="s">
        <v>79</v>
      </c>
      <c r="J19" s="49"/>
      <c r="K19" s="49"/>
      <c r="L19" s="37" t="s">
        <v>58</v>
      </c>
      <c r="M19" s="37" t="s">
        <v>45</v>
      </c>
      <c r="N19" s="17" t="s">
        <v>39</v>
      </c>
      <c r="O19" s="1"/>
      <c r="P19" s="15"/>
      <c r="Q19" s="15" t="s">
        <v>194</v>
      </c>
      <c r="R19" s="1"/>
      <c r="S19" s="1"/>
    </row>
    <row r="20" hidden="1" outlineLevel="1">
      <c r="A20" s="1"/>
      <c r="B20" s="3">
        <f t="shared" si="1"/>
        <v>16</v>
      </c>
      <c r="C20" s="31" t="s">
        <v>195</v>
      </c>
      <c r="D20" s="37" t="s">
        <v>56</v>
      </c>
      <c r="E20" s="1"/>
      <c r="F20" s="43" t="s">
        <v>196</v>
      </c>
      <c r="G20" s="37"/>
      <c r="H20" s="46">
        <v>45994.0</v>
      </c>
      <c r="I20" s="37" t="s">
        <v>79</v>
      </c>
      <c r="J20" s="49"/>
      <c r="K20" s="49"/>
      <c r="L20" s="37" t="s">
        <v>58</v>
      </c>
      <c r="M20" s="37" t="s">
        <v>57</v>
      </c>
      <c r="N20" s="17"/>
      <c r="O20" s="1"/>
      <c r="P20" s="15" t="s">
        <v>201</v>
      </c>
      <c r="Q20" s="15"/>
      <c r="R20" s="1"/>
      <c r="S20" s="1"/>
    </row>
    <row r="21" hidden="1" outlineLevel="1">
      <c r="A21" s="1"/>
      <c r="B21" s="3">
        <f t="shared" si="1"/>
        <v>17</v>
      </c>
      <c r="C21" s="31" t="s">
        <v>202</v>
      </c>
      <c r="D21" s="37" t="s">
        <v>44</v>
      </c>
      <c r="E21" s="1"/>
      <c r="F21" s="43" t="s">
        <v>203</v>
      </c>
      <c r="G21" s="37"/>
      <c r="H21" s="46">
        <v>45994.0</v>
      </c>
      <c r="I21" s="37" t="s">
        <v>79</v>
      </c>
      <c r="J21" s="49"/>
      <c r="K21" s="49"/>
      <c r="L21" s="37" t="s">
        <v>58</v>
      </c>
      <c r="M21" s="37" t="s">
        <v>57</v>
      </c>
      <c r="N21" s="17"/>
      <c r="O21" s="1"/>
      <c r="P21" s="15"/>
      <c r="Q21" s="15" t="s">
        <v>206</v>
      </c>
      <c r="R21" s="1"/>
      <c r="S21" s="1"/>
    </row>
    <row r="22" hidden="1" outlineLevel="1">
      <c r="A22" s="1"/>
      <c r="B22" s="3">
        <f t="shared" si="1"/>
        <v>18</v>
      </c>
      <c r="C22" s="31" t="s">
        <v>207</v>
      </c>
      <c r="D22" s="37" t="s">
        <v>112</v>
      </c>
      <c r="E22" s="1"/>
      <c r="F22" s="37"/>
      <c r="G22" s="37"/>
      <c r="H22" s="46">
        <v>45994.0</v>
      </c>
      <c r="I22" s="37" t="s">
        <v>79</v>
      </c>
      <c r="J22" s="49"/>
      <c r="K22" s="49"/>
      <c r="L22" s="37" t="s">
        <v>58</v>
      </c>
      <c r="M22" s="37" t="s">
        <v>57</v>
      </c>
      <c r="N22" s="17" t="s">
        <v>39</v>
      </c>
      <c r="O22" s="1"/>
      <c r="P22" s="15" t="s">
        <v>209</v>
      </c>
      <c r="Q22" s="15" t="s">
        <v>210</v>
      </c>
      <c r="R22" s="1"/>
      <c r="S22" s="1"/>
    </row>
    <row r="23" hidden="1" outlineLevel="1">
      <c r="A23" s="1"/>
      <c r="B23" s="3">
        <f t="shared" si="1"/>
        <v>19</v>
      </c>
      <c r="C23" s="31" t="s">
        <v>211</v>
      </c>
      <c r="D23" s="37" t="s">
        <v>56</v>
      </c>
      <c r="E23" s="1"/>
      <c r="F23" s="43" t="s">
        <v>212</v>
      </c>
      <c r="G23" s="37"/>
      <c r="H23" s="46">
        <v>45994.0</v>
      </c>
      <c r="I23" s="37" t="s">
        <v>50</v>
      </c>
      <c r="J23" s="49"/>
      <c r="K23" s="49"/>
      <c r="L23" s="37" t="s">
        <v>58</v>
      </c>
      <c r="M23" s="37" t="s">
        <v>45</v>
      </c>
      <c r="N23" s="17" t="s">
        <v>39</v>
      </c>
      <c r="O23" s="1"/>
      <c r="P23" s="15" t="s">
        <v>215</v>
      </c>
      <c r="Q23" s="67" t="s">
        <v>216</v>
      </c>
      <c r="R23" s="1"/>
      <c r="S23" s="1"/>
    </row>
    <row r="24" hidden="1" outlineLevel="1">
      <c r="A24" s="1"/>
      <c r="B24" s="3">
        <f t="shared" si="1"/>
        <v>20</v>
      </c>
      <c r="C24" s="31" t="s">
        <v>217</v>
      </c>
      <c r="D24" s="37" t="s">
        <v>218</v>
      </c>
      <c r="E24" s="1"/>
      <c r="F24" s="43" t="s">
        <v>220</v>
      </c>
      <c r="G24" s="37"/>
      <c r="H24" s="46">
        <v>45994.0</v>
      </c>
      <c r="I24" s="37" t="s">
        <v>50</v>
      </c>
      <c r="J24" s="49"/>
      <c r="K24" s="49"/>
      <c r="L24" s="37" t="s">
        <v>58</v>
      </c>
      <c r="M24" s="37" t="s">
        <v>53</v>
      </c>
      <c r="N24" s="17" t="s">
        <v>28</v>
      </c>
      <c r="O24" s="1"/>
      <c r="P24" s="15" t="s">
        <v>228</v>
      </c>
      <c r="Q24" s="15"/>
      <c r="R24" s="1"/>
      <c r="S24" s="1"/>
    </row>
    <row r="25" hidden="1" outlineLevel="1">
      <c r="A25" s="1"/>
      <c r="B25" s="3">
        <f t="shared" si="1"/>
        <v>21</v>
      </c>
      <c r="C25" s="31" t="s">
        <v>230</v>
      </c>
      <c r="D25" s="37" t="s">
        <v>49</v>
      </c>
      <c r="E25" s="1"/>
      <c r="F25" s="37"/>
      <c r="G25" s="37"/>
      <c r="H25" s="46">
        <v>45994.0</v>
      </c>
      <c r="I25" s="37" t="s">
        <v>77</v>
      </c>
      <c r="J25" s="49"/>
      <c r="K25" s="49"/>
      <c r="L25" s="37" t="s">
        <v>58</v>
      </c>
      <c r="M25" s="37" t="s">
        <v>53</v>
      </c>
      <c r="N25" s="17" t="s">
        <v>28</v>
      </c>
      <c r="O25" s="1"/>
      <c r="P25" s="15" t="s">
        <v>228</v>
      </c>
      <c r="Q25" s="15"/>
      <c r="R25" s="1"/>
      <c r="S25" s="1"/>
    </row>
    <row r="26" hidden="1" outlineLevel="1">
      <c r="A26" s="1"/>
      <c r="B26" s="3">
        <f t="shared" si="1"/>
        <v>22</v>
      </c>
      <c r="C26" s="31" t="s">
        <v>234</v>
      </c>
      <c r="D26" s="37" t="s">
        <v>96</v>
      </c>
      <c r="E26" s="1"/>
      <c r="F26" s="43" t="s">
        <v>235</v>
      </c>
      <c r="G26" s="37"/>
      <c r="H26" s="46">
        <v>45994.0</v>
      </c>
      <c r="I26" s="37" t="s">
        <v>77</v>
      </c>
      <c r="J26" s="49"/>
      <c r="K26" s="49"/>
      <c r="L26" s="37" t="s">
        <v>58</v>
      </c>
      <c r="M26" s="37" t="s">
        <v>53</v>
      </c>
      <c r="N26" s="17" t="s">
        <v>39</v>
      </c>
      <c r="O26" s="1"/>
      <c r="P26" s="15" t="s">
        <v>228</v>
      </c>
      <c r="Q26" s="67" t="s">
        <v>238</v>
      </c>
      <c r="R26" s="1"/>
      <c r="S26" s="1"/>
    </row>
    <row r="27" hidden="1" outlineLevel="1">
      <c r="A27" s="1"/>
      <c r="B27" s="3">
        <f t="shared" si="1"/>
        <v>23</v>
      </c>
      <c r="C27" s="31" t="s">
        <v>240</v>
      </c>
      <c r="D27" s="37" t="s">
        <v>56</v>
      </c>
      <c r="E27" s="1"/>
      <c r="F27" s="37"/>
      <c r="G27" s="37"/>
      <c r="H27" s="46"/>
      <c r="I27" s="37" t="s">
        <v>77</v>
      </c>
      <c r="J27" s="49"/>
      <c r="K27" s="49"/>
      <c r="L27" s="37" t="s">
        <v>58</v>
      </c>
      <c r="M27" s="37" t="s">
        <v>78</v>
      </c>
      <c r="N27" s="17" t="s">
        <v>28</v>
      </c>
      <c r="O27" s="1"/>
      <c r="P27" s="15" t="s">
        <v>242</v>
      </c>
      <c r="Q27" s="15"/>
      <c r="R27" s="1"/>
      <c r="S27" s="1"/>
    </row>
    <row r="28" hidden="1" outlineLevel="1">
      <c r="A28" s="1"/>
      <c r="B28" s="3">
        <f t="shared" si="1"/>
        <v>24</v>
      </c>
      <c r="C28" s="31" t="s">
        <v>243</v>
      </c>
      <c r="D28" s="37" t="s">
        <v>49</v>
      </c>
      <c r="E28" s="1"/>
      <c r="F28" s="43" t="s">
        <v>244</v>
      </c>
      <c r="G28" s="37"/>
      <c r="H28" s="46">
        <v>45994.0</v>
      </c>
      <c r="I28" s="37" t="s">
        <v>79</v>
      </c>
      <c r="J28" s="49"/>
      <c r="K28" s="49"/>
      <c r="L28" s="37" t="s">
        <v>58</v>
      </c>
      <c r="M28" s="37" t="s">
        <v>130</v>
      </c>
      <c r="N28" s="17"/>
      <c r="O28" s="1"/>
      <c r="P28" s="15"/>
      <c r="Q28" s="15"/>
      <c r="R28" s="1"/>
      <c r="S28" s="1"/>
    </row>
    <row r="29" hidden="1" outlineLevel="1">
      <c r="A29" s="1"/>
      <c r="B29" s="3">
        <f t="shared" si="1"/>
        <v>25</v>
      </c>
      <c r="C29" s="31" t="s">
        <v>249</v>
      </c>
      <c r="D29" s="37" t="s">
        <v>49</v>
      </c>
      <c r="E29" s="1"/>
      <c r="F29" s="43" t="s">
        <v>250</v>
      </c>
      <c r="G29" s="37"/>
      <c r="H29" s="46">
        <v>45994.0</v>
      </c>
      <c r="I29" s="37" t="s">
        <v>50</v>
      </c>
      <c r="J29" s="49"/>
      <c r="K29" s="49"/>
      <c r="L29" s="37" t="s">
        <v>58</v>
      </c>
      <c r="M29" s="37" t="s">
        <v>130</v>
      </c>
      <c r="N29" s="17"/>
      <c r="O29" s="1"/>
      <c r="P29" s="15"/>
      <c r="Q29" s="15"/>
      <c r="R29" s="1"/>
      <c r="S29" s="1"/>
    </row>
    <row r="30" hidden="1" outlineLevel="1">
      <c r="A30" s="1"/>
      <c r="B30" s="3">
        <f t="shared" si="1"/>
        <v>26</v>
      </c>
      <c r="C30" s="31" t="s">
        <v>253</v>
      </c>
      <c r="D30" s="37" t="s">
        <v>49</v>
      </c>
      <c r="E30" s="1"/>
      <c r="F30" s="43" t="s">
        <v>254</v>
      </c>
      <c r="G30" s="37"/>
      <c r="H30" s="46">
        <v>45994.0</v>
      </c>
      <c r="I30" s="37" t="s">
        <v>77</v>
      </c>
      <c r="J30" s="49"/>
      <c r="K30" s="49"/>
      <c r="L30" s="37" t="s">
        <v>58</v>
      </c>
      <c r="M30" s="37" t="s">
        <v>130</v>
      </c>
      <c r="N30" s="17"/>
      <c r="O30" s="1"/>
      <c r="P30" s="15"/>
      <c r="Q30" s="15"/>
      <c r="R30" s="1"/>
      <c r="S30" s="1"/>
    </row>
    <row r="31" hidden="1" outlineLevel="1">
      <c r="A31" s="1"/>
      <c r="B31" s="3">
        <f t="shared" si="1"/>
        <v>27</v>
      </c>
      <c r="C31" s="31" t="s">
        <v>256</v>
      </c>
      <c r="D31" s="37" t="s">
        <v>49</v>
      </c>
      <c r="E31" s="1"/>
      <c r="F31" s="37"/>
      <c r="G31" s="37"/>
      <c r="H31" s="46">
        <v>45994.0</v>
      </c>
      <c r="I31" s="37" t="s">
        <v>77</v>
      </c>
      <c r="J31" s="49"/>
      <c r="K31" s="49"/>
      <c r="L31" s="37" t="s">
        <v>58</v>
      </c>
      <c r="M31" s="37" t="s">
        <v>130</v>
      </c>
      <c r="N31" s="17"/>
      <c r="O31" s="1"/>
      <c r="P31" s="15"/>
      <c r="Q31" s="15"/>
      <c r="R31" s="1"/>
      <c r="S31" s="1"/>
    </row>
    <row r="32" hidden="1" outlineLevel="1">
      <c r="A32" s="1"/>
      <c r="B32" s="3">
        <f t="shared" si="1"/>
        <v>28</v>
      </c>
      <c r="C32" s="31" t="s">
        <v>258</v>
      </c>
      <c r="D32" s="37" t="s">
        <v>56</v>
      </c>
      <c r="E32" s="37"/>
      <c r="F32" s="37"/>
      <c r="G32" s="37"/>
      <c r="H32" s="46">
        <v>45994.0</v>
      </c>
      <c r="I32" s="37" t="s">
        <v>79</v>
      </c>
      <c r="J32" s="49"/>
      <c r="K32" s="49"/>
      <c r="L32" s="37" t="s">
        <v>58</v>
      </c>
      <c r="M32" s="37" t="s">
        <v>60</v>
      </c>
      <c r="N32" s="17" t="s">
        <v>28</v>
      </c>
      <c r="O32" s="37" t="s">
        <v>16</v>
      </c>
      <c r="P32" s="67" t="s">
        <v>260</v>
      </c>
      <c r="Q32" s="15"/>
      <c r="R32" s="1"/>
      <c r="S32" s="1"/>
    </row>
    <row r="33" hidden="1" outlineLevel="1">
      <c r="A33" s="1"/>
      <c r="B33" s="3">
        <f t="shared" si="1"/>
        <v>29</v>
      </c>
      <c r="C33" s="31" t="s">
        <v>261</v>
      </c>
      <c r="D33" s="37" t="s">
        <v>56</v>
      </c>
      <c r="E33" s="37"/>
      <c r="F33" s="43" t="s">
        <v>263</v>
      </c>
      <c r="G33" s="37"/>
      <c r="H33" s="46">
        <v>45994.0</v>
      </c>
      <c r="I33" s="37" t="s">
        <v>77</v>
      </c>
      <c r="J33" s="49"/>
      <c r="K33" s="49"/>
      <c r="L33" s="37" t="s">
        <v>58</v>
      </c>
      <c r="M33" s="37" t="s">
        <v>59</v>
      </c>
      <c r="N33" s="17" t="s">
        <v>39</v>
      </c>
      <c r="O33" s="1"/>
      <c r="P33" s="67" t="s">
        <v>267</v>
      </c>
      <c r="Q33" s="67" t="s">
        <v>268</v>
      </c>
      <c r="R33" s="1"/>
      <c r="S33" s="1"/>
    </row>
    <row r="34" hidden="1" outlineLevel="1">
      <c r="A34" s="1"/>
      <c r="B34" s="3">
        <f t="shared" si="1"/>
        <v>30</v>
      </c>
      <c r="C34" s="31" t="s">
        <v>269</v>
      </c>
      <c r="D34" s="37" t="s">
        <v>103</v>
      </c>
      <c r="E34" s="1"/>
      <c r="F34" s="37"/>
      <c r="G34" s="37"/>
      <c r="H34" s="46">
        <v>45999.0</v>
      </c>
      <c r="I34" s="37" t="s">
        <v>77</v>
      </c>
      <c r="J34" s="49"/>
      <c r="K34" s="49"/>
      <c r="L34" s="37" t="s">
        <v>58</v>
      </c>
      <c r="M34" s="37" t="s">
        <v>130</v>
      </c>
      <c r="N34" s="17"/>
      <c r="O34" s="1"/>
      <c r="P34" s="15"/>
      <c r="Q34" s="15"/>
      <c r="R34" s="1"/>
      <c r="S34" s="1"/>
    </row>
    <row r="35" hidden="1" outlineLevel="1">
      <c r="A35" s="1"/>
      <c r="B35" s="3">
        <f t="shared" si="1"/>
        <v>31</v>
      </c>
      <c r="C35" s="31" t="s">
        <v>271</v>
      </c>
      <c r="D35" s="37" t="s">
        <v>44</v>
      </c>
      <c r="E35" s="1"/>
      <c r="F35" s="37"/>
      <c r="G35" s="37"/>
      <c r="H35" s="46">
        <v>45999.0</v>
      </c>
      <c r="I35" s="37" t="s">
        <v>77</v>
      </c>
      <c r="J35" s="49"/>
      <c r="K35" s="49"/>
      <c r="L35" s="37" t="s">
        <v>58</v>
      </c>
      <c r="M35" s="37" t="s">
        <v>130</v>
      </c>
      <c r="N35" s="17"/>
      <c r="O35" s="1"/>
      <c r="P35" s="15"/>
      <c r="Q35" s="15"/>
      <c r="R35" s="1"/>
      <c r="S35" s="1"/>
    </row>
    <row r="36" hidden="1" outlineLevel="1">
      <c r="A36" s="1"/>
      <c r="B36" s="3">
        <f t="shared" si="1"/>
        <v>32</v>
      </c>
      <c r="C36" s="31" t="s">
        <v>272</v>
      </c>
      <c r="D36" s="37" t="s">
        <v>44</v>
      </c>
      <c r="E36" s="1"/>
      <c r="F36" s="37"/>
      <c r="G36" s="37"/>
      <c r="H36" s="46">
        <v>45999.0</v>
      </c>
      <c r="I36" s="37" t="s">
        <v>77</v>
      </c>
      <c r="J36" s="49"/>
      <c r="K36" s="49"/>
      <c r="L36" s="37" t="s">
        <v>58</v>
      </c>
      <c r="M36" s="37" t="s">
        <v>130</v>
      </c>
      <c r="N36" s="17"/>
      <c r="O36" s="1"/>
      <c r="P36" s="15"/>
      <c r="Q36" s="15"/>
      <c r="R36" s="1"/>
      <c r="S36" s="1"/>
    </row>
    <row r="37" hidden="1" outlineLevel="1">
      <c r="A37" s="1"/>
      <c r="B37" s="3">
        <f t="shared" si="1"/>
        <v>33</v>
      </c>
      <c r="C37" s="31" t="s">
        <v>275</v>
      </c>
      <c r="D37" s="37" t="s">
        <v>83</v>
      </c>
      <c r="E37" s="1"/>
      <c r="F37" s="43" t="s">
        <v>276</v>
      </c>
      <c r="G37" s="37"/>
      <c r="H37" s="46">
        <v>45999.0</v>
      </c>
      <c r="I37" s="37" t="s">
        <v>77</v>
      </c>
      <c r="J37" s="49"/>
      <c r="K37" s="49"/>
      <c r="L37" s="37" t="s">
        <v>58</v>
      </c>
      <c r="M37" s="37" t="s">
        <v>130</v>
      </c>
      <c r="N37" s="17"/>
      <c r="O37" s="1"/>
      <c r="P37" s="15"/>
      <c r="Q37" s="15"/>
      <c r="R37" s="1"/>
      <c r="S37" s="1"/>
    </row>
    <row r="38" hidden="1" outlineLevel="1">
      <c r="A38" s="1"/>
      <c r="B38" s="3">
        <f t="shared" si="1"/>
        <v>34</v>
      </c>
      <c r="C38" s="31" t="s">
        <v>277</v>
      </c>
      <c r="D38" s="37" t="s">
        <v>49</v>
      </c>
      <c r="E38" s="1"/>
      <c r="F38" s="43" t="s">
        <v>278</v>
      </c>
      <c r="G38" s="37"/>
      <c r="H38" s="46">
        <v>45999.0</v>
      </c>
      <c r="I38" s="37" t="s">
        <v>79</v>
      </c>
      <c r="J38" s="49"/>
      <c r="K38" s="49"/>
      <c r="L38" s="37" t="s">
        <v>58</v>
      </c>
      <c r="M38" s="37" t="s">
        <v>65</v>
      </c>
      <c r="N38" s="17" t="s">
        <v>28</v>
      </c>
      <c r="O38" s="1"/>
      <c r="P38" s="15"/>
      <c r="Q38" s="15"/>
      <c r="R38" s="1"/>
      <c r="S38" s="1"/>
    </row>
    <row r="39" hidden="1" outlineLevel="1">
      <c r="A39" s="1"/>
      <c r="B39" s="3">
        <f t="shared" si="1"/>
        <v>35</v>
      </c>
      <c r="C39" s="31" t="s">
        <v>280</v>
      </c>
      <c r="D39" s="37" t="s">
        <v>83</v>
      </c>
      <c r="E39" s="37"/>
      <c r="F39" s="43" t="s">
        <v>282</v>
      </c>
      <c r="G39" s="37"/>
      <c r="H39" s="46">
        <v>45999.0</v>
      </c>
      <c r="I39" s="37" t="s">
        <v>50</v>
      </c>
      <c r="J39" s="49"/>
      <c r="K39" s="49"/>
      <c r="L39" s="37" t="s">
        <v>58</v>
      </c>
      <c r="M39" s="37" t="s">
        <v>78</v>
      </c>
      <c r="N39" s="17" t="s">
        <v>39</v>
      </c>
      <c r="O39" s="1"/>
      <c r="P39" s="67" t="s">
        <v>285</v>
      </c>
      <c r="Q39" s="15"/>
      <c r="R39" s="1"/>
      <c r="S39" s="1"/>
    </row>
    <row r="40" hidden="1" outlineLevel="1">
      <c r="A40" s="1"/>
      <c r="B40" s="3">
        <f t="shared" si="1"/>
        <v>36</v>
      </c>
      <c r="C40" s="31" t="s">
        <v>286</v>
      </c>
      <c r="D40" s="37" t="s">
        <v>49</v>
      </c>
      <c r="E40" s="1"/>
      <c r="F40" s="43" t="s">
        <v>288</v>
      </c>
      <c r="G40" s="37"/>
      <c r="H40" s="46">
        <v>45999.0</v>
      </c>
      <c r="I40" s="37" t="s">
        <v>77</v>
      </c>
      <c r="J40" s="49"/>
      <c r="K40" s="49"/>
      <c r="L40" s="37" t="s">
        <v>58</v>
      </c>
      <c r="M40" s="37" t="s">
        <v>78</v>
      </c>
      <c r="N40" s="17"/>
      <c r="O40" s="1"/>
      <c r="P40" s="15"/>
      <c r="Q40" s="15"/>
      <c r="R40" s="1"/>
      <c r="S40" s="1"/>
    </row>
    <row r="41" hidden="1" outlineLevel="1">
      <c r="A41" s="1"/>
      <c r="B41" s="3">
        <f t="shared" si="1"/>
        <v>37</v>
      </c>
      <c r="C41" s="31" t="s">
        <v>289</v>
      </c>
      <c r="D41" s="37" t="s">
        <v>56</v>
      </c>
      <c r="E41" s="37"/>
      <c r="F41" s="37"/>
      <c r="G41" s="37"/>
      <c r="H41" s="46">
        <v>45994.0</v>
      </c>
      <c r="I41" s="37" t="s">
        <v>77</v>
      </c>
      <c r="J41" s="49"/>
      <c r="K41" s="49"/>
      <c r="L41" s="37" t="s">
        <v>58</v>
      </c>
      <c r="M41" s="37" t="s">
        <v>59</v>
      </c>
      <c r="N41" s="17"/>
      <c r="O41" s="1"/>
      <c r="P41" s="67" t="s">
        <v>290</v>
      </c>
      <c r="Q41" s="67" t="s">
        <v>291</v>
      </c>
      <c r="R41" s="1"/>
      <c r="S41" s="1"/>
    </row>
    <row r="42" hidden="1" outlineLevel="1">
      <c r="A42" s="1"/>
      <c r="B42" s="3">
        <f t="shared" si="1"/>
        <v>38</v>
      </c>
      <c r="C42" s="31" t="s">
        <v>292</v>
      </c>
      <c r="D42" s="37" t="s">
        <v>112</v>
      </c>
      <c r="E42" s="1"/>
      <c r="F42" s="37"/>
      <c r="G42" s="37"/>
      <c r="H42" s="46">
        <v>45999.0</v>
      </c>
      <c r="I42" s="37" t="s">
        <v>77</v>
      </c>
      <c r="J42" s="49"/>
      <c r="K42" s="49"/>
      <c r="L42" s="37" t="s">
        <v>58</v>
      </c>
      <c r="M42" s="37" t="s">
        <v>63</v>
      </c>
      <c r="N42" s="17" t="s">
        <v>28</v>
      </c>
      <c r="O42" s="1"/>
      <c r="P42" s="15"/>
      <c r="Q42" s="15"/>
      <c r="R42" s="1"/>
      <c r="S42" s="1"/>
    </row>
    <row r="43" hidden="1" outlineLevel="1">
      <c r="A43" s="1"/>
      <c r="B43" s="3">
        <f t="shared" si="1"/>
        <v>39</v>
      </c>
      <c r="C43" s="31" t="s">
        <v>293</v>
      </c>
      <c r="D43" s="37" t="s">
        <v>38</v>
      </c>
      <c r="E43" s="37"/>
      <c r="F43" s="37"/>
      <c r="G43" s="37"/>
      <c r="H43" s="46">
        <v>45999.0</v>
      </c>
      <c r="I43" s="37" t="s">
        <v>77</v>
      </c>
      <c r="J43" s="49"/>
      <c r="K43" s="49"/>
      <c r="L43" s="37" t="s">
        <v>58</v>
      </c>
      <c r="M43" s="37" t="s">
        <v>53</v>
      </c>
      <c r="N43" s="17"/>
      <c r="O43" s="1"/>
      <c r="P43" s="67" t="s">
        <v>295</v>
      </c>
      <c r="Q43" s="15"/>
      <c r="R43" s="1"/>
      <c r="S43" s="1"/>
    </row>
    <row r="44" hidden="1" outlineLevel="1">
      <c r="A44" s="1"/>
      <c r="B44" s="3">
        <f t="shared" si="1"/>
        <v>40</v>
      </c>
      <c r="C44" s="31" t="s">
        <v>296</v>
      </c>
      <c r="D44" s="37" t="s">
        <v>96</v>
      </c>
      <c r="E44" s="1"/>
      <c r="F44" s="43" t="s">
        <v>297</v>
      </c>
      <c r="G44" s="37"/>
      <c r="H44" s="46">
        <v>45999.0</v>
      </c>
      <c r="I44" s="37" t="s">
        <v>50</v>
      </c>
      <c r="J44" s="49"/>
      <c r="K44" s="49"/>
      <c r="L44" s="37" t="s">
        <v>58</v>
      </c>
      <c r="M44" s="37" t="s">
        <v>130</v>
      </c>
      <c r="N44" s="17"/>
      <c r="O44" s="1"/>
      <c r="P44" s="15"/>
      <c r="Q44" s="15"/>
      <c r="R44" s="1"/>
      <c r="S44" s="1"/>
    </row>
    <row r="45" hidden="1" outlineLevel="1">
      <c r="A45" s="1"/>
      <c r="B45" s="3">
        <f t="shared" si="1"/>
        <v>41</v>
      </c>
      <c r="C45" s="31" t="s">
        <v>300</v>
      </c>
      <c r="D45" s="37" t="s">
        <v>301</v>
      </c>
      <c r="E45" s="1"/>
      <c r="F45" s="37"/>
      <c r="G45" s="37"/>
      <c r="H45" s="46">
        <v>45999.0</v>
      </c>
      <c r="I45" s="37" t="s">
        <v>77</v>
      </c>
      <c r="J45" s="49"/>
      <c r="K45" s="49"/>
      <c r="L45" s="37" t="s">
        <v>58</v>
      </c>
      <c r="M45" s="37" t="s">
        <v>130</v>
      </c>
      <c r="N45" s="17"/>
      <c r="O45" s="1"/>
      <c r="P45" s="15"/>
      <c r="Q45" s="15"/>
      <c r="R45" s="1"/>
      <c r="S45" s="1"/>
    </row>
    <row r="46" hidden="1" outlineLevel="1">
      <c r="A46" s="1"/>
      <c r="B46" s="3">
        <f t="shared" si="1"/>
        <v>42</v>
      </c>
      <c r="C46" s="31" t="s">
        <v>303</v>
      </c>
      <c r="D46" s="37" t="s">
        <v>116</v>
      </c>
      <c r="E46" s="1"/>
      <c r="F46" s="37"/>
      <c r="G46" s="37"/>
      <c r="H46" s="46">
        <v>45999.0</v>
      </c>
      <c r="I46" s="37"/>
      <c r="J46" s="49"/>
      <c r="K46" s="49"/>
      <c r="L46" s="37" t="s">
        <v>58</v>
      </c>
      <c r="M46" s="37" t="s">
        <v>130</v>
      </c>
      <c r="N46" s="17"/>
      <c r="O46" s="1"/>
      <c r="P46" s="15"/>
      <c r="Q46" s="15"/>
      <c r="R46" s="1"/>
      <c r="S46" s="1"/>
    </row>
    <row r="47" hidden="1" outlineLevel="1">
      <c r="A47" s="1"/>
      <c r="B47" s="3">
        <f t="shared" si="1"/>
        <v>43</v>
      </c>
      <c r="C47" s="31" t="s">
        <v>304</v>
      </c>
      <c r="D47" s="37" t="s">
        <v>49</v>
      </c>
      <c r="E47" s="1"/>
      <c r="F47" s="43" t="s">
        <v>305</v>
      </c>
      <c r="G47" s="37"/>
      <c r="H47" s="46">
        <v>46002.0</v>
      </c>
      <c r="I47" s="37"/>
      <c r="J47" s="49"/>
      <c r="K47" s="49"/>
      <c r="L47" s="94"/>
      <c r="M47" s="37" t="s">
        <v>130</v>
      </c>
      <c r="N47" s="17"/>
      <c r="O47" s="1"/>
      <c r="P47" s="15"/>
      <c r="Q47" s="15"/>
      <c r="R47" s="1"/>
      <c r="S47" s="1"/>
    </row>
    <row r="48" hidden="1" outlineLevel="1">
      <c r="A48" s="1"/>
      <c r="B48" s="3">
        <f t="shared" si="1"/>
        <v>44</v>
      </c>
      <c r="C48" s="31" t="s">
        <v>309</v>
      </c>
      <c r="D48" s="37" t="s">
        <v>116</v>
      </c>
      <c r="E48" s="1"/>
      <c r="F48" s="43" t="s">
        <v>310</v>
      </c>
      <c r="G48" s="37"/>
      <c r="H48" s="46">
        <v>46002.0</v>
      </c>
      <c r="I48" s="37"/>
      <c r="J48" s="49"/>
      <c r="K48" s="49"/>
      <c r="L48" s="94"/>
      <c r="M48" s="37" t="s">
        <v>130</v>
      </c>
      <c r="N48" s="17"/>
      <c r="O48" s="1"/>
      <c r="P48" s="15"/>
      <c r="Q48" s="15"/>
      <c r="R48" s="1"/>
      <c r="S48" s="1"/>
    </row>
    <row r="49" hidden="1" outlineLevel="1">
      <c r="A49" s="1"/>
      <c r="B49" s="3">
        <f t="shared" si="1"/>
        <v>45</v>
      </c>
      <c r="C49" s="31" t="s">
        <v>314</v>
      </c>
      <c r="D49" s="37" t="s">
        <v>116</v>
      </c>
      <c r="E49" s="1"/>
      <c r="F49" s="43" t="s">
        <v>315</v>
      </c>
      <c r="G49" s="37"/>
      <c r="H49" s="46">
        <v>46002.0</v>
      </c>
      <c r="I49" s="37"/>
      <c r="J49" s="49"/>
      <c r="K49" s="49"/>
      <c r="L49" s="94"/>
      <c r="M49" s="37" t="s">
        <v>130</v>
      </c>
      <c r="N49" s="17"/>
      <c r="O49" s="1"/>
      <c r="P49" s="15"/>
      <c r="Q49" s="15"/>
      <c r="R49" s="1"/>
      <c r="S49" s="1"/>
    </row>
    <row r="50" hidden="1" outlineLevel="1">
      <c r="A50" s="1"/>
      <c r="B50" s="3">
        <f t="shared" si="1"/>
        <v>46</v>
      </c>
      <c r="C50" s="31" t="s">
        <v>319</v>
      </c>
      <c r="D50" s="37" t="s">
        <v>116</v>
      </c>
      <c r="E50" s="1"/>
      <c r="F50" s="43" t="s">
        <v>320</v>
      </c>
      <c r="G50" s="37"/>
      <c r="H50" s="46">
        <v>46002.0</v>
      </c>
      <c r="I50" s="37"/>
      <c r="J50" s="49"/>
      <c r="K50" s="49"/>
      <c r="L50" s="94"/>
      <c r="M50" s="37" t="s">
        <v>130</v>
      </c>
      <c r="N50" s="17"/>
      <c r="O50" s="1"/>
      <c r="P50" s="15"/>
      <c r="Q50" s="15"/>
      <c r="R50" s="1"/>
      <c r="S50" s="1"/>
    </row>
    <row r="51" hidden="1" outlineLevel="1">
      <c r="A51" s="1"/>
      <c r="B51" s="3">
        <f t="shared" si="1"/>
        <v>47</v>
      </c>
      <c r="C51" s="31" t="s">
        <v>324</v>
      </c>
      <c r="D51" s="37" t="s">
        <v>104</v>
      </c>
      <c r="E51" s="1"/>
      <c r="F51" s="43" t="s">
        <v>325</v>
      </c>
      <c r="G51" s="37"/>
      <c r="H51" s="46">
        <v>46002.0</v>
      </c>
      <c r="I51" s="37"/>
      <c r="J51" s="49"/>
      <c r="K51" s="49"/>
      <c r="L51" s="94"/>
      <c r="M51" s="37" t="s">
        <v>130</v>
      </c>
      <c r="N51" s="17"/>
      <c r="O51" s="1"/>
      <c r="P51" s="15"/>
      <c r="Q51" s="15"/>
      <c r="R51" s="1"/>
      <c r="S51" s="1"/>
    </row>
    <row r="52" hidden="1" outlineLevel="1">
      <c r="A52" s="1"/>
      <c r="B52" s="3">
        <f t="shared" si="1"/>
        <v>48</v>
      </c>
      <c r="C52" s="31" t="s">
        <v>328</v>
      </c>
      <c r="D52" s="37" t="s">
        <v>116</v>
      </c>
      <c r="E52" s="1"/>
      <c r="F52" s="43" t="s">
        <v>329</v>
      </c>
      <c r="G52" s="37"/>
      <c r="H52" s="46">
        <v>46002.0</v>
      </c>
      <c r="I52" s="37" t="s">
        <v>77</v>
      </c>
      <c r="J52" s="49"/>
      <c r="K52" s="49"/>
      <c r="L52" s="37" t="s">
        <v>58</v>
      </c>
      <c r="M52" s="37" t="s">
        <v>57</v>
      </c>
      <c r="N52" s="17" t="s">
        <v>28</v>
      </c>
      <c r="O52" s="1"/>
      <c r="P52" s="15"/>
      <c r="Q52" s="15"/>
      <c r="R52" s="1"/>
      <c r="S52" s="1"/>
    </row>
    <row r="53" hidden="1" outlineLevel="1">
      <c r="A53" s="1"/>
      <c r="B53" s="3">
        <f t="shared" si="1"/>
        <v>49</v>
      </c>
      <c r="C53" s="31" t="s">
        <v>333</v>
      </c>
      <c r="D53" s="37" t="s">
        <v>218</v>
      </c>
      <c r="E53" s="1"/>
      <c r="F53" s="43" t="s">
        <v>334</v>
      </c>
      <c r="G53" s="37"/>
      <c r="H53" s="46">
        <v>46002.0</v>
      </c>
      <c r="I53" s="37" t="s">
        <v>77</v>
      </c>
      <c r="J53" s="49"/>
      <c r="K53" s="49"/>
      <c r="L53" s="37" t="s">
        <v>58</v>
      </c>
      <c r="M53" s="37" t="s">
        <v>130</v>
      </c>
      <c r="N53" s="17"/>
      <c r="O53" s="1"/>
      <c r="P53" s="15"/>
      <c r="Q53" s="15"/>
      <c r="R53" s="1"/>
      <c r="S53" s="1"/>
    </row>
    <row r="54" hidden="1" outlineLevel="1">
      <c r="A54" s="1"/>
      <c r="B54" s="3">
        <f t="shared" si="1"/>
        <v>50</v>
      </c>
      <c r="C54" s="31" t="s">
        <v>337</v>
      </c>
      <c r="D54" s="37" t="s">
        <v>44</v>
      </c>
      <c r="E54" s="1"/>
      <c r="F54" s="43" t="s">
        <v>338</v>
      </c>
      <c r="G54" s="37"/>
      <c r="H54" s="46">
        <v>46002.0</v>
      </c>
      <c r="I54" s="37" t="s">
        <v>77</v>
      </c>
      <c r="J54" s="49"/>
      <c r="K54" s="49"/>
      <c r="L54" s="37" t="s">
        <v>58</v>
      </c>
      <c r="M54" s="37" t="s">
        <v>130</v>
      </c>
      <c r="N54" s="17"/>
      <c r="O54" s="1"/>
      <c r="P54" s="15"/>
      <c r="Q54" s="15"/>
      <c r="R54" s="1"/>
      <c r="S54" s="1"/>
    </row>
    <row r="55" hidden="1" outlineLevel="1">
      <c r="A55" s="1"/>
      <c r="B55" s="3">
        <f t="shared" si="1"/>
        <v>51</v>
      </c>
      <c r="C55" s="31" t="s">
        <v>339</v>
      </c>
      <c r="D55" s="37" t="s">
        <v>116</v>
      </c>
      <c r="E55" s="1"/>
      <c r="F55" s="37"/>
      <c r="G55" s="37"/>
      <c r="H55" s="46">
        <v>46002.0</v>
      </c>
      <c r="I55" s="37" t="s">
        <v>77</v>
      </c>
      <c r="J55" s="49"/>
      <c r="K55" s="49"/>
      <c r="L55" s="37" t="s">
        <v>58</v>
      </c>
      <c r="M55" s="37" t="s">
        <v>130</v>
      </c>
      <c r="N55" s="17"/>
      <c r="O55" s="1"/>
      <c r="P55" s="15"/>
      <c r="Q55" s="15"/>
      <c r="R55" s="1"/>
      <c r="S55" s="1"/>
    </row>
    <row r="56" hidden="1" outlineLevel="1">
      <c r="A56" s="1"/>
      <c r="B56" s="3">
        <f t="shared" si="1"/>
        <v>52</v>
      </c>
      <c r="C56" s="31" t="s">
        <v>342</v>
      </c>
      <c r="D56" s="37" t="s">
        <v>116</v>
      </c>
      <c r="E56" s="1"/>
      <c r="F56" s="43" t="s">
        <v>343</v>
      </c>
      <c r="G56" s="37"/>
      <c r="H56" s="46">
        <v>46002.0</v>
      </c>
      <c r="I56" s="37" t="s">
        <v>79</v>
      </c>
      <c r="J56" s="49"/>
      <c r="K56" s="49"/>
      <c r="L56" s="37" t="s">
        <v>58</v>
      </c>
      <c r="M56" s="37" t="s">
        <v>57</v>
      </c>
      <c r="N56" s="17"/>
      <c r="O56" s="1"/>
      <c r="P56" s="15" t="s">
        <v>344</v>
      </c>
      <c r="Q56" s="15"/>
      <c r="R56" s="1"/>
      <c r="S56" s="1"/>
    </row>
    <row r="57" hidden="1" outlineLevel="1">
      <c r="A57" s="1"/>
      <c r="B57" s="3">
        <f t="shared" si="1"/>
        <v>53</v>
      </c>
      <c r="C57" s="31" t="s">
        <v>345</v>
      </c>
      <c r="D57" s="37" t="s">
        <v>49</v>
      </c>
      <c r="E57" s="1"/>
      <c r="F57" s="43" t="s">
        <v>346</v>
      </c>
      <c r="G57" s="37"/>
      <c r="H57" s="46">
        <v>46002.0</v>
      </c>
      <c r="I57" s="37" t="s">
        <v>79</v>
      </c>
      <c r="J57" s="49"/>
      <c r="K57" s="49"/>
      <c r="L57" s="37" t="s">
        <v>58</v>
      </c>
      <c r="M57" s="37" t="s">
        <v>130</v>
      </c>
      <c r="N57" s="17"/>
      <c r="O57" s="1"/>
      <c r="P57" s="15" t="s">
        <v>347</v>
      </c>
      <c r="Q57" s="15"/>
      <c r="R57" s="1"/>
      <c r="S57" s="1"/>
    </row>
    <row r="58" hidden="1" outlineLevel="1">
      <c r="A58" s="1"/>
      <c r="B58" s="3">
        <f t="shared" si="1"/>
        <v>54</v>
      </c>
      <c r="C58" s="31" t="s">
        <v>348</v>
      </c>
      <c r="D58" s="37" t="s">
        <v>116</v>
      </c>
      <c r="E58" s="1"/>
      <c r="F58" s="43" t="s">
        <v>349</v>
      </c>
      <c r="G58" s="37"/>
      <c r="H58" s="46">
        <v>46002.0</v>
      </c>
      <c r="I58" s="37" t="s">
        <v>77</v>
      </c>
      <c r="J58" s="49"/>
      <c r="K58" s="49"/>
      <c r="L58" s="37" t="s">
        <v>58</v>
      </c>
      <c r="M58" s="37" t="s">
        <v>130</v>
      </c>
      <c r="N58" s="17"/>
      <c r="O58" s="1"/>
      <c r="P58" s="15"/>
      <c r="Q58" s="15"/>
      <c r="R58" s="1"/>
      <c r="S58" s="1"/>
    </row>
    <row r="59" hidden="1" outlineLevel="1">
      <c r="A59" s="1"/>
      <c r="B59" s="3">
        <f t="shared" si="1"/>
        <v>55</v>
      </c>
      <c r="C59" s="31" t="s">
        <v>350</v>
      </c>
      <c r="D59" s="37" t="s">
        <v>49</v>
      </c>
      <c r="E59" s="37"/>
      <c r="F59" s="43" t="s">
        <v>351</v>
      </c>
      <c r="G59" s="37"/>
      <c r="H59" s="46">
        <v>46002.0</v>
      </c>
      <c r="I59" s="37" t="s">
        <v>77</v>
      </c>
      <c r="J59" s="49"/>
      <c r="K59" s="49"/>
      <c r="L59" s="37" t="s">
        <v>58</v>
      </c>
      <c r="M59" s="37" t="s">
        <v>45</v>
      </c>
      <c r="N59" s="17"/>
      <c r="O59" s="1"/>
      <c r="P59" s="67" t="s">
        <v>352</v>
      </c>
      <c r="Q59" s="15"/>
      <c r="R59" s="1"/>
      <c r="S59" s="1"/>
    </row>
    <row r="60" hidden="1" outlineLevel="1">
      <c r="A60" s="1"/>
      <c r="B60" s="3">
        <f t="shared" si="1"/>
        <v>56</v>
      </c>
      <c r="C60" s="31" t="s">
        <v>353</v>
      </c>
      <c r="D60" s="37" t="s">
        <v>96</v>
      </c>
      <c r="E60" s="1"/>
      <c r="F60" s="43" t="s">
        <v>354</v>
      </c>
      <c r="G60" s="37"/>
      <c r="H60" s="46">
        <v>46002.0</v>
      </c>
      <c r="I60" s="37" t="s">
        <v>77</v>
      </c>
      <c r="J60" s="49"/>
      <c r="K60" s="49"/>
      <c r="L60" s="37" t="s">
        <v>58</v>
      </c>
      <c r="M60" s="37" t="s">
        <v>130</v>
      </c>
      <c r="N60" s="17"/>
      <c r="O60" s="1"/>
      <c r="P60" s="15"/>
      <c r="Q60" s="15"/>
      <c r="R60" s="1"/>
      <c r="S60" s="1"/>
    </row>
    <row r="61" hidden="1" outlineLevel="1">
      <c r="A61" s="1"/>
      <c r="B61" s="3">
        <f t="shared" si="1"/>
        <v>57</v>
      </c>
      <c r="C61" s="31" t="s">
        <v>358</v>
      </c>
      <c r="D61" s="37" t="s">
        <v>44</v>
      </c>
      <c r="E61" s="1"/>
      <c r="F61" s="43" t="s">
        <v>359</v>
      </c>
      <c r="G61" s="37"/>
      <c r="H61" s="46">
        <v>46002.0</v>
      </c>
      <c r="I61" s="37" t="s">
        <v>77</v>
      </c>
      <c r="J61" s="49"/>
      <c r="K61" s="49"/>
      <c r="L61" s="37" t="s">
        <v>58</v>
      </c>
      <c r="M61" s="37" t="s">
        <v>130</v>
      </c>
      <c r="N61" s="17"/>
      <c r="O61" s="1"/>
      <c r="P61" s="15"/>
      <c r="Q61" s="15"/>
      <c r="R61" s="1"/>
      <c r="S61" s="1"/>
    </row>
    <row r="62" hidden="1" outlineLevel="1">
      <c r="A62" s="1"/>
      <c r="B62" s="3">
        <f t="shared" si="1"/>
        <v>58</v>
      </c>
      <c r="C62" s="31" t="s">
        <v>364</v>
      </c>
      <c r="D62" s="37" t="s">
        <v>49</v>
      </c>
      <c r="E62" s="37"/>
      <c r="F62" s="43" t="s">
        <v>365</v>
      </c>
      <c r="G62" s="37"/>
      <c r="H62" s="46">
        <v>46002.0</v>
      </c>
      <c r="I62" s="37" t="s">
        <v>77</v>
      </c>
      <c r="J62" s="49"/>
      <c r="K62" s="49"/>
      <c r="L62" s="37" t="s">
        <v>58</v>
      </c>
      <c r="M62" s="37" t="s">
        <v>130</v>
      </c>
      <c r="N62" s="17"/>
      <c r="O62" s="1"/>
      <c r="P62" s="67" t="s">
        <v>366</v>
      </c>
      <c r="Q62" s="15"/>
      <c r="R62" s="1"/>
      <c r="S62" s="1"/>
    </row>
    <row r="63" hidden="1" outlineLevel="1">
      <c r="A63" s="1"/>
      <c r="B63" s="3">
        <f t="shared" si="1"/>
        <v>59</v>
      </c>
      <c r="C63" s="31" t="s">
        <v>367</v>
      </c>
      <c r="D63" s="37" t="s">
        <v>49</v>
      </c>
      <c r="E63" s="1"/>
      <c r="F63" s="43" t="s">
        <v>368</v>
      </c>
      <c r="G63" s="37"/>
      <c r="H63" s="46">
        <v>46002.0</v>
      </c>
      <c r="I63" s="37" t="s">
        <v>79</v>
      </c>
      <c r="J63" s="49"/>
      <c r="K63" s="49"/>
      <c r="L63" s="37" t="s">
        <v>58</v>
      </c>
      <c r="M63" s="37" t="s">
        <v>130</v>
      </c>
      <c r="N63" s="17"/>
      <c r="O63" s="1"/>
      <c r="P63" s="15" t="s">
        <v>369</v>
      </c>
      <c r="Q63" s="15"/>
      <c r="R63" s="1"/>
      <c r="S63" s="1"/>
    </row>
    <row r="64" hidden="1" outlineLevel="1">
      <c r="A64" s="1"/>
      <c r="B64" s="3">
        <f t="shared" si="1"/>
        <v>60</v>
      </c>
      <c r="C64" s="31" t="s">
        <v>76</v>
      </c>
      <c r="D64" s="37" t="s">
        <v>44</v>
      </c>
      <c r="E64" s="1"/>
      <c r="F64" s="43" t="s">
        <v>370</v>
      </c>
      <c r="G64" s="37"/>
      <c r="H64" s="46">
        <v>46002.0</v>
      </c>
      <c r="I64" s="37" t="s">
        <v>79</v>
      </c>
      <c r="J64" s="49"/>
      <c r="K64" s="49"/>
      <c r="L64" s="37" t="s">
        <v>58</v>
      </c>
      <c r="M64" s="37" t="s">
        <v>57</v>
      </c>
      <c r="N64" s="17"/>
      <c r="O64" s="1"/>
      <c r="P64" s="15"/>
      <c r="Q64" s="15"/>
      <c r="R64" s="1"/>
      <c r="S64" s="1"/>
    </row>
    <row r="65" hidden="1" outlineLevel="1">
      <c r="A65" s="1"/>
      <c r="B65" s="3">
        <f t="shared" si="1"/>
        <v>61</v>
      </c>
      <c r="C65" s="31" t="s">
        <v>371</v>
      </c>
      <c r="D65" s="37" t="s">
        <v>83</v>
      </c>
      <c r="E65" s="1"/>
      <c r="F65" s="37"/>
      <c r="G65" s="37"/>
      <c r="H65" s="46">
        <v>46002.0</v>
      </c>
      <c r="I65" s="37" t="s">
        <v>77</v>
      </c>
      <c r="J65" s="49"/>
      <c r="K65" s="49"/>
      <c r="L65" s="37" t="s">
        <v>58</v>
      </c>
      <c r="M65" s="37" t="s">
        <v>54</v>
      </c>
      <c r="N65" s="17" t="s">
        <v>39</v>
      </c>
      <c r="O65" s="1"/>
      <c r="P65" s="15"/>
      <c r="Q65" s="15"/>
      <c r="R65" s="1"/>
      <c r="S65" s="1"/>
    </row>
    <row r="66" hidden="1" outlineLevel="1">
      <c r="A66" s="1"/>
      <c r="B66" s="3">
        <f t="shared" si="1"/>
        <v>62</v>
      </c>
      <c r="C66" s="31" t="s">
        <v>372</v>
      </c>
      <c r="D66" s="37" t="s">
        <v>49</v>
      </c>
      <c r="E66" s="37"/>
      <c r="F66" s="43" t="s">
        <v>373</v>
      </c>
      <c r="G66" s="37"/>
      <c r="H66" s="46">
        <v>46007.0</v>
      </c>
      <c r="I66" s="37" t="s">
        <v>77</v>
      </c>
      <c r="J66" s="49"/>
      <c r="K66" s="49"/>
      <c r="L66" s="37" t="s">
        <v>58</v>
      </c>
      <c r="M66" s="37"/>
      <c r="N66" s="17"/>
      <c r="O66" s="1"/>
      <c r="P66" s="67" t="s">
        <v>374</v>
      </c>
      <c r="Q66" s="15"/>
      <c r="R66" s="1"/>
      <c r="S66" s="1"/>
    </row>
    <row r="67" hidden="1" outlineLevel="1">
      <c r="A67" s="1"/>
      <c r="B67" s="3">
        <f t="shared" si="1"/>
        <v>63</v>
      </c>
      <c r="C67" s="31" t="s">
        <v>375</v>
      </c>
      <c r="D67" s="37" t="s">
        <v>376</v>
      </c>
      <c r="E67" s="1"/>
      <c r="F67" s="43" t="s">
        <v>377</v>
      </c>
      <c r="G67" s="37"/>
      <c r="H67" s="46"/>
      <c r="I67" s="37"/>
      <c r="J67" s="49"/>
      <c r="K67" s="49"/>
      <c r="L67" s="94"/>
      <c r="M67" s="37"/>
      <c r="N67" s="17"/>
      <c r="O67" s="1"/>
      <c r="P67" s="15"/>
      <c r="Q67" s="15"/>
      <c r="R67" s="1"/>
      <c r="S67" s="1"/>
    </row>
    <row r="68" hidden="1" outlineLevel="1">
      <c r="A68" s="1"/>
      <c r="B68" s="3">
        <f t="shared" si="1"/>
        <v>64</v>
      </c>
      <c r="C68" s="31" t="s">
        <v>378</v>
      </c>
      <c r="D68" s="37" t="s">
        <v>49</v>
      </c>
      <c r="E68" s="1"/>
      <c r="F68" s="43" t="s">
        <v>379</v>
      </c>
      <c r="G68" s="37"/>
      <c r="H68" s="46">
        <v>46007.0</v>
      </c>
      <c r="I68" s="37" t="s">
        <v>77</v>
      </c>
      <c r="J68" s="49"/>
      <c r="K68" s="49"/>
      <c r="L68" s="37" t="s">
        <v>58</v>
      </c>
      <c r="M68" s="37"/>
      <c r="N68" s="17"/>
      <c r="O68" s="1"/>
      <c r="P68" s="15"/>
      <c r="Q68" s="15"/>
      <c r="R68" s="1"/>
      <c r="S68" s="1"/>
    </row>
    <row r="69" hidden="1" outlineLevel="1">
      <c r="A69" s="1"/>
      <c r="B69" s="3">
        <f t="shared" si="1"/>
        <v>65</v>
      </c>
      <c r="C69" s="31" t="s">
        <v>380</v>
      </c>
      <c r="D69" s="37"/>
      <c r="E69" s="1"/>
      <c r="F69" s="43" t="s">
        <v>381</v>
      </c>
      <c r="G69" s="37"/>
      <c r="H69" s="46"/>
      <c r="I69" s="37"/>
      <c r="J69" s="49"/>
      <c r="K69" s="49"/>
      <c r="L69" s="94"/>
      <c r="M69" s="37"/>
      <c r="N69" s="17"/>
      <c r="O69" s="1"/>
      <c r="P69" s="15"/>
      <c r="Q69" s="15"/>
      <c r="R69" s="1"/>
      <c r="S69" s="1"/>
    </row>
    <row r="70" hidden="1" outlineLevel="1">
      <c r="A70" s="1"/>
      <c r="B70" s="3">
        <f t="shared" si="1"/>
        <v>66</v>
      </c>
      <c r="C70" s="31" t="s">
        <v>382</v>
      </c>
      <c r="D70" s="37" t="s">
        <v>44</v>
      </c>
      <c r="E70" s="1"/>
      <c r="F70" s="43" t="s">
        <v>383</v>
      </c>
      <c r="G70" s="37"/>
      <c r="H70" s="46"/>
      <c r="I70" s="37"/>
      <c r="J70" s="49"/>
      <c r="K70" s="49"/>
      <c r="L70" s="94"/>
      <c r="M70" s="37"/>
      <c r="N70" s="17"/>
      <c r="O70" s="1"/>
      <c r="P70" s="15"/>
      <c r="Q70" s="15"/>
      <c r="R70" s="1"/>
      <c r="S70" s="1"/>
    </row>
    <row r="71" hidden="1" outlineLevel="1">
      <c r="A71" s="1"/>
      <c r="B71" s="3">
        <f t="shared" si="1"/>
        <v>67</v>
      </c>
      <c r="C71" s="31" t="s">
        <v>384</v>
      </c>
      <c r="D71" s="37" t="s">
        <v>44</v>
      </c>
      <c r="E71" s="1"/>
      <c r="F71" s="43" t="s">
        <v>381</v>
      </c>
      <c r="G71" s="37"/>
      <c r="H71" s="46"/>
      <c r="I71" s="37"/>
      <c r="J71" s="49"/>
      <c r="K71" s="49"/>
      <c r="L71" s="94"/>
      <c r="M71" s="37"/>
      <c r="N71" s="17"/>
      <c r="O71" s="1"/>
      <c r="P71" s="15"/>
      <c r="Q71" s="15"/>
      <c r="R71" s="1"/>
      <c r="S71" s="1"/>
    </row>
    <row r="72" hidden="1" outlineLevel="1">
      <c r="A72" s="1"/>
      <c r="B72" s="3">
        <f t="shared" si="1"/>
        <v>68</v>
      </c>
      <c r="C72" s="31" t="s">
        <v>89</v>
      </c>
      <c r="D72" s="37"/>
      <c r="E72" s="1"/>
      <c r="F72" s="43" t="s">
        <v>385</v>
      </c>
      <c r="G72" s="37"/>
      <c r="H72" s="46"/>
      <c r="I72" s="37"/>
      <c r="J72" s="49"/>
      <c r="K72" s="49"/>
      <c r="L72" s="94"/>
      <c r="M72" s="37"/>
      <c r="N72" s="17"/>
      <c r="O72" s="1"/>
      <c r="P72" s="15"/>
      <c r="Q72" s="15"/>
      <c r="R72" s="1"/>
      <c r="S72" s="1"/>
    </row>
    <row r="73" hidden="1" outlineLevel="1">
      <c r="A73" s="1"/>
      <c r="B73" s="3">
        <f t="shared" si="1"/>
        <v>69</v>
      </c>
      <c r="C73" s="31" t="s">
        <v>386</v>
      </c>
      <c r="D73" s="37" t="s">
        <v>83</v>
      </c>
      <c r="E73" s="1"/>
      <c r="F73" s="43" t="s">
        <v>387</v>
      </c>
      <c r="G73" s="37"/>
      <c r="H73" s="46">
        <v>46007.0</v>
      </c>
      <c r="I73" s="37" t="s">
        <v>77</v>
      </c>
      <c r="J73" s="49"/>
      <c r="K73" s="49"/>
      <c r="L73" s="37" t="s">
        <v>58</v>
      </c>
      <c r="M73" s="37"/>
      <c r="N73" s="17"/>
      <c r="O73" s="1"/>
      <c r="P73" s="15"/>
      <c r="Q73" s="15"/>
      <c r="R73" s="1"/>
      <c r="S73" s="1"/>
    </row>
    <row r="74" hidden="1" outlineLevel="1">
      <c r="A74" s="1"/>
      <c r="B74" s="3">
        <f t="shared" si="1"/>
        <v>70</v>
      </c>
      <c r="C74" s="31" t="s">
        <v>388</v>
      </c>
      <c r="D74" s="37" t="s">
        <v>112</v>
      </c>
      <c r="E74" s="1"/>
      <c r="F74" s="43" t="s">
        <v>389</v>
      </c>
      <c r="G74" s="37"/>
      <c r="H74" s="46"/>
      <c r="I74" s="37"/>
      <c r="J74" s="49"/>
      <c r="K74" s="49"/>
      <c r="L74" s="37" t="s">
        <v>58</v>
      </c>
      <c r="M74" s="37" t="s">
        <v>68</v>
      </c>
      <c r="N74" s="17"/>
      <c r="O74" s="1"/>
      <c r="P74" s="15"/>
      <c r="Q74" s="15"/>
      <c r="R74" s="1"/>
      <c r="S74" s="1"/>
    </row>
    <row r="75" hidden="1" outlineLevel="1">
      <c r="A75" s="1"/>
      <c r="B75" s="3">
        <f t="shared" si="1"/>
        <v>71</v>
      </c>
      <c r="C75" s="31" t="s">
        <v>390</v>
      </c>
      <c r="D75" s="37" t="s">
        <v>112</v>
      </c>
      <c r="E75" s="1"/>
      <c r="F75" s="43" t="s">
        <v>391</v>
      </c>
      <c r="G75" s="37"/>
      <c r="H75" s="46"/>
      <c r="I75" s="37"/>
      <c r="J75" s="49"/>
      <c r="K75" s="49"/>
      <c r="L75" s="94"/>
      <c r="M75" s="37"/>
      <c r="N75" s="17"/>
      <c r="O75" s="1"/>
      <c r="P75" s="15"/>
      <c r="Q75" s="15"/>
      <c r="R75" s="1"/>
      <c r="S75" s="1"/>
    </row>
    <row r="76" hidden="1" outlineLevel="1">
      <c r="A76" s="1"/>
      <c r="B76" s="3">
        <f t="shared" si="1"/>
        <v>72</v>
      </c>
      <c r="C76" s="31" t="s">
        <v>392</v>
      </c>
      <c r="D76" s="37" t="s">
        <v>104</v>
      </c>
      <c r="E76" s="1"/>
      <c r="F76" s="43" t="s">
        <v>393</v>
      </c>
      <c r="G76" s="37"/>
      <c r="H76" s="46">
        <v>46002.0</v>
      </c>
      <c r="I76" s="37" t="s">
        <v>79</v>
      </c>
      <c r="J76" s="49"/>
      <c r="K76" s="49"/>
      <c r="L76" s="37" t="s">
        <v>58</v>
      </c>
      <c r="M76" s="37"/>
      <c r="N76" s="17"/>
      <c r="O76" s="1"/>
      <c r="P76" s="15"/>
      <c r="Q76" s="15"/>
      <c r="R76" s="1"/>
      <c r="S76" s="1"/>
    </row>
    <row r="77" hidden="1" outlineLevel="1">
      <c r="A77" s="1"/>
      <c r="B77" s="3">
        <f t="shared" si="1"/>
        <v>73</v>
      </c>
      <c r="C77" s="31" t="s">
        <v>394</v>
      </c>
      <c r="D77" s="37" t="s">
        <v>44</v>
      </c>
      <c r="E77" s="1"/>
      <c r="F77" s="43" t="s">
        <v>395</v>
      </c>
      <c r="G77" s="37"/>
      <c r="H77" s="46"/>
      <c r="I77" s="37"/>
      <c r="J77" s="49"/>
      <c r="K77" s="49"/>
      <c r="L77" s="94"/>
      <c r="M77" s="37"/>
      <c r="N77" s="17"/>
      <c r="O77" s="1"/>
      <c r="P77" s="15"/>
      <c r="Q77" s="15"/>
      <c r="R77" s="1"/>
      <c r="S77" s="1"/>
    </row>
    <row r="78" hidden="1" outlineLevel="1">
      <c r="A78" s="1"/>
      <c r="B78" s="3">
        <f t="shared" si="1"/>
        <v>74</v>
      </c>
      <c r="C78" s="31" t="s">
        <v>396</v>
      </c>
      <c r="D78" s="37" t="s">
        <v>96</v>
      </c>
      <c r="E78" s="1"/>
      <c r="F78" s="43" t="s">
        <v>397</v>
      </c>
      <c r="G78" s="37"/>
      <c r="H78" s="46">
        <v>46007.0</v>
      </c>
      <c r="I78" s="37" t="s">
        <v>50</v>
      </c>
      <c r="J78" s="49"/>
      <c r="K78" s="49"/>
      <c r="L78" s="37" t="s">
        <v>58</v>
      </c>
      <c r="M78" s="37"/>
      <c r="N78" s="17"/>
      <c r="O78" s="1"/>
      <c r="P78" s="15"/>
      <c r="Q78" s="15"/>
      <c r="R78" s="1"/>
      <c r="S78" s="1"/>
    </row>
    <row r="79" hidden="1" outlineLevel="1">
      <c r="A79" s="1"/>
      <c r="B79" s="3">
        <f t="shared" si="1"/>
        <v>75</v>
      </c>
      <c r="C79" s="31" t="s">
        <v>398</v>
      </c>
      <c r="D79" s="37" t="s">
        <v>49</v>
      </c>
      <c r="E79" s="1"/>
      <c r="F79" s="43" t="s">
        <v>399</v>
      </c>
      <c r="G79" s="37"/>
      <c r="H79" s="46">
        <v>46007.0</v>
      </c>
      <c r="I79" s="37" t="s">
        <v>77</v>
      </c>
      <c r="J79" s="49"/>
      <c r="K79" s="49"/>
      <c r="L79" s="37" t="s">
        <v>58</v>
      </c>
      <c r="M79" s="37"/>
      <c r="N79" s="17"/>
      <c r="O79" s="1"/>
      <c r="P79" s="15"/>
      <c r="Q79" s="15"/>
      <c r="R79" s="1"/>
      <c r="S79" s="1"/>
    </row>
    <row r="80" hidden="1" outlineLevel="1">
      <c r="A80" s="1"/>
      <c r="B80" s="3">
        <f t="shared" si="1"/>
        <v>76</v>
      </c>
      <c r="C80" s="31" t="s">
        <v>400</v>
      </c>
      <c r="D80" s="37" t="s">
        <v>56</v>
      </c>
      <c r="E80" s="1"/>
      <c r="F80" s="43" t="s">
        <v>401</v>
      </c>
      <c r="G80" s="37"/>
      <c r="H80" s="46">
        <v>46007.0</v>
      </c>
      <c r="I80" s="37" t="s">
        <v>77</v>
      </c>
      <c r="J80" s="49"/>
      <c r="K80" s="49"/>
      <c r="L80" s="37" t="s">
        <v>58</v>
      </c>
      <c r="M80" s="37"/>
      <c r="N80" s="17"/>
      <c r="O80" s="1"/>
      <c r="P80" s="15"/>
      <c r="Q80" s="15"/>
      <c r="R80" s="1"/>
      <c r="S80" s="1"/>
    </row>
    <row r="81" hidden="1" outlineLevel="1">
      <c r="A81" s="1"/>
      <c r="B81" s="3">
        <f t="shared" si="1"/>
        <v>77</v>
      </c>
      <c r="C81" s="31" t="s">
        <v>402</v>
      </c>
      <c r="D81" s="37" t="s">
        <v>83</v>
      </c>
      <c r="E81" s="1"/>
      <c r="F81" s="43" t="s">
        <v>403</v>
      </c>
      <c r="G81" s="37"/>
      <c r="H81" s="46">
        <v>46007.0</v>
      </c>
      <c r="I81" s="37" t="s">
        <v>77</v>
      </c>
      <c r="J81" s="49"/>
      <c r="K81" s="49"/>
      <c r="L81" s="37" t="s">
        <v>58</v>
      </c>
      <c r="M81" s="37" t="s">
        <v>54</v>
      </c>
      <c r="N81" s="17" t="s">
        <v>28</v>
      </c>
      <c r="O81" s="1"/>
      <c r="P81" s="15"/>
      <c r="Q81" s="15"/>
      <c r="R81" s="1"/>
      <c r="S81" s="1"/>
    </row>
    <row r="82" hidden="1" outlineLevel="1">
      <c r="A82" s="1"/>
      <c r="B82" s="3">
        <f t="shared" si="1"/>
        <v>78</v>
      </c>
      <c r="C82" s="31" t="s">
        <v>404</v>
      </c>
      <c r="D82" s="37" t="s">
        <v>218</v>
      </c>
      <c r="E82" s="1"/>
      <c r="F82" s="43" t="s">
        <v>405</v>
      </c>
      <c r="G82" s="37"/>
      <c r="H82" s="46">
        <v>46009.0</v>
      </c>
      <c r="I82" s="37"/>
      <c r="J82" s="49"/>
      <c r="K82" s="49"/>
      <c r="L82" s="94"/>
      <c r="M82" s="37"/>
      <c r="N82" s="17"/>
      <c r="O82" s="1"/>
      <c r="P82" s="15"/>
      <c r="Q82" s="15"/>
      <c r="R82" s="1"/>
      <c r="S82" s="1"/>
    </row>
    <row r="83" hidden="1" outlineLevel="1">
      <c r="A83" s="1"/>
      <c r="B83" s="3">
        <f t="shared" si="1"/>
        <v>79</v>
      </c>
      <c r="C83" s="31" t="s">
        <v>406</v>
      </c>
      <c r="D83" s="37" t="s">
        <v>49</v>
      </c>
      <c r="E83" s="1"/>
      <c r="F83" s="43" t="s">
        <v>407</v>
      </c>
      <c r="G83" s="37"/>
      <c r="H83" s="46">
        <v>46009.0</v>
      </c>
      <c r="I83" s="37"/>
      <c r="J83" s="49"/>
      <c r="K83" s="49"/>
      <c r="L83" s="94"/>
      <c r="M83" s="37"/>
      <c r="N83" s="17"/>
      <c r="O83" s="1"/>
      <c r="P83" s="15"/>
      <c r="Q83" s="15"/>
      <c r="R83" s="1"/>
      <c r="S83" s="1"/>
    </row>
    <row r="84" hidden="1" outlineLevel="1">
      <c r="A84" s="1"/>
      <c r="B84" s="3">
        <f t="shared" si="1"/>
        <v>80</v>
      </c>
      <c r="C84" s="31" t="s">
        <v>408</v>
      </c>
      <c r="D84" s="37" t="s">
        <v>159</v>
      </c>
      <c r="E84" s="37"/>
      <c r="F84" s="43" t="s">
        <v>409</v>
      </c>
      <c r="G84" s="37"/>
      <c r="H84" s="46">
        <v>46009.0</v>
      </c>
      <c r="I84" s="37" t="s">
        <v>77</v>
      </c>
      <c r="J84" s="49"/>
      <c r="K84" s="49"/>
      <c r="L84" s="37" t="s">
        <v>189</v>
      </c>
      <c r="M84" s="37"/>
      <c r="N84" s="17"/>
      <c r="O84" s="1"/>
      <c r="P84" s="67" t="s">
        <v>410</v>
      </c>
      <c r="Q84" s="15"/>
      <c r="R84" s="1"/>
      <c r="S84" s="1"/>
    </row>
    <row r="85" hidden="1" outlineLevel="1">
      <c r="A85" s="1"/>
      <c r="B85" s="3">
        <f t="shared" si="1"/>
        <v>81</v>
      </c>
      <c r="C85" s="31" t="s">
        <v>411</v>
      </c>
      <c r="D85" s="37" t="s">
        <v>159</v>
      </c>
      <c r="E85" s="1"/>
      <c r="F85" s="43" t="s">
        <v>412</v>
      </c>
      <c r="G85" s="37"/>
      <c r="H85" s="46">
        <v>46014.0</v>
      </c>
      <c r="I85" s="37" t="s">
        <v>413</v>
      </c>
      <c r="J85" s="49"/>
      <c r="K85" s="49"/>
      <c r="L85" s="37" t="s">
        <v>58</v>
      </c>
      <c r="M85" s="37"/>
      <c r="N85" s="17"/>
      <c r="O85" s="1"/>
      <c r="P85" s="15"/>
      <c r="Q85" s="15"/>
      <c r="R85" s="1"/>
      <c r="S85" s="1"/>
    </row>
    <row r="86" hidden="1" outlineLevel="1">
      <c r="A86" s="1"/>
      <c r="B86" s="3">
        <f t="shared" si="1"/>
        <v>82</v>
      </c>
      <c r="C86" s="31" t="s">
        <v>414</v>
      </c>
      <c r="D86" s="37" t="s">
        <v>159</v>
      </c>
      <c r="E86" s="1"/>
      <c r="F86" s="43" t="s">
        <v>415</v>
      </c>
      <c r="G86" s="37"/>
      <c r="H86" s="46">
        <v>46009.0</v>
      </c>
      <c r="I86" s="37"/>
      <c r="J86" s="49"/>
      <c r="K86" s="49"/>
      <c r="L86" s="94"/>
      <c r="M86" s="37"/>
      <c r="N86" s="17"/>
      <c r="O86" s="1"/>
      <c r="P86" s="15"/>
      <c r="Q86" s="15"/>
      <c r="R86" s="1"/>
      <c r="S86" s="1"/>
    </row>
    <row r="87" hidden="1" outlineLevel="1">
      <c r="A87" s="1"/>
      <c r="B87" s="3">
        <f t="shared" si="1"/>
        <v>83</v>
      </c>
      <c r="C87" s="31" t="s">
        <v>416</v>
      </c>
      <c r="D87" s="37" t="s">
        <v>159</v>
      </c>
      <c r="E87" s="1"/>
      <c r="F87" s="43" t="s">
        <v>417</v>
      </c>
      <c r="G87" s="37"/>
      <c r="H87" s="46">
        <v>46009.0</v>
      </c>
      <c r="I87" s="37"/>
      <c r="J87" s="49"/>
      <c r="K87" s="49"/>
      <c r="L87" s="94"/>
      <c r="M87" s="37"/>
      <c r="N87" s="17"/>
      <c r="O87" s="1"/>
      <c r="P87" s="15"/>
      <c r="Q87" s="15"/>
      <c r="R87" s="1"/>
      <c r="S87" s="1"/>
    </row>
    <row r="88" hidden="1" outlineLevel="1">
      <c r="A88" s="1"/>
      <c r="B88" s="3">
        <f t="shared" si="1"/>
        <v>84</v>
      </c>
      <c r="C88" s="31" t="s">
        <v>418</v>
      </c>
      <c r="D88" s="37" t="s">
        <v>47</v>
      </c>
      <c r="E88" s="1"/>
      <c r="F88" s="43" t="s">
        <v>419</v>
      </c>
      <c r="G88" s="37"/>
      <c r="H88" s="46">
        <v>46009.0</v>
      </c>
      <c r="I88" s="37" t="s">
        <v>77</v>
      </c>
      <c r="J88" s="49"/>
      <c r="K88" s="49"/>
      <c r="L88" s="37" t="s">
        <v>58</v>
      </c>
      <c r="M88" s="37" t="s">
        <v>57</v>
      </c>
      <c r="N88" s="17"/>
      <c r="O88" s="1"/>
      <c r="P88" s="15"/>
      <c r="Q88" s="15"/>
      <c r="R88" s="1"/>
      <c r="S88" s="1"/>
    </row>
    <row r="89" hidden="1" outlineLevel="1">
      <c r="A89" s="1"/>
      <c r="B89" s="3">
        <f t="shared" si="1"/>
        <v>85</v>
      </c>
      <c r="C89" s="31" t="s">
        <v>420</v>
      </c>
      <c r="D89" s="37" t="s">
        <v>301</v>
      </c>
      <c r="E89" s="1"/>
      <c r="F89" s="43" t="s">
        <v>421</v>
      </c>
      <c r="G89" s="37"/>
      <c r="H89" s="46">
        <v>46009.0</v>
      </c>
      <c r="I89" s="37" t="s">
        <v>413</v>
      </c>
      <c r="J89" s="49"/>
      <c r="K89" s="49"/>
      <c r="L89" s="37" t="s">
        <v>58</v>
      </c>
      <c r="M89" s="37" t="s">
        <v>65</v>
      </c>
      <c r="N89" s="17"/>
      <c r="O89" s="1"/>
      <c r="P89" s="15"/>
      <c r="Q89" s="15"/>
      <c r="R89" s="1"/>
      <c r="S89" s="1"/>
    </row>
    <row r="90" hidden="1" outlineLevel="1">
      <c r="A90" s="1"/>
      <c r="B90" s="3">
        <f t="shared" si="1"/>
        <v>86</v>
      </c>
      <c r="C90" s="31" t="s">
        <v>422</v>
      </c>
      <c r="D90" s="37" t="s">
        <v>112</v>
      </c>
      <c r="E90" s="1"/>
      <c r="F90" s="43" t="s">
        <v>423</v>
      </c>
      <c r="G90" s="37"/>
      <c r="H90" s="46">
        <v>46009.0</v>
      </c>
      <c r="I90" s="37"/>
      <c r="J90" s="49"/>
      <c r="K90" s="49"/>
      <c r="L90" s="94"/>
      <c r="M90" s="37"/>
      <c r="N90" s="17"/>
      <c r="O90" s="1"/>
      <c r="P90" s="15"/>
      <c r="Q90" s="15"/>
      <c r="R90" s="1"/>
      <c r="S90" s="1"/>
    </row>
    <row r="91" hidden="1" outlineLevel="1">
      <c r="A91" s="1"/>
      <c r="B91" s="3">
        <f t="shared" si="1"/>
        <v>87</v>
      </c>
      <c r="C91" s="31" t="s">
        <v>424</v>
      </c>
      <c r="D91" s="37" t="s">
        <v>112</v>
      </c>
      <c r="E91" s="1"/>
      <c r="F91" s="43" t="s">
        <v>425</v>
      </c>
      <c r="G91" s="37"/>
      <c r="H91" s="46">
        <v>46009.0</v>
      </c>
      <c r="I91" s="37"/>
      <c r="J91" s="49"/>
      <c r="K91" s="49"/>
      <c r="L91" s="94"/>
      <c r="M91" s="37"/>
      <c r="N91" s="17"/>
      <c r="O91" s="1"/>
      <c r="P91" s="15"/>
      <c r="Q91" s="15"/>
      <c r="R91" s="1"/>
      <c r="S91" s="1"/>
    </row>
    <row r="92" hidden="1" outlineLevel="1">
      <c r="A92" s="1"/>
      <c r="B92" s="3">
        <f t="shared" si="1"/>
        <v>88</v>
      </c>
      <c r="C92" s="31" t="s">
        <v>426</v>
      </c>
      <c r="D92" s="37" t="s">
        <v>83</v>
      </c>
      <c r="E92" s="1"/>
      <c r="F92" s="43" t="s">
        <v>427</v>
      </c>
      <c r="G92" s="37"/>
      <c r="H92" s="46">
        <v>46009.0</v>
      </c>
      <c r="I92" s="37"/>
      <c r="J92" s="49"/>
      <c r="K92" s="49"/>
      <c r="L92" s="94"/>
      <c r="M92" s="37"/>
      <c r="N92" s="17"/>
      <c r="O92" s="1"/>
      <c r="P92" s="15"/>
      <c r="Q92" s="15"/>
      <c r="R92" s="1"/>
      <c r="S92" s="1"/>
    </row>
    <row r="93" hidden="1" outlineLevel="1">
      <c r="A93" s="1"/>
      <c r="B93" s="3">
        <f t="shared" si="1"/>
        <v>89</v>
      </c>
      <c r="C93" s="31" t="s">
        <v>428</v>
      </c>
      <c r="D93" s="37" t="s">
        <v>83</v>
      </c>
      <c r="E93" s="1"/>
      <c r="F93" s="43" t="s">
        <v>429</v>
      </c>
      <c r="G93" s="37"/>
      <c r="H93" s="46">
        <v>46009.0</v>
      </c>
      <c r="I93" s="37"/>
      <c r="J93" s="49"/>
      <c r="K93" s="49"/>
      <c r="L93" s="94"/>
      <c r="M93" s="37"/>
      <c r="N93" s="17"/>
      <c r="O93" s="1"/>
      <c r="P93" s="15"/>
      <c r="Q93" s="15"/>
      <c r="R93" s="1"/>
      <c r="S93" s="1"/>
    </row>
    <row r="94" hidden="1" outlineLevel="1">
      <c r="A94" s="1"/>
      <c r="B94" s="3">
        <f t="shared" si="1"/>
        <v>90</v>
      </c>
      <c r="C94" s="31" t="s">
        <v>430</v>
      </c>
      <c r="D94" s="37" t="s">
        <v>112</v>
      </c>
      <c r="E94" s="1"/>
      <c r="F94" s="43" t="s">
        <v>431</v>
      </c>
      <c r="G94" s="37"/>
      <c r="H94" s="46">
        <v>46009.0</v>
      </c>
      <c r="I94" s="37"/>
      <c r="J94" s="49"/>
      <c r="K94" s="49"/>
      <c r="L94" s="94"/>
      <c r="M94" s="37"/>
      <c r="N94" s="17"/>
      <c r="O94" s="1"/>
      <c r="P94" s="15"/>
      <c r="Q94" s="15"/>
      <c r="R94" s="1"/>
      <c r="S94" s="1"/>
    </row>
    <row r="95" hidden="1" outlineLevel="1">
      <c r="A95" s="1"/>
      <c r="B95" s="3">
        <f t="shared" si="1"/>
        <v>91</v>
      </c>
      <c r="C95" s="31" t="s">
        <v>432</v>
      </c>
      <c r="D95" s="37" t="s">
        <v>218</v>
      </c>
      <c r="E95" s="37"/>
      <c r="F95" s="43" t="s">
        <v>433</v>
      </c>
      <c r="G95" s="37"/>
      <c r="H95" s="46">
        <v>46009.0</v>
      </c>
      <c r="I95" s="37" t="s">
        <v>77</v>
      </c>
      <c r="J95" s="49"/>
      <c r="K95" s="49"/>
      <c r="L95" s="37" t="s">
        <v>58</v>
      </c>
      <c r="M95" s="37" t="s">
        <v>54</v>
      </c>
      <c r="N95" s="17" t="s">
        <v>28</v>
      </c>
      <c r="O95" s="1"/>
      <c r="P95" s="67" t="s">
        <v>434</v>
      </c>
      <c r="Q95" s="15"/>
      <c r="R95" s="1"/>
      <c r="S95" s="1"/>
    </row>
    <row r="96" hidden="1" outlineLevel="1">
      <c r="A96" s="1"/>
      <c r="B96" s="3">
        <f t="shared" si="1"/>
        <v>92</v>
      </c>
      <c r="C96" s="31" t="s">
        <v>435</v>
      </c>
      <c r="D96" s="37" t="s">
        <v>83</v>
      </c>
      <c r="E96" s="1"/>
      <c r="F96" s="43" t="s">
        <v>436</v>
      </c>
      <c r="G96" s="37"/>
      <c r="H96" s="46">
        <v>46009.0</v>
      </c>
      <c r="I96" s="37"/>
      <c r="J96" s="49"/>
      <c r="K96" s="49"/>
      <c r="L96" s="94"/>
      <c r="M96" s="37"/>
      <c r="N96" s="17"/>
      <c r="O96" s="1"/>
      <c r="P96" s="15"/>
      <c r="Q96" s="15"/>
      <c r="R96" s="1"/>
      <c r="S96" s="1"/>
    </row>
    <row r="97" hidden="1" outlineLevel="1">
      <c r="A97" s="1"/>
      <c r="B97" s="3">
        <f t="shared" si="1"/>
        <v>93</v>
      </c>
      <c r="C97" s="31" t="s">
        <v>437</v>
      </c>
      <c r="D97" s="37" t="s">
        <v>83</v>
      </c>
      <c r="E97" s="1"/>
      <c r="F97" s="43" t="s">
        <v>438</v>
      </c>
      <c r="G97" s="37"/>
      <c r="H97" s="46">
        <v>46009.0</v>
      </c>
      <c r="I97" s="37"/>
      <c r="J97" s="49"/>
      <c r="K97" s="49"/>
      <c r="L97" s="94"/>
      <c r="M97" s="37"/>
      <c r="N97" s="17"/>
      <c r="O97" s="1"/>
      <c r="P97" s="15"/>
      <c r="Q97" s="15"/>
      <c r="R97" s="1"/>
      <c r="S97" s="1"/>
    </row>
    <row r="98" hidden="1" outlineLevel="1">
      <c r="A98" s="1"/>
      <c r="B98" s="3">
        <f t="shared" si="1"/>
        <v>94</v>
      </c>
      <c r="C98" s="31" t="s">
        <v>439</v>
      </c>
      <c r="D98" s="37" t="s">
        <v>112</v>
      </c>
      <c r="E98" s="1"/>
      <c r="F98" s="43" t="s">
        <v>440</v>
      </c>
      <c r="G98" s="37"/>
      <c r="H98" s="46">
        <v>46009.0</v>
      </c>
      <c r="I98" s="37" t="s">
        <v>77</v>
      </c>
      <c r="J98" s="49"/>
      <c r="K98" s="49"/>
      <c r="L98" s="37" t="s">
        <v>58</v>
      </c>
      <c r="M98" s="37" t="s">
        <v>60</v>
      </c>
      <c r="N98" s="17" t="s">
        <v>28</v>
      </c>
      <c r="O98" s="1"/>
      <c r="P98" s="15"/>
      <c r="Q98" s="15"/>
      <c r="R98" s="1"/>
      <c r="S98" s="1"/>
    </row>
    <row r="99" hidden="1" outlineLevel="1">
      <c r="A99" s="1"/>
      <c r="B99" s="3">
        <f t="shared" si="1"/>
        <v>95</v>
      </c>
      <c r="C99" s="31" t="s">
        <v>441</v>
      </c>
      <c r="D99" s="37" t="s">
        <v>96</v>
      </c>
      <c r="E99" s="1"/>
      <c r="F99" s="37"/>
      <c r="G99" s="37"/>
      <c r="H99" s="46">
        <v>46010.0</v>
      </c>
      <c r="I99" s="37" t="s">
        <v>79</v>
      </c>
      <c r="J99" s="49"/>
      <c r="K99" s="49"/>
      <c r="L99" s="37" t="s">
        <v>58</v>
      </c>
      <c r="M99" s="37"/>
      <c r="N99" s="17"/>
      <c r="O99" s="1"/>
      <c r="P99" s="15"/>
      <c r="Q99" s="67" t="s">
        <v>442</v>
      </c>
      <c r="R99" s="1"/>
      <c r="S99" s="1"/>
    </row>
    <row r="100" hidden="1" outlineLevel="1">
      <c r="A100" s="1"/>
      <c r="B100" s="3">
        <f t="shared" si="1"/>
        <v>96</v>
      </c>
      <c r="C100" s="31" t="s">
        <v>443</v>
      </c>
      <c r="D100" s="37" t="s">
        <v>116</v>
      </c>
      <c r="E100" s="1"/>
      <c r="F100" s="37"/>
      <c r="G100" s="37"/>
      <c r="H100" s="46" t="s">
        <v>444</v>
      </c>
      <c r="I100" s="37" t="s">
        <v>79</v>
      </c>
      <c r="J100" s="49"/>
      <c r="K100" s="49"/>
      <c r="L100" s="37" t="s">
        <v>58</v>
      </c>
      <c r="M100" s="37" t="s">
        <v>45</v>
      </c>
      <c r="N100" s="17"/>
      <c r="O100" s="1"/>
      <c r="P100" s="15"/>
      <c r="Q100" s="15"/>
      <c r="R100" s="1"/>
      <c r="S100" s="1"/>
    </row>
    <row r="101" hidden="1" outlineLevel="1">
      <c r="A101" s="1"/>
      <c r="B101" s="3">
        <f t="shared" si="1"/>
        <v>97</v>
      </c>
      <c r="C101" s="31" t="s">
        <v>445</v>
      </c>
      <c r="D101" s="37" t="s">
        <v>56</v>
      </c>
      <c r="E101" s="1"/>
      <c r="F101" s="37"/>
      <c r="G101" s="37"/>
      <c r="H101" s="46" t="s">
        <v>444</v>
      </c>
      <c r="I101" s="37" t="s">
        <v>79</v>
      </c>
      <c r="J101" s="49"/>
      <c r="K101" s="49"/>
      <c r="L101" s="37" t="s">
        <v>58</v>
      </c>
      <c r="M101" s="37" t="s">
        <v>78</v>
      </c>
      <c r="N101" s="17"/>
      <c r="O101" s="1"/>
      <c r="P101" s="15"/>
      <c r="Q101" s="15"/>
      <c r="R101" s="1"/>
      <c r="S101" s="1"/>
    </row>
    <row r="102" hidden="1" outlineLevel="1">
      <c r="A102" s="1"/>
      <c r="B102" s="3">
        <f t="shared" si="1"/>
        <v>98</v>
      </c>
      <c r="C102" s="31" t="s">
        <v>446</v>
      </c>
      <c r="D102" s="37" t="s">
        <v>159</v>
      </c>
      <c r="E102" s="1"/>
      <c r="F102" s="37" t="s">
        <v>446</v>
      </c>
      <c r="G102" s="37"/>
      <c r="H102" s="46">
        <v>46010.0</v>
      </c>
      <c r="I102" s="37" t="s">
        <v>77</v>
      </c>
      <c r="J102" s="49"/>
      <c r="K102" s="49"/>
      <c r="L102" s="37" t="s">
        <v>189</v>
      </c>
      <c r="M102" s="37"/>
      <c r="N102" s="17" t="s">
        <v>28</v>
      </c>
      <c r="O102" s="1"/>
      <c r="P102" s="15"/>
      <c r="Q102" s="15"/>
      <c r="R102" s="1"/>
      <c r="S102" s="1"/>
    </row>
    <row r="103" hidden="1" outlineLevel="1">
      <c r="A103" s="1"/>
      <c r="B103" s="3">
        <f t="shared" si="1"/>
        <v>99</v>
      </c>
      <c r="C103" s="31" t="s">
        <v>447</v>
      </c>
      <c r="D103" s="37" t="s">
        <v>96</v>
      </c>
      <c r="E103" s="1"/>
      <c r="F103" s="37"/>
      <c r="G103" s="37"/>
      <c r="H103" s="46" t="s">
        <v>444</v>
      </c>
      <c r="I103" s="37" t="s">
        <v>79</v>
      </c>
      <c r="J103" s="49"/>
      <c r="K103" s="49"/>
      <c r="L103" s="37" t="s">
        <v>58</v>
      </c>
      <c r="M103" s="37" t="s">
        <v>78</v>
      </c>
      <c r="N103" s="17"/>
      <c r="O103" s="1"/>
      <c r="P103" s="15"/>
      <c r="Q103" s="15"/>
      <c r="R103" s="1"/>
      <c r="S103" s="1"/>
    </row>
    <row r="104" hidden="1" outlineLevel="1">
      <c r="A104" s="1"/>
      <c r="B104" s="3">
        <f t="shared" si="1"/>
        <v>100</v>
      </c>
      <c r="C104" s="31" t="s">
        <v>448</v>
      </c>
      <c r="D104" s="37" t="s">
        <v>44</v>
      </c>
      <c r="E104" s="1"/>
      <c r="F104" s="37"/>
      <c r="G104" s="37"/>
      <c r="H104" s="46" t="s">
        <v>449</v>
      </c>
      <c r="I104" s="37" t="s">
        <v>77</v>
      </c>
      <c r="J104" s="49"/>
      <c r="K104" s="49"/>
      <c r="L104" s="37" t="s">
        <v>58</v>
      </c>
      <c r="M104" s="37" t="s">
        <v>78</v>
      </c>
      <c r="N104" s="17"/>
      <c r="O104" s="1"/>
      <c r="P104" s="15"/>
      <c r="Q104" s="15"/>
      <c r="R104" s="1"/>
      <c r="S104" s="1"/>
    </row>
    <row r="105" hidden="1" outlineLevel="1">
      <c r="A105" s="1"/>
      <c r="B105" s="3">
        <f t="shared" si="1"/>
        <v>101</v>
      </c>
      <c r="C105" s="31" t="s">
        <v>450</v>
      </c>
      <c r="D105" s="37" t="s">
        <v>96</v>
      </c>
      <c r="E105" s="1"/>
      <c r="F105" s="37"/>
      <c r="G105" s="37"/>
      <c r="H105" s="46">
        <v>46010.0</v>
      </c>
      <c r="I105" s="37" t="s">
        <v>77</v>
      </c>
      <c r="J105" s="49"/>
      <c r="K105" s="49"/>
      <c r="L105" s="37" t="s">
        <v>58</v>
      </c>
      <c r="M105" s="37"/>
      <c r="N105" s="17"/>
      <c r="O105" s="1"/>
      <c r="P105" s="15"/>
      <c r="Q105" s="15"/>
      <c r="R105" s="1"/>
      <c r="S105" s="1"/>
    </row>
    <row r="106" hidden="1" outlineLevel="1">
      <c r="A106" s="1"/>
      <c r="B106" s="3">
        <f t="shared" si="1"/>
        <v>102</v>
      </c>
      <c r="C106" s="31" t="s">
        <v>451</v>
      </c>
      <c r="D106" s="37" t="s">
        <v>49</v>
      </c>
      <c r="E106" s="1"/>
      <c r="F106" s="37"/>
      <c r="G106" s="37"/>
      <c r="H106" s="46">
        <v>46010.0</v>
      </c>
      <c r="I106" s="37" t="s">
        <v>452</v>
      </c>
      <c r="J106" s="49"/>
      <c r="K106" s="49"/>
      <c r="L106" s="37" t="s">
        <v>58</v>
      </c>
      <c r="M106" s="37" t="s">
        <v>53</v>
      </c>
      <c r="N106" s="17"/>
      <c r="O106" s="1"/>
      <c r="P106" s="15"/>
      <c r="Q106" s="15"/>
      <c r="R106" s="1"/>
      <c r="S106" s="1"/>
    </row>
    <row r="107" hidden="1" outlineLevel="1">
      <c r="A107" s="1"/>
      <c r="B107" s="3">
        <f t="shared" si="1"/>
        <v>103</v>
      </c>
      <c r="C107" s="31" t="s">
        <v>453</v>
      </c>
      <c r="D107" s="37" t="s">
        <v>454</v>
      </c>
      <c r="E107" s="1"/>
      <c r="F107" s="37"/>
      <c r="G107" s="37"/>
      <c r="H107" s="46" t="s">
        <v>444</v>
      </c>
      <c r="I107" s="37" t="s">
        <v>79</v>
      </c>
      <c r="J107" s="49"/>
      <c r="K107" s="49"/>
      <c r="L107" s="37" t="s">
        <v>58</v>
      </c>
      <c r="M107" s="37" t="s">
        <v>57</v>
      </c>
      <c r="N107" s="17"/>
      <c r="O107" s="1"/>
      <c r="P107" s="15"/>
      <c r="Q107" s="67" t="s">
        <v>455</v>
      </c>
      <c r="R107" s="1"/>
      <c r="S107" s="1"/>
    </row>
    <row r="108" hidden="1" outlineLevel="1">
      <c r="A108" s="1"/>
      <c r="B108" s="3">
        <f t="shared" si="1"/>
        <v>104</v>
      </c>
      <c r="C108" s="31" t="s">
        <v>456</v>
      </c>
      <c r="D108" s="37" t="s">
        <v>376</v>
      </c>
      <c r="E108" s="1"/>
      <c r="F108" s="43" t="s">
        <v>457</v>
      </c>
      <c r="G108" s="37"/>
      <c r="H108" s="46">
        <v>46010.0</v>
      </c>
      <c r="I108" s="37" t="s">
        <v>413</v>
      </c>
      <c r="J108" s="49"/>
      <c r="K108" s="49"/>
      <c r="L108" s="94"/>
      <c r="M108" s="37"/>
      <c r="N108" s="17"/>
      <c r="O108" s="1"/>
      <c r="P108" s="15"/>
      <c r="Q108" s="15"/>
      <c r="R108" s="1"/>
      <c r="S108" s="1"/>
    </row>
    <row r="109" hidden="1" outlineLevel="1">
      <c r="A109" s="1"/>
      <c r="B109" s="3">
        <f t="shared" si="1"/>
        <v>105</v>
      </c>
      <c r="C109" s="31" t="s">
        <v>458</v>
      </c>
      <c r="D109" s="37" t="s">
        <v>116</v>
      </c>
      <c r="E109" s="1"/>
      <c r="F109" s="37"/>
      <c r="G109" s="37"/>
      <c r="H109" s="46">
        <v>46010.0</v>
      </c>
      <c r="I109" s="37" t="s">
        <v>79</v>
      </c>
      <c r="J109" s="49"/>
      <c r="K109" s="49"/>
      <c r="L109" s="37" t="s">
        <v>58</v>
      </c>
      <c r="M109" s="37" t="s">
        <v>70</v>
      </c>
      <c r="N109" s="17"/>
      <c r="O109" s="1"/>
      <c r="P109" s="15"/>
      <c r="Q109" s="15"/>
      <c r="R109" s="1"/>
      <c r="S109" s="1"/>
    </row>
    <row r="110" hidden="1" outlineLevel="1">
      <c r="A110" s="1"/>
      <c r="B110" s="3">
        <f t="shared" si="1"/>
        <v>106</v>
      </c>
      <c r="C110" s="31" t="s">
        <v>459</v>
      </c>
      <c r="D110" s="37" t="s">
        <v>116</v>
      </c>
      <c r="E110" s="1"/>
      <c r="F110" s="37"/>
      <c r="G110" s="37"/>
      <c r="H110" s="46" t="s">
        <v>444</v>
      </c>
      <c r="I110" s="37" t="s">
        <v>79</v>
      </c>
      <c r="J110" s="49"/>
      <c r="K110" s="49"/>
      <c r="L110" s="37" t="s">
        <v>58</v>
      </c>
      <c r="M110" s="37" t="s">
        <v>70</v>
      </c>
      <c r="N110" s="17"/>
      <c r="O110" s="1"/>
      <c r="P110" s="15"/>
      <c r="Q110" s="15"/>
      <c r="R110" s="1"/>
      <c r="S110" s="1"/>
    </row>
    <row r="111" hidden="1" outlineLevel="1">
      <c r="A111" s="1"/>
      <c r="B111" s="3">
        <f t="shared" si="1"/>
        <v>107</v>
      </c>
      <c r="C111" s="31" t="s">
        <v>460</v>
      </c>
      <c r="D111" s="37" t="s">
        <v>56</v>
      </c>
      <c r="E111" s="1"/>
      <c r="F111" s="37"/>
      <c r="G111" s="37"/>
      <c r="H111" s="46">
        <v>46014.0</v>
      </c>
      <c r="I111" s="37" t="s">
        <v>461</v>
      </c>
      <c r="J111" s="49"/>
      <c r="K111" s="49"/>
      <c r="L111" s="37" t="s">
        <v>189</v>
      </c>
      <c r="M111" s="37"/>
      <c r="N111" s="17"/>
      <c r="O111" s="1"/>
      <c r="P111" s="15"/>
      <c r="Q111" s="15"/>
      <c r="R111" s="1"/>
      <c r="S111" s="1"/>
    </row>
    <row r="112" hidden="1" outlineLevel="1">
      <c r="A112" s="1"/>
      <c r="B112" s="3">
        <f t="shared" si="1"/>
        <v>108</v>
      </c>
      <c r="C112" s="31" t="s">
        <v>462</v>
      </c>
      <c r="D112" s="37" t="s">
        <v>96</v>
      </c>
      <c r="E112" s="37"/>
      <c r="F112" s="37"/>
      <c r="G112" s="37"/>
      <c r="H112" s="46">
        <v>46014.0</v>
      </c>
      <c r="I112" s="37" t="s">
        <v>461</v>
      </c>
      <c r="J112" s="49"/>
      <c r="K112" s="49"/>
      <c r="L112" s="37" t="s">
        <v>58</v>
      </c>
      <c r="M112" s="37" t="s">
        <v>57</v>
      </c>
      <c r="N112" s="17" t="s">
        <v>28</v>
      </c>
      <c r="O112" s="37" t="s">
        <v>16</v>
      </c>
      <c r="P112" s="67" t="s">
        <v>463</v>
      </c>
      <c r="Q112" s="67" t="s">
        <v>464</v>
      </c>
      <c r="R112" s="1"/>
      <c r="S112" s="1"/>
    </row>
    <row r="113" hidden="1" outlineLevel="1">
      <c r="A113" s="1"/>
      <c r="B113" s="3">
        <f t="shared" si="1"/>
        <v>109</v>
      </c>
      <c r="C113" s="31" t="s">
        <v>465</v>
      </c>
      <c r="D113" s="37" t="s">
        <v>96</v>
      </c>
      <c r="E113" s="1"/>
      <c r="F113" s="37"/>
      <c r="G113" s="37"/>
      <c r="H113" s="46">
        <v>46014.0</v>
      </c>
      <c r="I113" s="37"/>
      <c r="J113" s="49"/>
      <c r="K113" s="49"/>
      <c r="L113" s="37" t="s">
        <v>26</v>
      </c>
      <c r="M113" s="37"/>
      <c r="N113" s="17"/>
      <c r="O113" s="1"/>
      <c r="P113" s="15"/>
      <c r="Q113" s="15"/>
      <c r="R113" s="1"/>
      <c r="S113" s="1"/>
    </row>
    <row r="114" hidden="1" outlineLevel="1">
      <c r="A114" s="1"/>
      <c r="B114" s="3">
        <f t="shared" si="1"/>
        <v>110</v>
      </c>
      <c r="C114" s="31" t="s">
        <v>466</v>
      </c>
      <c r="D114" s="37" t="s">
        <v>49</v>
      </c>
      <c r="E114" s="1"/>
      <c r="F114" s="43" t="s">
        <v>467</v>
      </c>
      <c r="G114" s="37"/>
      <c r="H114" s="46">
        <v>46014.0</v>
      </c>
      <c r="I114" s="37" t="s">
        <v>77</v>
      </c>
      <c r="J114" s="49"/>
      <c r="K114" s="49"/>
      <c r="L114" s="37" t="s">
        <v>189</v>
      </c>
      <c r="M114" s="37"/>
      <c r="N114" s="17"/>
      <c r="O114" s="1"/>
      <c r="P114" s="15"/>
      <c r="Q114" s="15"/>
      <c r="R114" s="1"/>
      <c r="S114" s="1"/>
    </row>
    <row r="115" hidden="1" outlineLevel="1">
      <c r="A115" s="1"/>
      <c r="B115" s="3">
        <f t="shared" si="1"/>
        <v>111</v>
      </c>
      <c r="C115" s="31" t="s">
        <v>468</v>
      </c>
      <c r="D115" s="37" t="s">
        <v>49</v>
      </c>
      <c r="E115" s="1"/>
      <c r="F115" s="37"/>
      <c r="G115" s="37"/>
      <c r="H115" s="46">
        <v>46014.0</v>
      </c>
      <c r="I115" s="37"/>
      <c r="J115" s="49"/>
      <c r="K115" s="49"/>
      <c r="L115" s="37" t="s">
        <v>26</v>
      </c>
      <c r="M115" s="37"/>
      <c r="N115" s="17"/>
      <c r="O115" s="1"/>
      <c r="P115" s="15"/>
      <c r="Q115" s="15"/>
      <c r="R115" s="1"/>
      <c r="S115" s="1"/>
    </row>
    <row r="116" hidden="1" outlineLevel="1">
      <c r="A116" s="1"/>
      <c r="B116" s="3">
        <f t="shared" si="1"/>
        <v>112</v>
      </c>
      <c r="C116" s="31" t="s">
        <v>469</v>
      </c>
      <c r="D116" s="37" t="s">
        <v>96</v>
      </c>
      <c r="E116" s="1"/>
      <c r="F116" s="37"/>
      <c r="G116" s="37"/>
      <c r="H116" s="46">
        <v>46014.0</v>
      </c>
      <c r="I116" s="37"/>
      <c r="J116" s="49"/>
      <c r="K116" s="49"/>
      <c r="L116" s="37" t="s">
        <v>26</v>
      </c>
      <c r="M116" s="37"/>
      <c r="N116" s="17"/>
      <c r="O116" s="1"/>
      <c r="P116" s="15"/>
      <c r="Q116" s="15"/>
      <c r="R116" s="1"/>
      <c r="S116" s="1"/>
    </row>
    <row r="117" hidden="1" outlineLevel="1">
      <c r="A117" s="1"/>
      <c r="B117" s="3">
        <f t="shared" si="1"/>
        <v>113</v>
      </c>
      <c r="C117" s="31" t="s">
        <v>470</v>
      </c>
      <c r="D117" s="37" t="s">
        <v>96</v>
      </c>
      <c r="E117" s="1"/>
      <c r="F117" s="43" t="s">
        <v>471</v>
      </c>
      <c r="G117" s="37"/>
      <c r="H117" s="46">
        <v>46014.0</v>
      </c>
      <c r="I117" s="37" t="s">
        <v>77</v>
      </c>
      <c r="J117" s="49"/>
      <c r="K117" s="49"/>
      <c r="L117" s="37" t="s">
        <v>58</v>
      </c>
      <c r="M117" s="37"/>
      <c r="N117" s="17"/>
      <c r="O117" s="1"/>
      <c r="P117" s="15"/>
      <c r="Q117" s="15"/>
      <c r="R117" s="1"/>
      <c r="S117" s="1"/>
    </row>
    <row r="118" hidden="1" outlineLevel="1">
      <c r="A118" s="1"/>
      <c r="B118" s="3">
        <f t="shared" si="1"/>
        <v>114</v>
      </c>
      <c r="C118" s="31" t="s">
        <v>472</v>
      </c>
      <c r="D118" s="37" t="s">
        <v>159</v>
      </c>
      <c r="E118" s="1"/>
      <c r="F118" s="43" t="s">
        <v>412</v>
      </c>
      <c r="G118" s="37"/>
      <c r="H118" s="46">
        <v>46014.0</v>
      </c>
      <c r="I118" s="37" t="s">
        <v>77</v>
      </c>
      <c r="J118" s="49"/>
      <c r="K118" s="49"/>
      <c r="L118" s="37" t="s">
        <v>58</v>
      </c>
      <c r="M118" s="37" t="s">
        <v>45</v>
      </c>
      <c r="N118" s="17" t="s">
        <v>28</v>
      </c>
      <c r="O118" s="37" t="s">
        <v>473</v>
      </c>
      <c r="P118" s="15"/>
      <c r="Q118" s="15"/>
      <c r="R118" s="1"/>
      <c r="S118" s="1"/>
    </row>
    <row r="119" hidden="1" outlineLevel="1">
      <c r="A119" s="1"/>
      <c r="B119" s="3">
        <f t="shared" si="1"/>
        <v>115</v>
      </c>
      <c r="C119" s="31" t="s">
        <v>474</v>
      </c>
      <c r="D119" s="37" t="s">
        <v>49</v>
      </c>
      <c r="E119" s="37"/>
      <c r="F119" s="37"/>
      <c r="G119" s="37"/>
      <c r="H119" s="46">
        <v>46014.0</v>
      </c>
      <c r="I119" s="37" t="s">
        <v>452</v>
      </c>
      <c r="J119" s="49"/>
      <c r="K119" s="49"/>
      <c r="L119" s="37" t="s">
        <v>58</v>
      </c>
      <c r="M119" s="37" t="s">
        <v>45</v>
      </c>
      <c r="N119" s="17" t="s">
        <v>39</v>
      </c>
      <c r="O119" s="1"/>
      <c r="P119" s="67" t="s">
        <v>475</v>
      </c>
      <c r="Q119" s="15"/>
      <c r="R119" s="1"/>
      <c r="S119" s="1"/>
    </row>
    <row r="120" hidden="1" outlineLevel="1">
      <c r="A120" s="1"/>
      <c r="B120" s="3">
        <f t="shared" si="1"/>
        <v>116</v>
      </c>
      <c r="C120" s="31" t="s">
        <v>476</v>
      </c>
      <c r="D120" s="37" t="s">
        <v>47</v>
      </c>
      <c r="E120" s="1"/>
      <c r="F120" s="37"/>
      <c r="G120" s="37"/>
      <c r="H120" s="46">
        <v>46014.0</v>
      </c>
      <c r="I120" s="37" t="s">
        <v>461</v>
      </c>
      <c r="J120" s="49" t="s">
        <v>477</v>
      </c>
      <c r="K120" s="49" t="s">
        <v>478</v>
      </c>
      <c r="L120" s="37" t="s">
        <v>189</v>
      </c>
      <c r="M120" s="37"/>
      <c r="N120" s="17"/>
      <c r="O120" s="1"/>
      <c r="P120" s="15"/>
      <c r="Q120" s="15"/>
      <c r="R120" s="1"/>
      <c r="S120" s="1"/>
    </row>
    <row r="121" hidden="1" outlineLevel="1">
      <c r="A121" s="1"/>
      <c r="B121" s="3">
        <f t="shared" si="1"/>
        <v>117</v>
      </c>
      <c r="C121" s="31" t="s">
        <v>479</v>
      </c>
      <c r="D121" s="37" t="s">
        <v>49</v>
      </c>
      <c r="E121" s="1"/>
      <c r="F121" s="37"/>
      <c r="G121" s="37"/>
      <c r="H121" s="46">
        <v>46014.0</v>
      </c>
      <c r="I121" s="37"/>
      <c r="J121" s="49"/>
      <c r="K121" s="49"/>
      <c r="L121" s="37" t="s">
        <v>26</v>
      </c>
      <c r="M121" s="37"/>
      <c r="N121" s="17"/>
      <c r="O121" s="1"/>
      <c r="P121" s="15"/>
      <c r="Q121" s="15"/>
      <c r="R121" s="1"/>
      <c r="S121" s="1"/>
    </row>
    <row r="122" hidden="1" outlineLevel="1">
      <c r="A122" s="1"/>
      <c r="B122" s="3">
        <f t="shared" si="1"/>
        <v>118</v>
      </c>
      <c r="C122" s="31" t="s">
        <v>480</v>
      </c>
      <c r="D122" s="37" t="s">
        <v>96</v>
      </c>
      <c r="E122" s="37"/>
      <c r="F122" s="37"/>
      <c r="G122" s="37"/>
      <c r="H122" s="46">
        <v>46014.0</v>
      </c>
      <c r="I122" s="37" t="s">
        <v>77</v>
      </c>
      <c r="J122" s="49"/>
      <c r="K122" s="49"/>
      <c r="L122" s="37" t="s">
        <v>58</v>
      </c>
      <c r="M122" s="37" t="s">
        <v>60</v>
      </c>
      <c r="N122" s="17" t="s">
        <v>28</v>
      </c>
      <c r="O122" s="37" t="s">
        <v>481</v>
      </c>
      <c r="P122" s="67" t="s">
        <v>482</v>
      </c>
      <c r="Q122" s="15"/>
      <c r="R122" s="1"/>
      <c r="S122" s="1"/>
    </row>
    <row r="123" hidden="1" outlineLevel="1">
      <c r="A123" s="1"/>
      <c r="B123" s="3">
        <f t="shared" si="1"/>
        <v>119</v>
      </c>
      <c r="C123" s="31" t="s">
        <v>404</v>
      </c>
      <c r="D123" s="37" t="s">
        <v>44</v>
      </c>
      <c r="E123" s="1"/>
      <c r="F123" s="37"/>
      <c r="G123" s="37"/>
      <c r="H123" s="46">
        <v>46014.0</v>
      </c>
      <c r="I123" s="37" t="s">
        <v>461</v>
      </c>
      <c r="J123" s="49"/>
      <c r="K123" s="49"/>
      <c r="L123" s="37" t="s">
        <v>189</v>
      </c>
      <c r="M123" s="37"/>
      <c r="N123" s="17"/>
      <c r="O123" s="1"/>
      <c r="P123" s="15"/>
      <c r="Q123" s="15"/>
      <c r="R123" s="1"/>
      <c r="S123" s="1"/>
    </row>
    <row r="124" hidden="1" outlineLevel="1">
      <c r="A124" s="1"/>
      <c r="B124" s="3">
        <f t="shared" si="1"/>
        <v>120</v>
      </c>
      <c r="C124" s="31" t="s">
        <v>111</v>
      </c>
      <c r="D124" s="37" t="s">
        <v>112</v>
      </c>
      <c r="E124" s="1"/>
      <c r="F124" s="37"/>
      <c r="G124" s="37"/>
      <c r="H124" s="46">
        <v>46014.0</v>
      </c>
      <c r="I124" s="37"/>
      <c r="J124" s="49"/>
      <c r="K124" s="49"/>
      <c r="L124" s="37" t="s">
        <v>26</v>
      </c>
      <c r="M124" s="37"/>
      <c r="N124" s="17"/>
      <c r="O124" s="1"/>
      <c r="P124" s="15"/>
      <c r="Q124" s="15"/>
      <c r="R124" s="1"/>
      <c r="S124" s="1"/>
    </row>
    <row r="125" hidden="1" outlineLevel="1">
      <c r="A125" s="1"/>
      <c r="B125" s="3">
        <f t="shared" si="1"/>
        <v>121</v>
      </c>
      <c r="C125" s="31" t="s">
        <v>483</v>
      </c>
      <c r="D125" s="37" t="s">
        <v>112</v>
      </c>
      <c r="E125" s="37"/>
      <c r="F125" s="37"/>
      <c r="G125" s="37"/>
      <c r="H125" s="46">
        <v>46014.0</v>
      </c>
      <c r="I125" s="37" t="s">
        <v>461</v>
      </c>
      <c r="J125" s="49"/>
      <c r="K125" s="49"/>
      <c r="L125" s="37" t="s">
        <v>58</v>
      </c>
      <c r="M125" s="37" t="s">
        <v>68</v>
      </c>
      <c r="N125" s="17" t="s">
        <v>39</v>
      </c>
      <c r="O125" s="1"/>
      <c r="P125" s="67" t="s">
        <v>484</v>
      </c>
      <c r="Q125" s="67" t="s">
        <v>485</v>
      </c>
      <c r="R125" s="1"/>
      <c r="S125" s="1"/>
    </row>
    <row r="126" hidden="1" outlineLevel="1">
      <c r="A126" s="1"/>
      <c r="B126" s="3">
        <f t="shared" si="1"/>
        <v>122</v>
      </c>
      <c r="C126" s="31" t="s">
        <v>486</v>
      </c>
      <c r="D126" s="37" t="s">
        <v>44</v>
      </c>
      <c r="E126" s="37"/>
      <c r="F126" s="37"/>
      <c r="G126" s="37"/>
      <c r="H126" s="46">
        <v>46014.0</v>
      </c>
      <c r="I126" s="37" t="s">
        <v>461</v>
      </c>
      <c r="J126" s="49" t="s">
        <v>487</v>
      </c>
      <c r="K126" s="49" t="s">
        <v>487</v>
      </c>
      <c r="L126" s="37" t="s">
        <v>58</v>
      </c>
      <c r="M126" s="37" t="s">
        <v>78</v>
      </c>
      <c r="N126" s="17" t="s">
        <v>39</v>
      </c>
      <c r="O126" s="1"/>
      <c r="P126" s="67" t="s">
        <v>488</v>
      </c>
      <c r="Q126" s="15"/>
      <c r="R126" s="1"/>
      <c r="S126" s="1"/>
    </row>
    <row r="127" hidden="1" outlineLevel="1">
      <c r="A127" s="1"/>
      <c r="B127" s="3">
        <f t="shared" si="1"/>
        <v>123</v>
      </c>
      <c r="C127" s="31" t="s">
        <v>489</v>
      </c>
      <c r="D127" s="37" t="s">
        <v>56</v>
      </c>
      <c r="E127" s="1"/>
      <c r="F127" s="37"/>
      <c r="G127" s="37"/>
      <c r="H127" s="46">
        <v>46014.0</v>
      </c>
      <c r="I127" s="37" t="s">
        <v>461</v>
      </c>
      <c r="J127" s="49"/>
      <c r="K127" s="49"/>
      <c r="L127" s="37" t="s">
        <v>189</v>
      </c>
      <c r="M127" s="37"/>
      <c r="N127" s="17"/>
      <c r="O127" s="1"/>
      <c r="P127" s="15"/>
      <c r="Q127" s="15"/>
      <c r="R127" s="1"/>
      <c r="S127" s="1"/>
    </row>
    <row r="128" hidden="1" outlineLevel="1">
      <c r="A128" s="1"/>
      <c r="B128" s="3">
        <f t="shared" si="1"/>
        <v>124</v>
      </c>
      <c r="C128" s="31" t="s">
        <v>89</v>
      </c>
      <c r="D128" s="37" t="s">
        <v>38</v>
      </c>
      <c r="E128" s="1"/>
      <c r="F128" s="37"/>
      <c r="G128" s="37"/>
      <c r="H128" s="46">
        <v>46014.0</v>
      </c>
      <c r="I128" s="37"/>
      <c r="J128" s="49"/>
      <c r="K128" s="49"/>
      <c r="L128" s="37" t="s">
        <v>26</v>
      </c>
      <c r="M128" s="37"/>
      <c r="N128" s="17"/>
      <c r="O128" s="1"/>
      <c r="P128" s="15"/>
      <c r="Q128" s="15"/>
      <c r="R128" s="1"/>
      <c r="S128" s="1"/>
    </row>
    <row r="129" hidden="1" outlineLevel="1">
      <c r="A129" s="1"/>
      <c r="B129" s="3">
        <f t="shared" si="1"/>
        <v>125</v>
      </c>
      <c r="C129" s="31" t="s">
        <v>490</v>
      </c>
      <c r="D129" s="37" t="s">
        <v>116</v>
      </c>
      <c r="E129" s="37"/>
      <c r="F129" s="37"/>
      <c r="G129" s="37"/>
      <c r="H129" s="46">
        <v>46014.0</v>
      </c>
      <c r="I129" s="37" t="s">
        <v>77</v>
      </c>
      <c r="J129" s="49" t="s">
        <v>491</v>
      </c>
      <c r="K129" s="49" t="s">
        <v>492</v>
      </c>
      <c r="L129" s="37" t="s">
        <v>58</v>
      </c>
      <c r="M129" s="37" t="s">
        <v>70</v>
      </c>
      <c r="N129" s="17" t="s">
        <v>39</v>
      </c>
      <c r="O129" s="1"/>
      <c r="P129" s="67" t="s">
        <v>493</v>
      </c>
      <c r="Q129" s="15"/>
      <c r="R129" s="1"/>
      <c r="S129" s="1"/>
    </row>
    <row r="130" hidden="1" outlineLevel="1">
      <c r="A130" s="1"/>
      <c r="B130" s="3">
        <f t="shared" si="1"/>
        <v>126</v>
      </c>
      <c r="C130" s="31" t="s">
        <v>494</v>
      </c>
      <c r="D130" s="37" t="s">
        <v>112</v>
      </c>
      <c r="E130" s="1"/>
      <c r="F130" s="37"/>
      <c r="G130" s="37"/>
      <c r="H130" s="46">
        <v>46014.0</v>
      </c>
      <c r="I130" s="37" t="s">
        <v>77</v>
      </c>
      <c r="J130" s="49"/>
      <c r="K130" s="49"/>
      <c r="L130" s="37" t="s">
        <v>189</v>
      </c>
      <c r="M130" s="37"/>
      <c r="N130" s="17"/>
      <c r="O130" s="1"/>
      <c r="P130" s="15"/>
      <c r="Q130" s="15"/>
      <c r="R130" s="1"/>
      <c r="S130" s="1"/>
    </row>
    <row r="131" hidden="1" outlineLevel="1">
      <c r="A131" s="1"/>
      <c r="B131" s="3">
        <f t="shared" si="1"/>
        <v>127</v>
      </c>
      <c r="C131" s="31" t="s">
        <v>495</v>
      </c>
      <c r="D131" s="37" t="s">
        <v>116</v>
      </c>
      <c r="E131" s="1"/>
      <c r="F131" s="37"/>
      <c r="G131" s="37"/>
      <c r="H131" s="46">
        <v>46014.0</v>
      </c>
      <c r="I131" s="37"/>
      <c r="J131" s="49"/>
      <c r="K131" s="49"/>
      <c r="L131" s="37" t="s">
        <v>26</v>
      </c>
      <c r="M131" s="37"/>
      <c r="N131" s="17"/>
      <c r="O131" s="1"/>
      <c r="P131" s="15"/>
      <c r="Q131" s="15"/>
      <c r="R131" s="1"/>
      <c r="S131" s="1"/>
    </row>
    <row r="132" hidden="1" outlineLevel="1">
      <c r="A132" s="1"/>
      <c r="B132" s="3">
        <f t="shared" si="1"/>
        <v>128</v>
      </c>
      <c r="C132" s="31" t="s">
        <v>496</v>
      </c>
      <c r="D132" s="37" t="s">
        <v>497</v>
      </c>
      <c r="E132" s="1"/>
      <c r="F132" s="37"/>
      <c r="G132" s="37"/>
      <c r="H132" s="46">
        <v>46014.0</v>
      </c>
      <c r="I132" s="37" t="s">
        <v>461</v>
      </c>
      <c r="J132" s="49"/>
      <c r="K132" s="49"/>
      <c r="L132" s="37" t="s">
        <v>58</v>
      </c>
      <c r="M132" s="37"/>
      <c r="N132" s="17"/>
      <c r="O132" s="1"/>
      <c r="P132" s="15"/>
      <c r="Q132" s="15"/>
      <c r="R132" s="1"/>
      <c r="S132" s="1"/>
    </row>
    <row r="133" hidden="1" outlineLevel="1">
      <c r="A133" s="1"/>
      <c r="B133" s="3">
        <f t="shared" si="1"/>
        <v>129</v>
      </c>
      <c r="C133" s="31" t="s">
        <v>498</v>
      </c>
      <c r="D133" s="37" t="s">
        <v>49</v>
      </c>
      <c r="E133" s="1"/>
      <c r="F133" s="37"/>
      <c r="G133" s="37"/>
      <c r="H133" s="46">
        <v>46014.0</v>
      </c>
      <c r="I133" s="37"/>
      <c r="J133" s="49"/>
      <c r="K133" s="49"/>
      <c r="L133" s="37" t="s">
        <v>26</v>
      </c>
      <c r="M133" s="37"/>
      <c r="N133" s="17"/>
      <c r="O133" s="1"/>
      <c r="P133" s="15"/>
      <c r="Q133" s="15"/>
      <c r="R133" s="1"/>
      <c r="S133" s="1"/>
    </row>
    <row r="134" hidden="1" outlineLevel="1">
      <c r="A134" s="1"/>
      <c r="B134" s="3">
        <f t="shared" si="1"/>
        <v>130</v>
      </c>
      <c r="C134" s="31" t="s">
        <v>499</v>
      </c>
      <c r="D134" s="37" t="s">
        <v>44</v>
      </c>
      <c r="E134" s="1"/>
      <c r="F134" s="37"/>
      <c r="G134" s="37"/>
      <c r="H134" s="46">
        <v>46014.0</v>
      </c>
      <c r="I134" s="37"/>
      <c r="J134" s="49"/>
      <c r="K134" s="49"/>
      <c r="L134" s="37" t="s">
        <v>26</v>
      </c>
      <c r="M134" s="37"/>
      <c r="N134" s="17"/>
      <c r="O134" s="1"/>
      <c r="P134" s="15"/>
      <c r="Q134" s="15"/>
      <c r="R134" s="1"/>
      <c r="S134" s="1"/>
    </row>
    <row r="135" hidden="1" outlineLevel="1">
      <c r="A135" s="1"/>
      <c r="B135" s="3">
        <f t="shared" si="1"/>
        <v>131</v>
      </c>
      <c r="C135" s="31" t="s">
        <v>500</v>
      </c>
      <c r="D135" s="37" t="s">
        <v>218</v>
      </c>
      <c r="E135" s="1"/>
      <c r="F135" s="37"/>
      <c r="G135" s="37"/>
      <c r="H135" s="46">
        <v>46014.0</v>
      </c>
      <c r="I135" s="37" t="s">
        <v>461</v>
      </c>
      <c r="J135" s="49"/>
      <c r="K135" s="49"/>
      <c r="L135" s="37" t="s">
        <v>58</v>
      </c>
      <c r="M135" s="37"/>
      <c r="N135" s="17"/>
      <c r="O135" s="1"/>
      <c r="P135" s="15"/>
      <c r="Q135" s="15"/>
      <c r="R135" s="1"/>
      <c r="S135" s="1"/>
    </row>
    <row r="136" hidden="1" outlineLevel="1">
      <c r="A136" s="1"/>
      <c r="B136" s="3">
        <f t="shared" si="1"/>
        <v>132</v>
      </c>
      <c r="C136" s="31" t="s">
        <v>501</v>
      </c>
      <c r="D136" s="37" t="s">
        <v>49</v>
      </c>
      <c r="E136" s="1"/>
      <c r="F136" s="37"/>
      <c r="G136" s="37"/>
      <c r="H136" s="46">
        <v>46014.0</v>
      </c>
      <c r="I136" s="37" t="s">
        <v>461</v>
      </c>
      <c r="J136" s="49"/>
      <c r="K136" s="49"/>
      <c r="L136" s="37" t="s">
        <v>189</v>
      </c>
      <c r="M136" s="37"/>
      <c r="N136" s="17"/>
      <c r="O136" s="1"/>
      <c r="P136" s="15"/>
      <c r="Q136" s="15"/>
      <c r="R136" s="1"/>
      <c r="S136" s="1"/>
    </row>
    <row r="137" hidden="1" outlineLevel="1">
      <c r="A137" s="1"/>
      <c r="B137" s="3">
        <f t="shared" si="1"/>
        <v>133</v>
      </c>
      <c r="C137" s="31" t="s">
        <v>502</v>
      </c>
      <c r="D137" s="37" t="s">
        <v>104</v>
      </c>
      <c r="E137" s="1"/>
      <c r="F137" s="37"/>
      <c r="G137" s="37"/>
      <c r="H137" s="46">
        <v>46014.0</v>
      </c>
      <c r="I137" s="37" t="s">
        <v>77</v>
      </c>
      <c r="J137" s="49"/>
      <c r="K137" s="49"/>
      <c r="L137" s="37" t="s">
        <v>58</v>
      </c>
      <c r="M137" s="37" t="s">
        <v>57</v>
      </c>
      <c r="N137" s="17" t="s">
        <v>28</v>
      </c>
      <c r="O137" s="37" t="s">
        <v>473</v>
      </c>
      <c r="P137" s="15"/>
      <c r="Q137" s="15"/>
      <c r="R137" s="1"/>
      <c r="S137" s="1"/>
    </row>
    <row r="138" hidden="1" outlineLevel="1">
      <c r="A138" s="1"/>
      <c r="B138" s="3">
        <f t="shared" si="1"/>
        <v>134</v>
      </c>
      <c r="C138" s="31" t="s">
        <v>503</v>
      </c>
      <c r="D138" s="37" t="s">
        <v>96</v>
      </c>
      <c r="E138" s="1"/>
      <c r="F138" s="37"/>
      <c r="G138" s="37"/>
      <c r="H138" s="46">
        <v>46017.0</v>
      </c>
      <c r="I138" s="37" t="s">
        <v>461</v>
      </c>
      <c r="J138" s="49"/>
      <c r="K138" s="49"/>
      <c r="L138" s="37" t="s">
        <v>58</v>
      </c>
      <c r="M138" s="37"/>
      <c r="N138" s="17"/>
      <c r="O138" s="1"/>
      <c r="P138" s="15"/>
      <c r="Q138" s="15"/>
      <c r="R138" s="1"/>
      <c r="S138" s="1"/>
    </row>
    <row r="139" hidden="1" outlineLevel="1">
      <c r="A139" s="1"/>
      <c r="B139" s="3">
        <f t="shared" si="1"/>
        <v>135</v>
      </c>
      <c r="C139" s="31" t="s">
        <v>504</v>
      </c>
      <c r="D139" s="37" t="s">
        <v>83</v>
      </c>
      <c r="E139" s="1"/>
      <c r="F139" s="43" t="s">
        <v>505</v>
      </c>
      <c r="G139" s="37"/>
      <c r="H139" s="46">
        <v>46014.0</v>
      </c>
      <c r="I139" s="37"/>
      <c r="J139" s="49"/>
      <c r="K139" s="49"/>
      <c r="L139" s="37" t="s">
        <v>26</v>
      </c>
      <c r="M139" s="37"/>
      <c r="N139" s="17"/>
      <c r="O139" s="1"/>
      <c r="P139" s="15"/>
      <c r="Q139" s="15"/>
      <c r="R139" s="1"/>
      <c r="S139" s="1"/>
    </row>
    <row r="140" hidden="1" outlineLevel="1">
      <c r="A140" s="1"/>
      <c r="B140" s="3">
        <f t="shared" si="1"/>
        <v>136</v>
      </c>
      <c r="C140" s="31" t="s">
        <v>506</v>
      </c>
      <c r="D140" s="37" t="s">
        <v>44</v>
      </c>
      <c r="E140" s="1"/>
      <c r="F140" s="37"/>
      <c r="G140" s="37"/>
      <c r="H140" s="46">
        <v>46014.0</v>
      </c>
      <c r="I140" s="37" t="s">
        <v>461</v>
      </c>
      <c r="J140" s="49"/>
      <c r="K140" s="49"/>
      <c r="L140" s="37" t="s">
        <v>58</v>
      </c>
      <c r="M140" s="37"/>
      <c r="N140" s="17"/>
      <c r="O140" s="1"/>
      <c r="P140" s="15"/>
      <c r="Q140" s="15"/>
      <c r="R140" s="1"/>
      <c r="S140" s="1"/>
    </row>
    <row r="141" hidden="1" outlineLevel="1">
      <c r="A141" s="1"/>
      <c r="B141" s="3">
        <f t="shared" si="1"/>
        <v>137</v>
      </c>
      <c r="C141" s="31" t="s">
        <v>507</v>
      </c>
      <c r="D141" s="37" t="s">
        <v>44</v>
      </c>
      <c r="E141" s="1"/>
      <c r="F141" s="37"/>
      <c r="G141" s="37"/>
      <c r="H141" s="46">
        <v>46014.0</v>
      </c>
      <c r="I141" s="37" t="s">
        <v>461</v>
      </c>
      <c r="J141" s="49"/>
      <c r="K141" s="49"/>
      <c r="L141" s="37" t="s">
        <v>58</v>
      </c>
      <c r="M141" s="37" t="s">
        <v>60</v>
      </c>
      <c r="N141" s="17"/>
      <c r="O141" s="1"/>
      <c r="P141" s="15"/>
      <c r="Q141" s="15"/>
      <c r="R141" s="1"/>
      <c r="S141" s="1"/>
    </row>
    <row r="142" hidden="1" outlineLevel="1">
      <c r="A142" s="1"/>
      <c r="B142" s="3">
        <f t="shared" si="1"/>
        <v>138</v>
      </c>
      <c r="C142" s="31" t="s">
        <v>508</v>
      </c>
      <c r="D142" s="37" t="s">
        <v>218</v>
      </c>
      <c r="E142" s="1"/>
      <c r="F142" s="37"/>
      <c r="G142" s="37"/>
      <c r="H142" s="46">
        <v>46017.0</v>
      </c>
      <c r="I142" s="37"/>
      <c r="J142" s="49"/>
      <c r="K142" s="49"/>
      <c r="L142" s="37" t="s">
        <v>26</v>
      </c>
      <c r="M142" s="37"/>
      <c r="N142" s="17"/>
      <c r="O142" s="1"/>
      <c r="P142" s="15"/>
      <c r="Q142" s="15"/>
      <c r="R142" s="1"/>
      <c r="S142" s="1"/>
    </row>
    <row r="143" hidden="1" outlineLevel="1">
      <c r="A143" s="1"/>
      <c r="B143" s="3">
        <f t="shared" si="1"/>
        <v>139</v>
      </c>
      <c r="C143" s="31" t="s">
        <v>509</v>
      </c>
      <c r="D143" s="37" t="s">
        <v>49</v>
      </c>
      <c r="E143" s="1"/>
      <c r="F143" s="37"/>
      <c r="G143" s="37"/>
      <c r="H143" s="46">
        <v>46017.0</v>
      </c>
      <c r="I143" s="37" t="s">
        <v>461</v>
      </c>
      <c r="J143" s="49"/>
      <c r="K143" s="49"/>
      <c r="L143" s="37" t="s">
        <v>58</v>
      </c>
      <c r="M143" s="37" t="s">
        <v>65</v>
      </c>
      <c r="N143" s="17"/>
      <c r="O143" s="1"/>
      <c r="P143" s="15"/>
      <c r="Q143" s="15"/>
      <c r="R143" s="1"/>
      <c r="S143" s="1"/>
    </row>
    <row r="144" hidden="1" outlineLevel="1">
      <c r="A144" s="1"/>
      <c r="B144" s="3">
        <f t="shared" si="1"/>
        <v>140</v>
      </c>
      <c r="C144" s="31" t="s">
        <v>510</v>
      </c>
      <c r="D144" s="37" t="s">
        <v>49</v>
      </c>
      <c r="E144" s="1"/>
      <c r="F144" s="37"/>
      <c r="G144" s="37"/>
      <c r="H144" s="46">
        <v>46017.0</v>
      </c>
      <c r="I144" s="37" t="s">
        <v>461</v>
      </c>
      <c r="J144" s="49"/>
      <c r="K144" s="49"/>
      <c r="L144" s="37" t="s">
        <v>58</v>
      </c>
      <c r="M144" s="37"/>
      <c r="N144" s="17"/>
      <c r="O144" s="1"/>
      <c r="P144" s="15"/>
      <c r="Q144" s="15"/>
      <c r="R144" s="1"/>
      <c r="S144" s="1"/>
    </row>
    <row r="145" hidden="1" outlineLevel="1">
      <c r="A145" s="1"/>
      <c r="B145" s="3">
        <f t="shared" si="1"/>
        <v>141</v>
      </c>
      <c r="C145" s="31" t="s">
        <v>511</v>
      </c>
      <c r="D145" s="37" t="s">
        <v>49</v>
      </c>
      <c r="E145" s="1"/>
      <c r="F145" s="1"/>
      <c r="G145" s="37"/>
      <c r="H145" s="46">
        <v>46017.0</v>
      </c>
      <c r="I145" s="37" t="s">
        <v>461</v>
      </c>
      <c r="J145" s="49"/>
      <c r="K145" s="49"/>
      <c r="L145" s="37" t="s">
        <v>58</v>
      </c>
      <c r="M145" s="37" t="s">
        <v>63</v>
      </c>
      <c r="N145" s="17"/>
      <c r="O145" s="1"/>
      <c r="P145" s="15"/>
      <c r="Q145" s="15"/>
      <c r="R145" s="1"/>
      <c r="S145" s="1"/>
    </row>
    <row r="146" hidden="1" outlineLevel="1">
      <c r="A146" s="1"/>
      <c r="B146" s="3">
        <f t="shared" si="1"/>
        <v>142</v>
      </c>
      <c r="C146" s="31" t="s">
        <v>512</v>
      </c>
      <c r="D146" s="37" t="s">
        <v>513</v>
      </c>
      <c r="E146" s="1"/>
      <c r="F146" s="1"/>
      <c r="G146" s="37"/>
      <c r="H146" s="46" t="s">
        <v>514</v>
      </c>
      <c r="I146" s="37" t="s">
        <v>461</v>
      </c>
      <c r="J146" s="49" t="s">
        <v>515</v>
      </c>
      <c r="K146" s="49" t="s">
        <v>515</v>
      </c>
      <c r="L146" s="37" t="s">
        <v>58</v>
      </c>
      <c r="M146" s="37"/>
      <c r="N146" s="17"/>
      <c r="O146" s="1"/>
      <c r="P146" s="15"/>
      <c r="Q146" s="15"/>
      <c r="R146" s="1"/>
      <c r="S146" s="1"/>
    </row>
    <row r="147" hidden="1" outlineLevel="1">
      <c r="A147" s="1"/>
      <c r="B147" s="3">
        <f t="shared" si="1"/>
        <v>143</v>
      </c>
      <c r="C147" s="31" t="s">
        <v>516</v>
      </c>
      <c r="D147" s="37" t="s">
        <v>56</v>
      </c>
      <c r="E147" s="37"/>
      <c r="F147" s="1"/>
      <c r="G147" s="37"/>
      <c r="H147" s="46" t="s">
        <v>514</v>
      </c>
      <c r="I147" s="37" t="s">
        <v>461</v>
      </c>
      <c r="J147" s="49" t="s">
        <v>517</v>
      </c>
      <c r="K147" s="49" t="s">
        <v>518</v>
      </c>
      <c r="L147" s="37" t="s">
        <v>58</v>
      </c>
      <c r="M147" s="37" t="s">
        <v>78</v>
      </c>
      <c r="N147" s="17"/>
      <c r="O147" s="1"/>
      <c r="P147" s="67" t="s">
        <v>519</v>
      </c>
      <c r="Q147" s="15"/>
      <c r="R147" s="1"/>
      <c r="S147" s="1"/>
    </row>
    <row r="148" hidden="1" outlineLevel="1">
      <c r="A148" s="1"/>
      <c r="B148" s="3">
        <f t="shared" si="1"/>
        <v>144</v>
      </c>
      <c r="C148" s="31" t="s">
        <v>520</v>
      </c>
      <c r="D148" s="37" t="s">
        <v>96</v>
      </c>
      <c r="E148" s="1"/>
      <c r="F148" s="1"/>
      <c r="G148" s="37"/>
      <c r="H148" s="46" t="s">
        <v>514</v>
      </c>
      <c r="I148" s="37"/>
      <c r="J148" s="49"/>
      <c r="K148" s="49"/>
      <c r="L148" s="37" t="s">
        <v>26</v>
      </c>
      <c r="M148" s="37"/>
      <c r="N148" s="17"/>
      <c r="O148" s="1"/>
      <c r="P148" s="15"/>
      <c r="Q148" s="15"/>
      <c r="R148" s="1"/>
      <c r="S148" s="1"/>
    </row>
    <row r="149" hidden="1" outlineLevel="1">
      <c r="A149" s="1"/>
      <c r="B149" s="3">
        <f t="shared" si="1"/>
        <v>145</v>
      </c>
      <c r="C149" s="31" t="s">
        <v>521</v>
      </c>
      <c r="D149" s="37" t="s">
        <v>159</v>
      </c>
      <c r="E149" s="37"/>
      <c r="F149" s="1"/>
      <c r="G149" s="37"/>
      <c r="H149" s="46" t="s">
        <v>514</v>
      </c>
      <c r="I149" s="37" t="s">
        <v>461</v>
      </c>
      <c r="J149" s="49" t="s">
        <v>522</v>
      </c>
      <c r="K149" s="49" t="s">
        <v>523</v>
      </c>
      <c r="L149" s="37" t="s">
        <v>58</v>
      </c>
      <c r="M149" s="37"/>
      <c r="N149" s="17"/>
      <c r="O149" s="1"/>
      <c r="P149" s="67" t="s">
        <v>524</v>
      </c>
      <c r="Q149" s="15"/>
      <c r="R149" s="1"/>
      <c r="S149" s="1"/>
    </row>
    <row r="150" hidden="1" outlineLevel="1">
      <c r="A150" s="1"/>
      <c r="B150" s="3">
        <f t="shared" si="1"/>
        <v>146</v>
      </c>
      <c r="C150" s="31" t="s">
        <v>525</v>
      </c>
      <c r="D150" s="37" t="s">
        <v>49</v>
      </c>
      <c r="E150" s="1"/>
      <c r="F150" s="1"/>
      <c r="G150" s="37"/>
      <c r="H150" s="46" t="s">
        <v>514</v>
      </c>
      <c r="I150" s="37"/>
      <c r="J150" s="49"/>
      <c r="K150" s="49"/>
      <c r="L150" s="37" t="s">
        <v>26</v>
      </c>
      <c r="M150" s="37"/>
      <c r="N150" s="17"/>
      <c r="O150" s="1"/>
      <c r="P150" s="15"/>
      <c r="Q150" s="15"/>
      <c r="R150" s="1"/>
      <c r="S150" s="1"/>
    </row>
    <row r="151" hidden="1" outlineLevel="1">
      <c r="A151" s="1"/>
      <c r="B151" s="3">
        <f t="shared" si="1"/>
        <v>147</v>
      </c>
      <c r="C151" s="31" t="s">
        <v>526</v>
      </c>
      <c r="D151" s="37" t="s">
        <v>38</v>
      </c>
      <c r="E151" s="1"/>
      <c r="F151" s="1"/>
      <c r="G151" s="37"/>
      <c r="H151" s="46" t="s">
        <v>514</v>
      </c>
      <c r="I151" s="37"/>
      <c r="J151" s="49"/>
      <c r="K151" s="49"/>
      <c r="L151" s="37" t="s">
        <v>26</v>
      </c>
      <c r="M151" s="37"/>
      <c r="N151" s="17"/>
      <c r="O151" s="1"/>
      <c r="P151" s="15"/>
      <c r="Q151" s="15"/>
      <c r="R151" s="1"/>
      <c r="S151" s="1"/>
    </row>
    <row r="152" hidden="1" outlineLevel="1">
      <c r="A152" s="1"/>
      <c r="B152" s="3">
        <f t="shared" si="1"/>
        <v>148</v>
      </c>
      <c r="C152" s="31" t="s">
        <v>527</v>
      </c>
      <c r="D152" s="37" t="s">
        <v>96</v>
      </c>
      <c r="E152" s="1"/>
      <c r="F152" s="1"/>
      <c r="G152" s="37"/>
      <c r="H152" s="46" t="s">
        <v>514</v>
      </c>
      <c r="I152" s="37"/>
      <c r="J152" s="49"/>
      <c r="K152" s="49"/>
      <c r="L152" s="37" t="s">
        <v>26</v>
      </c>
      <c r="M152" s="37"/>
      <c r="N152" s="17"/>
      <c r="O152" s="1"/>
      <c r="P152" s="15"/>
      <c r="Q152" s="15"/>
      <c r="R152" s="1"/>
      <c r="S152" s="1"/>
    </row>
    <row r="153" hidden="1" outlineLevel="1">
      <c r="A153" s="1"/>
      <c r="B153" s="3">
        <f t="shared" si="1"/>
        <v>149</v>
      </c>
      <c r="C153" s="31" t="s">
        <v>528</v>
      </c>
      <c r="D153" s="37" t="s">
        <v>218</v>
      </c>
      <c r="E153" s="1"/>
      <c r="F153" s="1"/>
      <c r="G153" s="37"/>
      <c r="H153" s="46" t="s">
        <v>514</v>
      </c>
      <c r="I153" s="37" t="s">
        <v>461</v>
      </c>
      <c r="J153" s="49" t="s">
        <v>529</v>
      </c>
      <c r="K153" s="49" t="s">
        <v>487</v>
      </c>
      <c r="L153" s="37" t="s">
        <v>58</v>
      </c>
      <c r="M153" s="37"/>
      <c r="N153" s="17"/>
      <c r="O153" s="1"/>
      <c r="P153" s="15"/>
      <c r="Q153" s="15"/>
      <c r="R153" s="1"/>
      <c r="S153" s="1"/>
    </row>
    <row r="154" hidden="1" outlineLevel="1">
      <c r="A154" s="1"/>
      <c r="B154" s="3">
        <f t="shared" si="1"/>
        <v>150</v>
      </c>
      <c r="C154" s="31" t="s">
        <v>530</v>
      </c>
      <c r="D154" s="37" t="s">
        <v>49</v>
      </c>
      <c r="E154" s="1"/>
      <c r="F154" s="1"/>
      <c r="G154" s="37"/>
      <c r="H154" s="46" t="s">
        <v>514</v>
      </c>
      <c r="I154" s="37"/>
      <c r="J154" s="49"/>
      <c r="K154" s="49"/>
      <c r="L154" s="37" t="s">
        <v>26</v>
      </c>
      <c r="M154" s="37"/>
      <c r="N154" s="17"/>
      <c r="O154" s="1"/>
      <c r="P154" s="15"/>
      <c r="Q154" s="15"/>
      <c r="R154" s="1"/>
      <c r="S154" s="1"/>
    </row>
    <row r="155" hidden="1" outlineLevel="1">
      <c r="A155" s="1"/>
      <c r="B155" s="3">
        <f t="shared" si="1"/>
        <v>151</v>
      </c>
      <c r="C155" s="31" t="s">
        <v>531</v>
      </c>
      <c r="D155" s="37" t="s">
        <v>56</v>
      </c>
      <c r="E155" s="1"/>
      <c r="F155" s="1"/>
      <c r="G155" s="37"/>
      <c r="H155" s="46" t="s">
        <v>514</v>
      </c>
      <c r="I155" s="37"/>
      <c r="J155" s="49"/>
      <c r="K155" s="49"/>
      <c r="L155" s="37" t="s">
        <v>26</v>
      </c>
      <c r="M155" s="37"/>
      <c r="N155" s="17"/>
      <c r="O155" s="1"/>
      <c r="P155" s="15"/>
      <c r="Q155" s="15"/>
      <c r="R155" s="1"/>
      <c r="S155" s="1"/>
    </row>
    <row r="156" hidden="1" outlineLevel="1">
      <c r="A156" s="1"/>
      <c r="B156" s="3">
        <f t="shared" si="1"/>
        <v>152</v>
      </c>
      <c r="C156" s="31" t="s">
        <v>532</v>
      </c>
      <c r="D156" s="37" t="s">
        <v>83</v>
      </c>
      <c r="E156" s="1"/>
      <c r="F156" s="1"/>
      <c r="G156" s="37"/>
      <c r="H156" s="46" t="s">
        <v>514</v>
      </c>
      <c r="I156" s="37" t="s">
        <v>461</v>
      </c>
      <c r="J156" s="49" t="s">
        <v>533</v>
      </c>
      <c r="K156" s="49" t="s">
        <v>533</v>
      </c>
      <c r="L156" s="37" t="s">
        <v>189</v>
      </c>
      <c r="M156" s="37"/>
      <c r="N156" s="17"/>
      <c r="O156" s="1"/>
      <c r="P156" s="15"/>
      <c r="Q156" s="15"/>
      <c r="R156" s="1"/>
      <c r="S156" s="1"/>
    </row>
    <row r="157" hidden="1" outlineLevel="1">
      <c r="A157" s="1"/>
      <c r="B157" s="3">
        <f t="shared" si="1"/>
        <v>153</v>
      </c>
      <c r="C157" s="31" t="s">
        <v>534</v>
      </c>
      <c r="D157" s="37" t="s">
        <v>38</v>
      </c>
      <c r="E157" s="1"/>
      <c r="F157" s="1"/>
      <c r="G157" s="37"/>
      <c r="H157" s="46" t="s">
        <v>514</v>
      </c>
      <c r="I157" s="37"/>
      <c r="J157" s="49"/>
      <c r="K157" s="49"/>
      <c r="L157" s="37" t="s">
        <v>26</v>
      </c>
      <c r="M157" s="37"/>
      <c r="N157" s="17"/>
      <c r="O157" s="1"/>
      <c r="P157" s="15"/>
      <c r="Q157" s="15"/>
      <c r="R157" s="1"/>
      <c r="S157" s="1"/>
    </row>
    <row r="158" hidden="1" outlineLevel="1">
      <c r="A158" s="1"/>
      <c r="B158" s="3">
        <f t="shared" si="1"/>
        <v>154</v>
      </c>
      <c r="C158" s="31" t="s">
        <v>535</v>
      </c>
      <c r="D158" s="37" t="s">
        <v>104</v>
      </c>
      <c r="E158" s="1"/>
      <c r="F158" s="1"/>
      <c r="G158" s="37"/>
      <c r="H158" s="46" t="s">
        <v>514</v>
      </c>
      <c r="I158" s="37" t="s">
        <v>461</v>
      </c>
      <c r="J158" s="49"/>
      <c r="K158" s="49" t="s">
        <v>536</v>
      </c>
      <c r="L158" s="37" t="s">
        <v>189</v>
      </c>
      <c r="M158" s="37"/>
      <c r="N158" s="17"/>
      <c r="O158" s="1"/>
      <c r="P158" s="15"/>
      <c r="Q158" s="15"/>
      <c r="R158" s="1"/>
      <c r="S158" s="1"/>
    </row>
    <row r="159" hidden="1" outlineLevel="1">
      <c r="A159" s="1"/>
      <c r="B159" s="3">
        <f t="shared" si="1"/>
        <v>155</v>
      </c>
      <c r="C159" s="31" t="s">
        <v>537</v>
      </c>
      <c r="D159" s="37" t="s">
        <v>159</v>
      </c>
      <c r="E159" s="1"/>
      <c r="F159" s="1"/>
      <c r="G159" s="37"/>
      <c r="H159" s="46" t="s">
        <v>514</v>
      </c>
      <c r="I159" s="37" t="s">
        <v>461</v>
      </c>
      <c r="J159" s="49" t="s">
        <v>538</v>
      </c>
      <c r="K159" s="49"/>
      <c r="L159" s="37" t="s">
        <v>189</v>
      </c>
      <c r="M159" s="37"/>
      <c r="N159" s="17"/>
      <c r="O159" s="1"/>
      <c r="P159" s="15"/>
      <c r="Q159" s="15"/>
      <c r="R159" s="1"/>
      <c r="S159" s="1"/>
    </row>
    <row r="160" hidden="1" outlineLevel="1">
      <c r="A160" s="1"/>
      <c r="B160" s="3">
        <f t="shared" si="1"/>
        <v>156</v>
      </c>
      <c r="C160" s="31" t="s">
        <v>539</v>
      </c>
      <c r="D160" s="37" t="s">
        <v>96</v>
      </c>
      <c r="E160" s="1"/>
      <c r="F160" s="1"/>
      <c r="G160" s="37"/>
      <c r="H160" s="46" t="s">
        <v>514</v>
      </c>
      <c r="I160" s="37" t="s">
        <v>461</v>
      </c>
      <c r="J160" s="49" t="s">
        <v>540</v>
      </c>
      <c r="K160" s="49" t="s">
        <v>533</v>
      </c>
      <c r="L160" s="37" t="s">
        <v>58</v>
      </c>
      <c r="M160" s="37"/>
      <c r="N160" s="17"/>
      <c r="O160" s="1"/>
      <c r="P160" s="15"/>
      <c r="Q160" s="15"/>
      <c r="R160" s="1"/>
      <c r="S160" s="1"/>
    </row>
    <row r="161" hidden="1" outlineLevel="1">
      <c r="A161" s="1"/>
      <c r="B161" s="3">
        <f t="shared" si="1"/>
        <v>157</v>
      </c>
      <c r="C161" s="31" t="s">
        <v>541</v>
      </c>
      <c r="D161" s="37" t="s">
        <v>116</v>
      </c>
      <c r="E161" s="1"/>
      <c r="F161" s="1"/>
      <c r="G161" s="37"/>
      <c r="H161" s="46" t="s">
        <v>514</v>
      </c>
      <c r="I161" s="37"/>
      <c r="J161" s="49"/>
      <c r="K161" s="49"/>
      <c r="L161" s="37" t="s">
        <v>26</v>
      </c>
      <c r="M161" s="37"/>
      <c r="N161" s="17"/>
      <c r="O161" s="1"/>
      <c r="P161" s="15"/>
      <c r="Q161" s="15"/>
      <c r="R161" s="1"/>
      <c r="S161" s="1"/>
    </row>
    <row r="162" hidden="1" outlineLevel="1">
      <c r="A162" s="1"/>
      <c r="B162" s="3">
        <f t="shared" si="1"/>
        <v>158</v>
      </c>
      <c r="C162" s="31" t="s">
        <v>542</v>
      </c>
      <c r="D162" s="37" t="s">
        <v>96</v>
      </c>
      <c r="E162" s="1"/>
      <c r="F162" s="1"/>
      <c r="G162" s="37"/>
      <c r="H162" s="46" t="s">
        <v>514</v>
      </c>
      <c r="I162" s="37" t="s">
        <v>461</v>
      </c>
      <c r="J162" s="49" t="s">
        <v>540</v>
      </c>
      <c r="K162" s="49" t="s">
        <v>540</v>
      </c>
      <c r="L162" s="37" t="s">
        <v>58</v>
      </c>
      <c r="M162" s="37"/>
      <c r="N162" s="17"/>
      <c r="O162" s="1"/>
      <c r="P162" s="15"/>
      <c r="Q162" s="15"/>
      <c r="R162" s="1"/>
      <c r="S162" s="1"/>
    </row>
    <row r="163" hidden="1" outlineLevel="1">
      <c r="A163" s="1"/>
      <c r="B163" s="3">
        <f t="shared" si="1"/>
        <v>159</v>
      </c>
      <c r="C163" s="31" t="s">
        <v>543</v>
      </c>
      <c r="D163" s="37" t="s">
        <v>44</v>
      </c>
      <c r="E163" s="37"/>
      <c r="F163" s="1"/>
      <c r="G163" s="37"/>
      <c r="H163" s="46" t="s">
        <v>514</v>
      </c>
      <c r="I163" s="37" t="s">
        <v>461</v>
      </c>
      <c r="J163" s="49" t="s">
        <v>533</v>
      </c>
      <c r="K163" s="49" t="s">
        <v>544</v>
      </c>
      <c r="L163" s="37" t="s">
        <v>58</v>
      </c>
      <c r="M163" s="37" t="s">
        <v>78</v>
      </c>
      <c r="N163" s="17" t="s">
        <v>39</v>
      </c>
      <c r="O163" s="1"/>
      <c r="P163" s="67" t="s">
        <v>545</v>
      </c>
      <c r="Q163" s="15"/>
      <c r="R163" s="1"/>
      <c r="S163" s="1"/>
    </row>
    <row r="164" hidden="1" outlineLevel="1">
      <c r="A164" s="1"/>
      <c r="B164" s="3">
        <f t="shared" si="1"/>
        <v>160</v>
      </c>
      <c r="C164" s="31" t="s">
        <v>546</v>
      </c>
      <c r="D164" s="37" t="s">
        <v>44</v>
      </c>
      <c r="E164" s="37"/>
      <c r="F164" s="1"/>
      <c r="G164" s="37"/>
      <c r="H164" s="46" t="s">
        <v>514</v>
      </c>
      <c r="I164" s="37" t="s">
        <v>461</v>
      </c>
      <c r="J164" s="49" t="s">
        <v>547</v>
      </c>
      <c r="K164" s="49" t="s">
        <v>518</v>
      </c>
      <c r="L164" s="37" t="s">
        <v>58</v>
      </c>
      <c r="M164" s="37" t="s">
        <v>57</v>
      </c>
      <c r="N164" s="17" t="s">
        <v>39</v>
      </c>
      <c r="O164" s="1"/>
      <c r="P164" s="67" t="s">
        <v>548</v>
      </c>
      <c r="Q164" s="15"/>
      <c r="R164" s="1"/>
      <c r="S164" s="1"/>
    </row>
    <row r="165" hidden="1" outlineLevel="1">
      <c r="A165" s="1"/>
      <c r="B165" s="3">
        <f t="shared" si="1"/>
        <v>161</v>
      </c>
      <c r="C165" s="31" t="s">
        <v>549</v>
      </c>
      <c r="D165" s="37" t="s">
        <v>83</v>
      </c>
      <c r="E165" s="1"/>
      <c r="F165" s="1"/>
      <c r="G165" s="37"/>
      <c r="H165" s="46" t="s">
        <v>514</v>
      </c>
      <c r="I165" s="37"/>
      <c r="J165" s="49"/>
      <c r="K165" s="49"/>
      <c r="L165" s="37" t="s">
        <v>26</v>
      </c>
      <c r="M165" s="37"/>
      <c r="N165" s="17"/>
      <c r="O165" s="1"/>
      <c r="P165" s="15"/>
      <c r="Q165" s="15"/>
      <c r="R165" s="1"/>
      <c r="S165" s="1"/>
    </row>
    <row r="166" hidden="1" outlineLevel="1">
      <c r="A166" s="1"/>
      <c r="B166" s="3">
        <f t="shared" si="1"/>
        <v>162</v>
      </c>
      <c r="C166" s="31" t="s">
        <v>550</v>
      </c>
      <c r="D166" s="37" t="s">
        <v>83</v>
      </c>
      <c r="E166" s="1"/>
      <c r="F166" s="1"/>
      <c r="G166" s="37"/>
      <c r="H166" s="46" t="s">
        <v>514</v>
      </c>
      <c r="I166" s="37"/>
      <c r="J166" s="49"/>
      <c r="K166" s="49"/>
      <c r="L166" s="37" t="s">
        <v>26</v>
      </c>
      <c r="M166" s="37"/>
      <c r="N166" s="17"/>
      <c r="O166" s="1"/>
      <c r="P166" s="15"/>
      <c r="Q166" s="15"/>
      <c r="R166" s="1"/>
      <c r="S166" s="1"/>
    </row>
    <row r="167" hidden="1" outlineLevel="1">
      <c r="A167" s="1"/>
      <c r="B167" s="3">
        <f t="shared" si="1"/>
        <v>163</v>
      </c>
      <c r="C167" s="31" t="s">
        <v>551</v>
      </c>
      <c r="D167" s="37" t="s">
        <v>96</v>
      </c>
      <c r="E167" s="1"/>
      <c r="F167" s="1"/>
      <c r="G167" s="37"/>
      <c r="H167" s="46" t="s">
        <v>514</v>
      </c>
      <c r="I167" s="37" t="s">
        <v>461</v>
      </c>
      <c r="J167" s="49" t="s">
        <v>552</v>
      </c>
      <c r="K167" s="49" t="s">
        <v>552</v>
      </c>
      <c r="L167" s="37" t="s">
        <v>189</v>
      </c>
      <c r="M167" s="37"/>
      <c r="N167" s="17"/>
      <c r="O167" s="1"/>
      <c r="P167" s="15"/>
      <c r="Q167" s="15"/>
      <c r="R167" s="1"/>
      <c r="S167" s="1"/>
    </row>
    <row r="168" hidden="1" outlineLevel="1">
      <c r="A168" s="1"/>
      <c r="B168" s="3">
        <f t="shared" si="1"/>
        <v>164</v>
      </c>
      <c r="C168" s="31" t="s">
        <v>553</v>
      </c>
      <c r="D168" s="37" t="s">
        <v>38</v>
      </c>
      <c r="E168" s="1"/>
      <c r="F168" s="1"/>
      <c r="G168" s="37"/>
      <c r="H168" s="46" t="s">
        <v>514</v>
      </c>
      <c r="I168" s="37" t="s">
        <v>461</v>
      </c>
      <c r="J168" s="49" t="s">
        <v>554</v>
      </c>
      <c r="K168" s="49" t="s">
        <v>554</v>
      </c>
      <c r="L168" s="37" t="s">
        <v>58</v>
      </c>
      <c r="M168" s="37"/>
      <c r="N168" s="17"/>
      <c r="O168" s="1"/>
      <c r="P168" s="15"/>
      <c r="Q168" s="15"/>
      <c r="R168" s="1"/>
      <c r="S168" s="1"/>
    </row>
    <row r="169" hidden="1" outlineLevel="1">
      <c r="A169" s="1"/>
      <c r="B169" s="3">
        <f t="shared" si="1"/>
        <v>165</v>
      </c>
      <c r="C169" s="31" t="s">
        <v>555</v>
      </c>
      <c r="D169" s="37" t="s">
        <v>556</v>
      </c>
      <c r="E169" s="1"/>
      <c r="F169" s="1"/>
      <c r="G169" s="37"/>
      <c r="H169" s="46" t="s">
        <v>514</v>
      </c>
      <c r="I169" s="37" t="s">
        <v>461</v>
      </c>
      <c r="J169" s="49" t="s">
        <v>557</v>
      </c>
      <c r="K169" s="49" t="s">
        <v>558</v>
      </c>
      <c r="L169" s="37" t="s">
        <v>189</v>
      </c>
      <c r="M169" s="37"/>
      <c r="N169" s="17"/>
      <c r="O169" s="1"/>
      <c r="P169" s="15"/>
      <c r="Q169" s="15"/>
      <c r="R169" s="1"/>
      <c r="S169" s="1"/>
    </row>
    <row r="170" hidden="1" outlineLevel="1">
      <c r="A170" s="1"/>
      <c r="B170" s="3">
        <f t="shared" si="1"/>
        <v>166</v>
      </c>
      <c r="C170" s="31" t="s">
        <v>559</v>
      </c>
      <c r="D170" s="37" t="s">
        <v>38</v>
      </c>
      <c r="E170" s="1"/>
      <c r="F170" s="1"/>
      <c r="G170" s="37"/>
      <c r="H170" s="46" t="s">
        <v>514</v>
      </c>
      <c r="I170" s="37"/>
      <c r="J170" s="49"/>
      <c r="K170" s="49"/>
      <c r="L170" s="37" t="s">
        <v>26</v>
      </c>
      <c r="M170" s="37"/>
      <c r="N170" s="17"/>
      <c r="O170" s="1"/>
      <c r="P170" s="15"/>
      <c r="Q170" s="15"/>
      <c r="R170" s="1"/>
      <c r="S170" s="1"/>
    </row>
    <row r="171" hidden="1" outlineLevel="1">
      <c r="A171" s="1"/>
      <c r="B171" s="3">
        <f t="shared" si="1"/>
        <v>167</v>
      </c>
      <c r="C171" s="31" t="s">
        <v>560</v>
      </c>
      <c r="D171" s="37" t="s">
        <v>556</v>
      </c>
      <c r="E171" s="1"/>
      <c r="F171" s="1"/>
      <c r="G171" s="37"/>
      <c r="H171" s="46" t="s">
        <v>514</v>
      </c>
      <c r="I171" s="37" t="s">
        <v>461</v>
      </c>
      <c r="J171" s="49" t="s">
        <v>529</v>
      </c>
      <c r="K171" s="49" t="s">
        <v>561</v>
      </c>
      <c r="L171" s="37" t="s">
        <v>58</v>
      </c>
      <c r="M171" s="37"/>
      <c r="N171" s="17"/>
      <c r="O171" s="1"/>
      <c r="P171" s="15"/>
      <c r="Q171" s="15"/>
      <c r="R171" s="1"/>
      <c r="S171" s="1"/>
    </row>
    <row r="172" hidden="1" outlineLevel="1">
      <c r="A172" s="1"/>
      <c r="B172" s="3">
        <f t="shared" si="1"/>
        <v>168</v>
      </c>
      <c r="C172" s="31" t="s">
        <v>562</v>
      </c>
      <c r="D172" s="37" t="s">
        <v>38</v>
      </c>
      <c r="E172" s="1"/>
      <c r="F172" s="1"/>
      <c r="G172" s="37"/>
      <c r="H172" s="46" t="s">
        <v>514</v>
      </c>
      <c r="I172" s="37" t="s">
        <v>461</v>
      </c>
      <c r="J172" s="49"/>
      <c r="K172" s="49" t="s">
        <v>563</v>
      </c>
      <c r="L172" s="37" t="s">
        <v>26</v>
      </c>
      <c r="M172" s="37"/>
      <c r="N172" s="17"/>
      <c r="O172" s="1"/>
      <c r="P172" s="15"/>
      <c r="Q172" s="15"/>
      <c r="R172" s="1"/>
      <c r="S172" s="1"/>
    </row>
    <row r="173" hidden="1" outlineLevel="1">
      <c r="A173" s="1"/>
      <c r="B173" s="3">
        <f t="shared" si="1"/>
        <v>169</v>
      </c>
      <c r="C173" s="31" t="s">
        <v>564</v>
      </c>
      <c r="D173" s="37"/>
      <c r="E173" s="1"/>
      <c r="F173" s="1"/>
      <c r="G173" s="37"/>
      <c r="H173" s="46">
        <v>46028.0</v>
      </c>
      <c r="I173" s="37"/>
      <c r="J173" s="49"/>
      <c r="K173" s="49"/>
      <c r="L173" s="37" t="s">
        <v>26</v>
      </c>
      <c r="M173" s="37"/>
      <c r="N173" s="17"/>
      <c r="O173" s="1"/>
      <c r="P173" s="15"/>
      <c r="Q173" s="15"/>
      <c r="R173" s="1"/>
      <c r="S173" s="1"/>
    </row>
    <row r="174" hidden="1" outlineLevel="1">
      <c r="A174" s="1"/>
      <c r="B174" s="3">
        <f t="shared" si="1"/>
        <v>170</v>
      </c>
      <c r="C174" s="31" t="s">
        <v>565</v>
      </c>
      <c r="D174" s="37" t="s">
        <v>159</v>
      </c>
      <c r="E174" s="37"/>
      <c r="F174" s="37"/>
      <c r="G174" s="37"/>
      <c r="H174" s="46">
        <v>46028.0</v>
      </c>
      <c r="I174" s="37" t="s">
        <v>461</v>
      </c>
      <c r="J174" s="49" t="s">
        <v>557</v>
      </c>
      <c r="K174" s="49" t="s">
        <v>557</v>
      </c>
      <c r="L174" s="37" t="s">
        <v>189</v>
      </c>
      <c r="M174" s="37"/>
      <c r="N174" s="17"/>
      <c r="O174" s="1"/>
      <c r="P174" s="67" t="s">
        <v>524</v>
      </c>
      <c r="Q174" s="15"/>
      <c r="R174" s="1"/>
      <c r="S174" s="1"/>
    </row>
    <row r="175" hidden="1" outlineLevel="1">
      <c r="A175" s="1"/>
      <c r="B175" s="3">
        <f t="shared" si="1"/>
        <v>171</v>
      </c>
      <c r="C175" s="31" t="s">
        <v>566</v>
      </c>
      <c r="D175" s="37" t="s">
        <v>159</v>
      </c>
      <c r="E175" s="37"/>
      <c r="F175" s="37"/>
      <c r="G175" s="37"/>
      <c r="H175" s="46">
        <v>46028.0</v>
      </c>
      <c r="I175" s="37" t="s">
        <v>461</v>
      </c>
      <c r="J175" s="49" t="s">
        <v>540</v>
      </c>
      <c r="K175" s="49" t="s">
        <v>567</v>
      </c>
      <c r="L175" s="37" t="s">
        <v>58</v>
      </c>
      <c r="M175" s="37"/>
      <c r="N175" s="17"/>
      <c r="O175" s="1"/>
      <c r="P175" s="67" t="s">
        <v>524</v>
      </c>
      <c r="Q175" s="15"/>
      <c r="R175" s="1"/>
      <c r="S175" s="1"/>
    </row>
    <row r="176" hidden="1" outlineLevel="1">
      <c r="A176" s="1"/>
      <c r="B176" s="3">
        <f t="shared" si="1"/>
        <v>172</v>
      </c>
      <c r="C176" s="31" t="s">
        <v>568</v>
      </c>
      <c r="D176" s="37" t="s">
        <v>44</v>
      </c>
      <c r="E176" s="1"/>
      <c r="F176" s="37"/>
      <c r="G176" s="37"/>
      <c r="H176" s="46">
        <v>46028.0</v>
      </c>
      <c r="I176" s="37" t="s">
        <v>461</v>
      </c>
      <c r="J176" s="49"/>
      <c r="K176" s="49" t="s">
        <v>569</v>
      </c>
      <c r="L176" s="37" t="s">
        <v>58</v>
      </c>
      <c r="M176" s="37"/>
      <c r="N176" s="17"/>
      <c r="O176" s="1"/>
      <c r="P176" s="15"/>
      <c r="Q176" s="15"/>
      <c r="R176" s="1"/>
      <c r="S176" s="1"/>
    </row>
    <row r="177" hidden="1" outlineLevel="1">
      <c r="A177" s="1"/>
      <c r="B177" s="3">
        <f t="shared" si="1"/>
        <v>173</v>
      </c>
      <c r="C177" s="31" t="s">
        <v>570</v>
      </c>
      <c r="D177" s="37" t="s">
        <v>38</v>
      </c>
      <c r="E177" s="1"/>
      <c r="F177" s="37"/>
      <c r="G177" s="37"/>
      <c r="H177" s="46">
        <v>46028.0</v>
      </c>
      <c r="I177" s="37" t="s">
        <v>461</v>
      </c>
      <c r="J177" s="49"/>
      <c r="K177" s="49" t="s">
        <v>571</v>
      </c>
      <c r="L177" s="37" t="s">
        <v>189</v>
      </c>
      <c r="M177" s="37"/>
      <c r="N177" s="17"/>
      <c r="O177" s="1"/>
      <c r="P177" s="15"/>
      <c r="Q177" s="15"/>
      <c r="R177" s="1"/>
      <c r="S177" s="1"/>
    </row>
    <row r="178" hidden="1" outlineLevel="1">
      <c r="A178" s="1"/>
      <c r="B178" s="3">
        <f t="shared" si="1"/>
        <v>174</v>
      </c>
      <c r="C178" s="31" t="s">
        <v>572</v>
      </c>
      <c r="D178" s="37" t="s">
        <v>497</v>
      </c>
      <c r="E178" s="1"/>
      <c r="F178" s="37"/>
      <c r="G178" s="37"/>
      <c r="H178" s="46">
        <v>46028.0</v>
      </c>
      <c r="I178" s="37" t="s">
        <v>461</v>
      </c>
      <c r="J178" s="49" t="s">
        <v>573</v>
      </c>
      <c r="K178" s="49" t="s">
        <v>574</v>
      </c>
      <c r="L178" s="37" t="s">
        <v>58</v>
      </c>
      <c r="M178" s="37"/>
      <c r="N178" s="17"/>
      <c r="O178" s="1"/>
      <c r="P178" s="15"/>
      <c r="Q178" s="15"/>
      <c r="R178" s="1"/>
      <c r="S178" s="1"/>
    </row>
    <row r="179" hidden="1" outlineLevel="1">
      <c r="A179" s="1"/>
      <c r="B179" s="3">
        <f t="shared" si="1"/>
        <v>175</v>
      </c>
      <c r="C179" s="31" t="s">
        <v>583</v>
      </c>
      <c r="D179" s="37" t="s">
        <v>83</v>
      </c>
      <c r="E179" s="1"/>
      <c r="F179" s="37"/>
      <c r="G179" s="37"/>
      <c r="H179" s="46">
        <v>46028.0</v>
      </c>
      <c r="I179" s="37" t="s">
        <v>461</v>
      </c>
      <c r="J179" s="49" t="s">
        <v>554</v>
      </c>
      <c r="K179" s="49" t="s">
        <v>571</v>
      </c>
      <c r="L179" s="37" t="s">
        <v>58</v>
      </c>
      <c r="M179" s="37"/>
      <c r="N179" s="17"/>
      <c r="O179" s="1"/>
      <c r="P179" s="15"/>
      <c r="Q179" s="15"/>
      <c r="R179" s="1"/>
      <c r="S179" s="1"/>
    </row>
    <row r="180" hidden="1" outlineLevel="1">
      <c r="A180" s="1"/>
      <c r="B180" s="3">
        <f t="shared" si="1"/>
        <v>176</v>
      </c>
      <c r="C180" s="31" t="s">
        <v>584</v>
      </c>
      <c r="D180" s="37" t="s">
        <v>56</v>
      </c>
      <c r="E180" s="1"/>
      <c r="F180" s="37"/>
      <c r="G180" s="37"/>
      <c r="H180" s="46">
        <v>46028.0</v>
      </c>
      <c r="I180" s="37" t="s">
        <v>461</v>
      </c>
      <c r="J180" s="49" t="s">
        <v>573</v>
      </c>
      <c r="K180" s="49" t="s">
        <v>574</v>
      </c>
      <c r="L180" s="37" t="s">
        <v>58</v>
      </c>
      <c r="M180" s="37"/>
      <c r="N180" s="17"/>
      <c r="O180" s="1"/>
      <c r="P180" s="15"/>
      <c r="Q180" s="15"/>
      <c r="R180" s="1"/>
      <c r="S180" s="1"/>
    </row>
    <row r="181" hidden="1" outlineLevel="1">
      <c r="A181" s="1"/>
      <c r="B181" s="3">
        <f t="shared" si="1"/>
        <v>177</v>
      </c>
      <c r="C181" s="31" t="s">
        <v>585</v>
      </c>
      <c r="D181" s="37" t="s">
        <v>96</v>
      </c>
      <c r="E181" s="1"/>
      <c r="F181" s="37"/>
      <c r="G181" s="37"/>
      <c r="H181" s="46">
        <v>46028.0</v>
      </c>
      <c r="I181" s="37" t="s">
        <v>461</v>
      </c>
      <c r="J181" s="49"/>
      <c r="K181" s="49" t="s">
        <v>586</v>
      </c>
      <c r="L181" s="37" t="s">
        <v>58</v>
      </c>
      <c r="M181" s="37"/>
      <c r="N181" s="17"/>
      <c r="O181" s="1"/>
      <c r="P181" s="15"/>
      <c r="Q181" s="15"/>
      <c r="R181" s="1"/>
      <c r="S181" s="1"/>
    </row>
    <row r="182" hidden="1" outlineLevel="1">
      <c r="A182" s="1"/>
      <c r="B182" s="3">
        <f t="shared" si="1"/>
        <v>178</v>
      </c>
      <c r="C182" s="31" t="s">
        <v>587</v>
      </c>
      <c r="D182" s="37" t="s">
        <v>83</v>
      </c>
      <c r="E182" s="1"/>
      <c r="F182" s="37"/>
      <c r="G182" s="37"/>
      <c r="H182" s="46">
        <v>46028.0</v>
      </c>
      <c r="I182" s="37" t="s">
        <v>461</v>
      </c>
      <c r="J182" s="49" t="s">
        <v>529</v>
      </c>
      <c r="K182" s="49" t="s">
        <v>569</v>
      </c>
      <c r="L182" s="37" t="s">
        <v>58</v>
      </c>
      <c r="M182" s="37"/>
      <c r="N182" s="17"/>
      <c r="O182" s="1"/>
      <c r="P182" s="15"/>
      <c r="Q182" s="15"/>
      <c r="R182" s="1"/>
      <c r="S182" s="1"/>
    </row>
    <row r="183" hidden="1" outlineLevel="1">
      <c r="A183" s="1"/>
      <c r="B183" s="3">
        <f t="shared" si="1"/>
        <v>179</v>
      </c>
      <c r="C183" s="31" t="s">
        <v>590</v>
      </c>
      <c r="D183" s="37" t="s">
        <v>591</v>
      </c>
      <c r="E183" s="1"/>
      <c r="F183" s="37"/>
      <c r="G183" s="37"/>
      <c r="H183" s="46">
        <v>46028.0</v>
      </c>
      <c r="I183" s="37" t="s">
        <v>461</v>
      </c>
      <c r="J183" s="49" t="s">
        <v>593</v>
      </c>
      <c r="K183" s="49" t="s">
        <v>594</v>
      </c>
      <c r="L183" s="37" t="s">
        <v>58</v>
      </c>
      <c r="M183" s="37"/>
      <c r="N183" s="17"/>
      <c r="O183" s="1"/>
      <c r="P183" s="15"/>
      <c r="Q183" s="15"/>
      <c r="R183" s="1"/>
      <c r="S183" s="1"/>
    </row>
    <row r="184" hidden="1" outlineLevel="1">
      <c r="A184" s="1"/>
      <c r="B184" s="3">
        <f t="shared" si="1"/>
        <v>180</v>
      </c>
      <c r="C184" s="31" t="s">
        <v>595</v>
      </c>
      <c r="D184" s="37" t="s">
        <v>83</v>
      </c>
      <c r="E184" s="1"/>
      <c r="F184" s="37"/>
      <c r="G184" s="37"/>
      <c r="H184" s="46">
        <v>46028.0</v>
      </c>
      <c r="I184" s="37" t="s">
        <v>461</v>
      </c>
      <c r="J184" s="49" t="s">
        <v>517</v>
      </c>
      <c r="K184" s="49" t="s">
        <v>597</v>
      </c>
      <c r="L184" s="37" t="s">
        <v>58</v>
      </c>
      <c r="M184" s="37" t="s">
        <v>78</v>
      </c>
      <c r="N184" s="17"/>
      <c r="O184" s="1"/>
      <c r="P184" s="15"/>
      <c r="Q184" s="15"/>
      <c r="R184" s="1"/>
      <c r="S184" s="1"/>
    </row>
    <row r="185" hidden="1" outlineLevel="1">
      <c r="A185" s="1"/>
      <c r="B185" s="3">
        <f t="shared" si="1"/>
        <v>181</v>
      </c>
      <c r="C185" s="31" t="s">
        <v>598</v>
      </c>
      <c r="D185" s="37" t="s">
        <v>83</v>
      </c>
      <c r="E185" s="1"/>
      <c r="F185" s="37"/>
      <c r="G185" s="37"/>
      <c r="H185" s="46">
        <v>46028.0</v>
      </c>
      <c r="I185" s="37" t="s">
        <v>461</v>
      </c>
      <c r="J185" s="49"/>
      <c r="K185" s="49" t="s">
        <v>571</v>
      </c>
      <c r="L185" s="37" t="s">
        <v>189</v>
      </c>
      <c r="M185" s="37"/>
      <c r="N185" s="17"/>
      <c r="O185" s="1"/>
      <c r="P185" s="15"/>
      <c r="Q185" s="15"/>
      <c r="R185" s="1"/>
      <c r="S185" s="1"/>
    </row>
    <row r="186" hidden="1" outlineLevel="1">
      <c r="A186" s="1"/>
      <c r="B186" s="3">
        <f t="shared" si="1"/>
        <v>182</v>
      </c>
      <c r="C186" s="31" t="s">
        <v>599</v>
      </c>
      <c r="D186" s="37" t="s">
        <v>83</v>
      </c>
      <c r="E186" s="37" t="s">
        <v>600</v>
      </c>
      <c r="F186" s="43" t="s">
        <v>599</v>
      </c>
      <c r="G186" s="37"/>
      <c r="H186" s="46">
        <v>46028.0</v>
      </c>
      <c r="I186" s="37" t="s">
        <v>461</v>
      </c>
      <c r="J186" s="49" t="s">
        <v>605</v>
      </c>
      <c r="K186" s="49" t="s">
        <v>517</v>
      </c>
      <c r="L186" s="37" t="s">
        <v>189</v>
      </c>
      <c r="M186" s="37"/>
      <c r="N186" s="17"/>
      <c r="O186" s="1"/>
      <c r="P186" s="15"/>
      <c r="Q186" s="15"/>
      <c r="R186" s="1"/>
      <c r="S186" s="1"/>
    </row>
    <row r="187" hidden="1" outlineLevel="1">
      <c r="A187" s="1"/>
      <c r="B187" s="3">
        <f t="shared" si="1"/>
        <v>183</v>
      </c>
      <c r="C187" s="31" t="s">
        <v>608</v>
      </c>
      <c r="D187" s="37" t="s">
        <v>44</v>
      </c>
      <c r="E187" s="1"/>
      <c r="F187" s="37"/>
      <c r="G187" s="37"/>
      <c r="H187" s="46">
        <v>46028.0</v>
      </c>
      <c r="I187" s="37" t="s">
        <v>461</v>
      </c>
      <c r="J187" s="49" t="s">
        <v>533</v>
      </c>
      <c r="K187" s="49" t="s">
        <v>614</v>
      </c>
      <c r="L187" s="37" t="s">
        <v>189</v>
      </c>
      <c r="M187" s="37"/>
      <c r="N187" s="17"/>
      <c r="O187" s="1"/>
      <c r="P187" s="15"/>
      <c r="Q187" s="15"/>
      <c r="R187" s="1"/>
      <c r="S187" s="1"/>
    </row>
    <row r="188" hidden="1" outlineLevel="1">
      <c r="A188" s="1"/>
      <c r="B188" s="3">
        <f t="shared" si="1"/>
        <v>184</v>
      </c>
      <c r="C188" s="31" t="s">
        <v>618</v>
      </c>
      <c r="D188" s="37" t="s">
        <v>44</v>
      </c>
      <c r="E188" s="1"/>
      <c r="F188" s="37"/>
      <c r="G188" s="37"/>
      <c r="H188" s="46">
        <v>46028.0</v>
      </c>
      <c r="I188" s="37" t="s">
        <v>461</v>
      </c>
      <c r="J188" s="49" t="s">
        <v>517</v>
      </c>
      <c r="K188" s="49" t="s">
        <v>621</v>
      </c>
      <c r="L188" s="37" t="s">
        <v>189</v>
      </c>
      <c r="M188" s="37"/>
      <c r="N188" s="17"/>
      <c r="O188" s="1"/>
      <c r="P188" s="15"/>
      <c r="Q188" s="15"/>
      <c r="R188" s="1"/>
      <c r="S188" s="1"/>
    </row>
    <row r="189" hidden="1" outlineLevel="1">
      <c r="A189" s="1"/>
      <c r="B189" s="3">
        <f t="shared" si="1"/>
        <v>185</v>
      </c>
      <c r="C189" s="31" t="s">
        <v>622</v>
      </c>
      <c r="D189" s="37" t="s">
        <v>116</v>
      </c>
      <c r="E189" s="1"/>
      <c r="F189" s="1"/>
      <c r="G189" s="37"/>
      <c r="H189" s="46">
        <v>46028.0</v>
      </c>
      <c r="I189" s="37"/>
      <c r="J189" s="49"/>
      <c r="K189" s="49"/>
      <c r="L189" s="37" t="s">
        <v>26</v>
      </c>
      <c r="M189" s="37"/>
      <c r="N189" s="17"/>
      <c r="O189" s="1"/>
      <c r="P189" s="15"/>
      <c r="Q189" s="15"/>
      <c r="R189" s="1"/>
      <c r="S189" s="1"/>
    </row>
    <row r="190" hidden="1" outlineLevel="1">
      <c r="A190" s="1"/>
      <c r="B190" s="3">
        <f t="shared" si="1"/>
        <v>186</v>
      </c>
      <c r="C190" s="31" t="s">
        <v>623</v>
      </c>
      <c r="D190" s="37" t="s">
        <v>116</v>
      </c>
      <c r="E190" s="1"/>
      <c r="F190" s="1"/>
      <c r="G190" s="37"/>
      <c r="H190" s="46">
        <v>46028.0</v>
      </c>
      <c r="I190" s="37"/>
      <c r="J190" s="49"/>
      <c r="K190" s="49"/>
      <c r="L190" s="37" t="s">
        <v>26</v>
      </c>
      <c r="M190" s="37"/>
      <c r="N190" s="17"/>
      <c r="O190" s="1"/>
      <c r="P190" s="15"/>
      <c r="Q190" s="15"/>
      <c r="R190" s="1"/>
      <c r="S190" s="1"/>
    </row>
    <row r="191" hidden="1" outlineLevel="1">
      <c r="A191" s="1"/>
      <c r="B191" s="3">
        <f t="shared" si="1"/>
        <v>187</v>
      </c>
      <c r="C191" s="31" t="s">
        <v>624</v>
      </c>
      <c r="D191" s="37" t="s">
        <v>116</v>
      </c>
      <c r="E191" s="1"/>
      <c r="F191" s="1"/>
      <c r="G191" s="37"/>
      <c r="H191" s="46">
        <v>46028.0</v>
      </c>
      <c r="I191" s="37"/>
      <c r="J191" s="49"/>
      <c r="K191" s="49"/>
      <c r="L191" s="37" t="s">
        <v>26</v>
      </c>
      <c r="M191" s="37"/>
      <c r="N191" s="17"/>
      <c r="O191" s="1"/>
      <c r="P191" s="15"/>
      <c r="Q191" s="15"/>
      <c r="R191" s="1"/>
      <c r="S191" s="1"/>
    </row>
    <row r="192" hidden="1" outlineLevel="1">
      <c r="A192" s="1"/>
      <c r="B192" s="3">
        <f t="shared" si="1"/>
        <v>188</v>
      </c>
      <c r="C192" s="31" t="s">
        <v>625</v>
      </c>
      <c r="D192" s="37" t="s">
        <v>83</v>
      </c>
      <c r="E192" s="1"/>
      <c r="F192" s="1"/>
      <c r="G192" s="37"/>
      <c r="H192" s="46">
        <v>46028.0</v>
      </c>
      <c r="I192" s="37"/>
      <c r="J192" s="49"/>
      <c r="K192" s="49"/>
      <c r="L192" s="37" t="s">
        <v>26</v>
      </c>
      <c r="M192" s="37"/>
      <c r="N192" s="17"/>
      <c r="O192" s="1"/>
      <c r="P192" s="15"/>
      <c r="Q192" s="15"/>
      <c r="R192" s="1"/>
      <c r="S192" s="1"/>
    </row>
    <row r="193" hidden="1" outlineLevel="1">
      <c r="A193" s="1"/>
      <c r="B193" s="3">
        <f t="shared" si="1"/>
        <v>189</v>
      </c>
      <c r="C193" s="31" t="s">
        <v>626</v>
      </c>
      <c r="D193" s="37" t="s">
        <v>591</v>
      </c>
      <c r="E193" s="1"/>
      <c r="F193" s="1"/>
      <c r="G193" s="37"/>
      <c r="H193" s="46">
        <v>46028.0</v>
      </c>
      <c r="I193" s="37"/>
      <c r="J193" s="49"/>
      <c r="K193" s="49"/>
      <c r="L193" s="37" t="s">
        <v>26</v>
      </c>
      <c r="M193" s="37"/>
      <c r="N193" s="17"/>
      <c r="O193" s="1"/>
      <c r="P193" s="15"/>
      <c r="Q193" s="15"/>
      <c r="R193" s="1"/>
      <c r="S193" s="1"/>
    </row>
    <row r="194" hidden="1" outlineLevel="1">
      <c r="A194" s="1"/>
      <c r="B194" s="3">
        <f t="shared" si="1"/>
        <v>190</v>
      </c>
      <c r="C194" s="31" t="s">
        <v>627</v>
      </c>
      <c r="D194" s="37" t="s">
        <v>454</v>
      </c>
      <c r="E194" s="1"/>
      <c r="F194" s="1"/>
      <c r="G194" s="37"/>
      <c r="H194" s="46">
        <v>46028.0</v>
      </c>
      <c r="I194" s="37"/>
      <c r="J194" s="49"/>
      <c r="K194" s="49"/>
      <c r="L194" s="37" t="s">
        <v>26</v>
      </c>
      <c r="M194" s="37"/>
      <c r="N194" s="17"/>
      <c r="O194" s="1"/>
      <c r="P194" s="15"/>
      <c r="Q194" s="15"/>
      <c r="R194" s="1"/>
      <c r="S194" s="1"/>
    </row>
    <row r="195" hidden="1" outlineLevel="1">
      <c r="A195" s="1"/>
      <c r="B195" s="3">
        <f t="shared" si="1"/>
        <v>191</v>
      </c>
      <c r="C195" s="31" t="s">
        <v>628</v>
      </c>
      <c r="D195" s="37"/>
      <c r="E195" s="1"/>
      <c r="F195" s="1"/>
      <c r="G195" s="37"/>
      <c r="H195" s="46">
        <v>46028.0</v>
      </c>
      <c r="I195" s="37"/>
      <c r="J195" s="49"/>
      <c r="K195" s="49"/>
      <c r="L195" s="37" t="s">
        <v>26</v>
      </c>
      <c r="M195" s="37"/>
      <c r="N195" s="17"/>
      <c r="O195" s="1"/>
      <c r="P195" s="15"/>
      <c r="Q195" s="15"/>
      <c r="R195" s="1"/>
      <c r="S195" s="1"/>
    </row>
    <row r="196" hidden="1" outlineLevel="1">
      <c r="A196" s="1"/>
      <c r="B196" s="3">
        <f t="shared" si="1"/>
        <v>192</v>
      </c>
      <c r="C196" s="31" t="s">
        <v>629</v>
      </c>
      <c r="D196" s="37" t="s">
        <v>83</v>
      </c>
      <c r="E196" s="1"/>
      <c r="F196" s="1"/>
      <c r="G196" s="37"/>
      <c r="H196" s="46">
        <v>46028.0</v>
      </c>
      <c r="I196" s="37"/>
      <c r="J196" s="49"/>
      <c r="K196" s="49"/>
      <c r="L196" s="37" t="s">
        <v>26</v>
      </c>
      <c r="M196" s="37"/>
      <c r="N196" s="17"/>
      <c r="O196" s="1"/>
      <c r="P196" s="15"/>
      <c r="Q196" s="15"/>
      <c r="R196" s="1"/>
      <c r="S196" s="1"/>
    </row>
    <row r="197" hidden="1" outlineLevel="1">
      <c r="A197" s="1"/>
      <c r="B197" s="3">
        <f t="shared" si="1"/>
        <v>193</v>
      </c>
      <c r="C197" s="31" t="s">
        <v>630</v>
      </c>
      <c r="D197" s="37" t="s">
        <v>49</v>
      </c>
      <c r="E197" s="1"/>
      <c r="F197" s="1"/>
      <c r="G197" s="37"/>
      <c r="H197" s="46">
        <v>46030.0</v>
      </c>
      <c r="I197" s="37"/>
      <c r="J197" s="49"/>
      <c r="K197" s="49"/>
      <c r="L197" s="37" t="s">
        <v>26</v>
      </c>
      <c r="M197" s="37"/>
      <c r="N197" s="17"/>
      <c r="O197" s="1"/>
      <c r="P197" s="15"/>
      <c r="Q197" s="15"/>
      <c r="R197" s="1"/>
      <c r="S197" s="1"/>
    </row>
    <row r="198" hidden="1" outlineLevel="1">
      <c r="A198" s="1"/>
      <c r="B198" s="3">
        <f t="shared" si="1"/>
        <v>194</v>
      </c>
      <c r="C198" s="31" t="s">
        <v>631</v>
      </c>
      <c r="D198" s="37" t="s">
        <v>116</v>
      </c>
      <c r="E198" s="1"/>
      <c r="F198" s="1"/>
      <c r="G198" s="37"/>
      <c r="H198" s="46">
        <v>45666.0</v>
      </c>
      <c r="I198" s="37" t="s">
        <v>26</v>
      </c>
      <c r="J198" s="49"/>
      <c r="K198" s="49"/>
      <c r="L198" s="37" t="s">
        <v>26</v>
      </c>
      <c r="M198" s="37"/>
      <c r="N198" s="17"/>
      <c r="O198" s="1"/>
      <c r="P198" s="15"/>
      <c r="Q198" s="15"/>
      <c r="R198" s="1"/>
      <c r="S198" s="1"/>
    </row>
    <row r="199" hidden="1" outlineLevel="1">
      <c r="A199" s="1"/>
      <c r="B199" s="3">
        <f t="shared" si="1"/>
        <v>195</v>
      </c>
      <c r="C199" s="31" t="s">
        <v>632</v>
      </c>
      <c r="D199" s="37" t="s">
        <v>83</v>
      </c>
      <c r="E199" s="1"/>
      <c r="F199" s="37"/>
      <c r="G199" s="37"/>
      <c r="H199" s="46">
        <v>45666.0</v>
      </c>
      <c r="I199" s="37" t="s">
        <v>461</v>
      </c>
      <c r="J199" s="49" t="s">
        <v>518</v>
      </c>
      <c r="K199" s="49" t="s">
        <v>540</v>
      </c>
      <c r="L199" s="37" t="s">
        <v>58</v>
      </c>
      <c r="M199" s="37"/>
      <c r="N199" s="17"/>
      <c r="O199" s="1"/>
      <c r="P199" s="15"/>
      <c r="Q199" s="15"/>
      <c r="R199" s="1"/>
      <c r="S199" s="1"/>
    </row>
    <row r="200" hidden="1" outlineLevel="1">
      <c r="A200" s="1"/>
      <c r="B200" s="3">
        <f t="shared" si="1"/>
        <v>196</v>
      </c>
      <c r="C200" s="31" t="s">
        <v>633</v>
      </c>
      <c r="D200" s="37" t="s">
        <v>591</v>
      </c>
      <c r="E200" s="1"/>
      <c r="F200" s="37"/>
      <c r="G200" s="37"/>
      <c r="H200" s="46">
        <v>45666.0</v>
      </c>
      <c r="I200" s="37" t="s">
        <v>461</v>
      </c>
      <c r="J200" s="49" t="s">
        <v>557</v>
      </c>
      <c r="K200" s="49" t="s">
        <v>634</v>
      </c>
      <c r="L200" s="37" t="s">
        <v>189</v>
      </c>
      <c r="M200" s="37"/>
      <c r="N200" s="17"/>
      <c r="O200" s="1"/>
      <c r="P200" s="15"/>
      <c r="Q200" s="15"/>
      <c r="R200" s="1"/>
      <c r="S200" s="1"/>
    </row>
    <row r="201" hidden="1" outlineLevel="1">
      <c r="A201" s="1"/>
      <c r="B201" s="3">
        <f t="shared" si="1"/>
        <v>197</v>
      </c>
      <c r="C201" s="31" t="s">
        <v>635</v>
      </c>
      <c r="D201" s="37" t="s">
        <v>116</v>
      </c>
      <c r="E201" s="1"/>
      <c r="F201" s="37"/>
      <c r="G201" s="37"/>
      <c r="H201" s="46">
        <v>45666.0</v>
      </c>
      <c r="I201" s="37" t="s">
        <v>461</v>
      </c>
      <c r="J201" s="49" t="s">
        <v>636</v>
      </c>
      <c r="K201" s="49"/>
      <c r="L201" s="37" t="s">
        <v>58</v>
      </c>
      <c r="M201" s="37" t="s">
        <v>70</v>
      </c>
      <c r="N201" s="17"/>
      <c r="O201" s="1"/>
      <c r="P201" s="15"/>
      <c r="Q201" s="15"/>
      <c r="R201" s="1"/>
      <c r="S201" s="1"/>
    </row>
    <row r="202" hidden="1" outlineLevel="1">
      <c r="A202" s="1"/>
      <c r="B202" s="3">
        <f t="shared" si="1"/>
        <v>198</v>
      </c>
      <c r="C202" s="31" t="s">
        <v>637</v>
      </c>
      <c r="D202" s="37" t="s">
        <v>497</v>
      </c>
      <c r="E202" s="1"/>
      <c r="F202" s="1"/>
      <c r="G202" s="37"/>
      <c r="H202" s="46">
        <v>45666.0</v>
      </c>
      <c r="I202" s="37"/>
      <c r="J202" s="49"/>
      <c r="K202" s="49"/>
      <c r="L202" s="37" t="s">
        <v>26</v>
      </c>
      <c r="M202" s="37"/>
      <c r="N202" s="17"/>
      <c r="O202" s="1"/>
      <c r="P202" s="15"/>
      <c r="Q202" s="15"/>
      <c r="R202" s="1"/>
      <c r="S202" s="1"/>
    </row>
    <row r="203" hidden="1" outlineLevel="1">
      <c r="A203" s="1"/>
      <c r="B203" s="3">
        <f t="shared" si="1"/>
        <v>199</v>
      </c>
      <c r="C203" s="31" t="s">
        <v>638</v>
      </c>
      <c r="D203" s="37" t="s">
        <v>116</v>
      </c>
      <c r="E203" s="1"/>
      <c r="F203" s="37"/>
      <c r="G203" s="37"/>
      <c r="H203" s="46">
        <v>45666.0</v>
      </c>
      <c r="I203" s="37" t="s">
        <v>461</v>
      </c>
      <c r="J203" s="49" t="s">
        <v>533</v>
      </c>
      <c r="K203" s="49" t="s">
        <v>540</v>
      </c>
      <c r="L203" s="37" t="s">
        <v>189</v>
      </c>
      <c r="M203" s="37"/>
      <c r="N203" s="17"/>
      <c r="O203" s="1"/>
      <c r="P203" s="15"/>
      <c r="Q203" s="15"/>
      <c r="R203" s="1"/>
      <c r="S203" s="1"/>
    </row>
    <row r="204" hidden="1" outlineLevel="1">
      <c r="A204" s="1"/>
      <c r="B204" s="3">
        <f t="shared" si="1"/>
        <v>200</v>
      </c>
      <c r="C204" s="31" t="s">
        <v>639</v>
      </c>
      <c r="D204" s="37" t="s">
        <v>38</v>
      </c>
      <c r="E204" s="1"/>
      <c r="F204" s="37"/>
      <c r="G204" s="37"/>
      <c r="H204" s="46">
        <v>45666.0</v>
      </c>
      <c r="I204" s="37" t="s">
        <v>461</v>
      </c>
      <c r="J204" s="49" t="s">
        <v>533</v>
      </c>
      <c r="K204" s="49" t="s">
        <v>517</v>
      </c>
      <c r="L204" s="37" t="s">
        <v>58</v>
      </c>
      <c r="M204" s="37" t="s">
        <v>53</v>
      </c>
      <c r="N204" s="17"/>
      <c r="O204" s="1"/>
      <c r="P204" s="15"/>
      <c r="Q204" s="15"/>
      <c r="R204" s="1"/>
      <c r="S204" s="1"/>
    </row>
    <row r="205" hidden="1" outlineLevel="1">
      <c r="A205" s="1"/>
      <c r="B205" s="3">
        <f t="shared" si="1"/>
        <v>201</v>
      </c>
      <c r="C205" s="31" t="s">
        <v>640</v>
      </c>
      <c r="D205" s="37" t="s">
        <v>38</v>
      </c>
      <c r="E205" s="1"/>
      <c r="F205" s="37"/>
      <c r="G205" s="37"/>
      <c r="H205" s="46">
        <v>45666.0</v>
      </c>
      <c r="I205" s="37" t="s">
        <v>461</v>
      </c>
      <c r="J205" s="49"/>
      <c r="K205" s="49" t="s">
        <v>641</v>
      </c>
      <c r="L205" s="37" t="s">
        <v>58</v>
      </c>
      <c r="M205" s="37"/>
      <c r="N205" s="17"/>
      <c r="O205" s="1"/>
      <c r="P205" s="15"/>
      <c r="Q205" s="15"/>
      <c r="R205" s="1"/>
      <c r="S205" s="1"/>
    </row>
    <row r="206" hidden="1" outlineLevel="1">
      <c r="A206" s="1"/>
      <c r="B206" s="3">
        <f t="shared" si="1"/>
        <v>202</v>
      </c>
      <c r="C206" s="31" t="s">
        <v>642</v>
      </c>
      <c r="D206" s="37" t="s">
        <v>497</v>
      </c>
      <c r="E206" s="1"/>
      <c r="F206" s="37"/>
      <c r="G206" s="37"/>
      <c r="H206" s="46">
        <v>45666.0</v>
      </c>
      <c r="I206" s="37" t="s">
        <v>461</v>
      </c>
      <c r="J206" s="49" t="s">
        <v>540</v>
      </c>
      <c r="K206" s="49" t="s">
        <v>533</v>
      </c>
      <c r="L206" s="37" t="s">
        <v>189</v>
      </c>
      <c r="M206" s="37"/>
      <c r="N206" s="17"/>
      <c r="O206" s="1"/>
      <c r="P206" s="15"/>
      <c r="Q206" s="15"/>
      <c r="R206" s="1"/>
      <c r="S206" s="1"/>
    </row>
    <row r="207" hidden="1" outlineLevel="1">
      <c r="A207" s="1"/>
      <c r="B207" s="3">
        <f t="shared" si="1"/>
        <v>203</v>
      </c>
      <c r="C207" s="31" t="s">
        <v>643</v>
      </c>
      <c r="D207" s="37" t="s">
        <v>83</v>
      </c>
      <c r="E207" s="1"/>
      <c r="F207" s="37"/>
      <c r="G207" s="37"/>
      <c r="H207" s="46">
        <v>45666.0</v>
      </c>
      <c r="I207" s="37" t="s">
        <v>461</v>
      </c>
      <c r="J207" s="49" t="s">
        <v>644</v>
      </c>
      <c r="K207" s="49" t="s">
        <v>645</v>
      </c>
      <c r="L207" s="37" t="s">
        <v>58</v>
      </c>
      <c r="M207" s="37" t="s">
        <v>45</v>
      </c>
      <c r="N207" s="17"/>
      <c r="O207" s="1"/>
      <c r="P207" s="15"/>
      <c r="Q207" s="15"/>
      <c r="R207" s="1"/>
      <c r="S207" s="1"/>
    </row>
    <row r="208" hidden="1" outlineLevel="1">
      <c r="A208" s="1"/>
      <c r="B208" s="3">
        <f t="shared" si="1"/>
        <v>204</v>
      </c>
      <c r="C208" s="31" t="s">
        <v>646</v>
      </c>
      <c r="D208" s="37" t="s">
        <v>96</v>
      </c>
      <c r="E208" s="1"/>
      <c r="F208" s="37"/>
      <c r="G208" s="37"/>
      <c r="H208" s="46">
        <v>45666.0</v>
      </c>
      <c r="I208" s="37" t="s">
        <v>461</v>
      </c>
      <c r="J208" s="49" t="s">
        <v>647</v>
      </c>
      <c r="K208" s="49" t="s">
        <v>648</v>
      </c>
      <c r="L208" s="37" t="s">
        <v>58</v>
      </c>
      <c r="M208" s="37"/>
      <c r="N208" s="17"/>
      <c r="O208" s="1"/>
      <c r="P208" s="15"/>
      <c r="Q208" s="15"/>
      <c r="R208" s="1"/>
      <c r="S208" s="1"/>
    </row>
    <row r="209" hidden="1" outlineLevel="1">
      <c r="A209" s="1"/>
      <c r="B209" s="3">
        <f t="shared" si="1"/>
        <v>205</v>
      </c>
      <c r="C209" s="31" t="s">
        <v>649</v>
      </c>
      <c r="D209" s="37" t="s">
        <v>96</v>
      </c>
      <c r="E209" s="1"/>
      <c r="F209" s="1"/>
      <c r="G209" s="37"/>
      <c r="H209" s="46">
        <v>45666.0</v>
      </c>
      <c r="I209" s="37"/>
      <c r="J209" s="49"/>
      <c r="K209" s="49"/>
      <c r="L209" s="37" t="s">
        <v>26</v>
      </c>
      <c r="M209" s="37"/>
      <c r="N209" s="17"/>
      <c r="O209" s="1"/>
      <c r="P209" s="15"/>
      <c r="Q209" s="15"/>
      <c r="R209" s="1"/>
      <c r="S209" s="1"/>
    </row>
    <row r="210" hidden="1" outlineLevel="1">
      <c r="A210" s="1"/>
      <c r="B210" s="3">
        <f t="shared" si="1"/>
        <v>206</v>
      </c>
      <c r="C210" s="31" t="s">
        <v>650</v>
      </c>
      <c r="D210" s="37" t="s">
        <v>44</v>
      </c>
      <c r="E210" s="1"/>
      <c r="F210" s="1"/>
      <c r="G210" s="37"/>
      <c r="H210" s="46">
        <v>45666.0</v>
      </c>
      <c r="I210" s="37"/>
      <c r="J210" s="49"/>
      <c r="K210" s="49"/>
      <c r="L210" s="37" t="s">
        <v>26</v>
      </c>
      <c r="M210" s="37"/>
      <c r="N210" s="17"/>
      <c r="O210" s="1"/>
      <c r="P210" s="15"/>
      <c r="Q210" s="15"/>
      <c r="R210" s="1"/>
      <c r="S210" s="1"/>
    </row>
    <row r="211" hidden="1" outlineLevel="1">
      <c r="A211" s="1"/>
      <c r="B211" s="3">
        <f t="shared" si="1"/>
        <v>207</v>
      </c>
      <c r="C211" s="31" t="s">
        <v>651</v>
      </c>
      <c r="D211" s="37" t="s">
        <v>83</v>
      </c>
      <c r="E211" s="1"/>
      <c r="F211" s="37"/>
      <c r="G211" s="37"/>
      <c r="H211" s="46">
        <v>45666.0</v>
      </c>
      <c r="I211" s="37" t="s">
        <v>461</v>
      </c>
      <c r="J211" s="49" t="s">
        <v>554</v>
      </c>
      <c r="K211" s="49" t="s">
        <v>652</v>
      </c>
      <c r="L211" s="37" t="s">
        <v>58</v>
      </c>
      <c r="M211" s="37" t="s">
        <v>74</v>
      </c>
      <c r="N211" s="17"/>
      <c r="O211" s="1"/>
      <c r="P211" s="15"/>
      <c r="Q211" s="15"/>
      <c r="R211" s="1"/>
      <c r="S211" s="1"/>
    </row>
    <row r="212" hidden="1" outlineLevel="1">
      <c r="A212" s="1"/>
      <c r="B212" s="3">
        <f t="shared" si="1"/>
        <v>208</v>
      </c>
      <c r="C212" s="31" t="s">
        <v>653</v>
      </c>
      <c r="D212" s="37" t="s">
        <v>96</v>
      </c>
      <c r="E212" s="1"/>
      <c r="F212" s="1"/>
      <c r="G212" s="37"/>
      <c r="H212" s="46">
        <v>45666.0</v>
      </c>
      <c r="I212" s="37"/>
      <c r="J212" s="49"/>
      <c r="K212" s="49"/>
      <c r="L212" s="37" t="s">
        <v>26</v>
      </c>
      <c r="M212" s="37"/>
      <c r="N212" s="17"/>
      <c r="O212" s="1"/>
      <c r="P212" s="15"/>
      <c r="Q212" s="15"/>
      <c r="R212" s="1"/>
      <c r="S212" s="1"/>
    </row>
    <row r="213" hidden="1" outlineLevel="1">
      <c r="A213" s="1"/>
      <c r="B213" s="3">
        <f t="shared" si="1"/>
        <v>209</v>
      </c>
      <c r="C213" s="31" t="s">
        <v>654</v>
      </c>
      <c r="D213" s="37" t="s">
        <v>83</v>
      </c>
      <c r="E213" s="1"/>
      <c r="F213" s="1"/>
      <c r="G213" s="37"/>
      <c r="H213" s="46">
        <v>45666.0</v>
      </c>
      <c r="I213" s="37"/>
      <c r="J213" s="49"/>
      <c r="K213" s="49"/>
      <c r="L213" s="37" t="s">
        <v>26</v>
      </c>
      <c r="M213" s="37"/>
      <c r="N213" s="17"/>
      <c r="O213" s="1"/>
      <c r="P213" s="15"/>
      <c r="Q213" s="15"/>
      <c r="R213" s="1"/>
      <c r="S213" s="1"/>
    </row>
    <row r="214" hidden="1" outlineLevel="1">
      <c r="A214" s="1"/>
      <c r="B214" s="3">
        <f t="shared" si="1"/>
        <v>210</v>
      </c>
      <c r="C214" s="31" t="s">
        <v>655</v>
      </c>
      <c r="D214" s="37" t="s">
        <v>513</v>
      </c>
      <c r="E214" s="1"/>
      <c r="F214" s="37"/>
      <c r="G214" s="37"/>
      <c r="H214" s="46">
        <v>45666.0</v>
      </c>
      <c r="I214" s="37" t="s">
        <v>461</v>
      </c>
      <c r="J214" s="49" t="s">
        <v>648</v>
      </c>
      <c r="K214" s="49" t="s">
        <v>648</v>
      </c>
      <c r="L214" s="37" t="s">
        <v>58</v>
      </c>
      <c r="M214" s="37"/>
      <c r="N214" s="17"/>
      <c r="O214" s="1"/>
      <c r="P214" s="15"/>
      <c r="Q214" s="15"/>
      <c r="R214" s="1"/>
      <c r="S214" s="1"/>
    </row>
    <row r="215" hidden="1" outlineLevel="1">
      <c r="A215" s="1"/>
      <c r="B215" s="3">
        <f t="shared" si="1"/>
        <v>211</v>
      </c>
      <c r="C215" s="31" t="s">
        <v>656</v>
      </c>
      <c r="D215" s="37" t="s">
        <v>83</v>
      </c>
      <c r="E215" s="1"/>
      <c r="F215" s="37"/>
      <c r="G215" s="37"/>
      <c r="H215" s="46">
        <v>45666.0</v>
      </c>
      <c r="I215" s="37" t="s">
        <v>461</v>
      </c>
      <c r="J215" s="49" t="s">
        <v>533</v>
      </c>
      <c r="K215" s="49" t="s">
        <v>657</v>
      </c>
      <c r="L215" s="37" t="s">
        <v>58</v>
      </c>
      <c r="M215" s="37" t="s">
        <v>45</v>
      </c>
      <c r="N215" s="17"/>
      <c r="O215" s="1"/>
      <c r="P215" s="15"/>
      <c r="Q215" s="15"/>
      <c r="R215" s="1"/>
      <c r="S215" s="1"/>
    </row>
    <row r="216" hidden="1" outlineLevel="1">
      <c r="A216" s="1"/>
      <c r="B216" s="3">
        <f t="shared" si="1"/>
        <v>212</v>
      </c>
      <c r="C216" s="31" t="s">
        <v>658</v>
      </c>
      <c r="D216" s="37" t="s">
        <v>116</v>
      </c>
      <c r="E216" s="1"/>
      <c r="F216" s="1"/>
      <c r="G216" s="37"/>
      <c r="H216" s="46">
        <v>45666.0</v>
      </c>
      <c r="I216" s="37"/>
      <c r="J216" s="49"/>
      <c r="K216" s="49"/>
      <c r="L216" s="37" t="s">
        <v>26</v>
      </c>
      <c r="M216" s="37"/>
      <c r="N216" s="17"/>
      <c r="O216" s="1"/>
      <c r="P216" s="15"/>
      <c r="Q216" s="15"/>
      <c r="R216" s="1"/>
      <c r="S216" s="1"/>
    </row>
    <row r="217" hidden="1" outlineLevel="1">
      <c r="A217" s="1"/>
      <c r="B217" s="3">
        <f t="shared" si="1"/>
        <v>213</v>
      </c>
      <c r="C217" s="31" t="s">
        <v>659</v>
      </c>
      <c r="D217" s="37" t="s">
        <v>591</v>
      </c>
      <c r="E217" s="1"/>
      <c r="F217" s="37"/>
      <c r="G217" s="37"/>
      <c r="H217" s="46">
        <v>46035.0</v>
      </c>
      <c r="I217" s="37" t="s">
        <v>461</v>
      </c>
      <c r="J217" s="49" t="s">
        <v>515</v>
      </c>
      <c r="K217" s="49" t="s">
        <v>660</v>
      </c>
      <c r="L217" s="37" t="s">
        <v>58</v>
      </c>
      <c r="M217" s="37"/>
      <c r="N217" s="17"/>
      <c r="O217" s="1"/>
      <c r="P217" s="15"/>
      <c r="Q217" s="15"/>
      <c r="R217" s="1"/>
      <c r="S217" s="1"/>
    </row>
    <row r="218" hidden="1" outlineLevel="1">
      <c r="A218" s="1"/>
      <c r="B218" s="3">
        <f t="shared" si="1"/>
        <v>214</v>
      </c>
      <c r="C218" s="31" t="s">
        <v>661</v>
      </c>
      <c r="D218" s="37" t="s">
        <v>591</v>
      </c>
      <c r="E218" s="1"/>
      <c r="F218" s="37"/>
      <c r="G218" s="37"/>
      <c r="H218" s="46">
        <v>46035.0</v>
      </c>
      <c r="I218" s="37" t="s">
        <v>461</v>
      </c>
      <c r="J218" s="49" t="s">
        <v>533</v>
      </c>
      <c r="K218" s="49" t="s">
        <v>662</v>
      </c>
      <c r="L218" s="37" t="s">
        <v>58</v>
      </c>
      <c r="M218" s="37"/>
      <c r="N218" s="17"/>
      <c r="O218" s="1"/>
      <c r="P218" s="15"/>
      <c r="Q218" s="15"/>
      <c r="R218" s="1"/>
      <c r="S218" s="1"/>
    </row>
    <row r="219" hidden="1" outlineLevel="1">
      <c r="A219" s="1"/>
      <c r="B219" s="3">
        <f t="shared" si="1"/>
        <v>215</v>
      </c>
      <c r="C219" s="31" t="s">
        <v>663</v>
      </c>
      <c r="D219" s="37" t="s">
        <v>591</v>
      </c>
      <c r="E219" s="1"/>
      <c r="F219" s="37"/>
      <c r="G219" s="37"/>
      <c r="H219" s="46">
        <v>46035.0</v>
      </c>
      <c r="I219" s="37" t="s">
        <v>461</v>
      </c>
      <c r="J219" s="49" t="s">
        <v>664</v>
      </c>
      <c r="K219" s="49" t="s">
        <v>665</v>
      </c>
      <c r="L219" s="37" t="s">
        <v>58</v>
      </c>
      <c r="M219" s="37"/>
      <c r="N219" s="17"/>
      <c r="O219" s="1"/>
      <c r="P219" s="15"/>
      <c r="Q219" s="15"/>
      <c r="R219" s="1"/>
      <c r="S219" s="1"/>
    </row>
    <row r="220" hidden="1" outlineLevel="1">
      <c r="A220" s="1"/>
      <c r="B220" s="3">
        <f t="shared" si="1"/>
        <v>216</v>
      </c>
      <c r="C220" s="31" t="s">
        <v>666</v>
      </c>
      <c r="D220" s="37" t="s">
        <v>591</v>
      </c>
      <c r="E220" s="1"/>
      <c r="F220" s="37"/>
      <c r="G220" s="37"/>
      <c r="H220" s="46">
        <v>46035.0</v>
      </c>
      <c r="I220" s="37" t="s">
        <v>461</v>
      </c>
      <c r="J220" s="49" t="s">
        <v>533</v>
      </c>
      <c r="K220" s="49" t="s">
        <v>533</v>
      </c>
      <c r="L220" s="37" t="s">
        <v>189</v>
      </c>
      <c r="M220" s="37"/>
      <c r="N220" s="17"/>
      <c r="O220" s="1"/>
      <c r="P220" s="15"/>
      <c r="Q220" s="15"/>
      <c r="R220" s="1"/>
      <c r="S220" s="1"/>
    </row>
    <row r="221" hidden="1" outlineLevel="1">
      <c r="A221" s="1"/>
      <c r="B221" s="3">
        <f t="shared" si="1"/>
        <v>217</v>
      </c>
      <c r="C221" s="31" t="s">
        <v>667</v>
      </c>
      <c r="D221" s="37" t="s">
        <v>668</v>
      </c>
      <c r="E221" s="1"/>
      <c r="F221" s="37"/>
      <c r="G221" s="37"/>
      <c r="H221" s="46">
        <v>46035.0</v>
      </c>
      <c r="I221" s="37" t="s">
        <v>461</v>
      </c>
      <c r="J221" s="49" t="s">
        <v>669</v>
      </c>
      <c r="K221" s="49"/>
      <c r="L221" s="37" t="s">
        <v>189</v>
      </c>
      <c r="M221" s="37"/>
      <c r="N221" s="17"/>
      <c r="O221" s="1"/>
      <c r="P221" s="15"/>
      <c r="Q221" s="15"/>
      <c r="R221" s="1"/>
      <c r="S221" s="1"/>
    </row>
    <row r="222" hidden="1" outlineLevel="1">
      <c r="A222" s="1"/>
      <c r="B222" s="3">
        <f t="shared" si="1"/>
        <v>218</v>
      </c>
      <c r="C222" s="31" t="s">
        <v>670</v>
      </c>
      <c r="D222" s="37" t="s">
        <v>96</v>
      </c>
      <c r="E222" s="1"/>
      <c r="F222" s="37"/>
      <c r="G222" s="37"/>
      <c r="H222" s="46">
        <v>46035.0</v>
      </c>
      <c r="I222" s="37" t="s">
        <v>461</v>
      </c>
      <c r="J222" s="49"/>
      <c r="K222" s="49" t="s">
        <v>671</v>
      </c>
      <c r="L222" s="37" t="s">
        <v>58</v>
      </c>
      <c r="M222" s="37"/>
      <c r="N222" s="17"/>
      <c r="O222" s="1"/>
      <c r="P222" s="15"/>
      <c r="Q222" s="15"/>
      <c r="R222" s="1"/>
      <c r="S222" s="1"/>
    </row>
    <row r="223" hidden="1" outlineLevel="1">
      <c r="A223" s="1"/>
      <c r="B223" s="3">
        <f t="shared" si="1"/>
        <v>219</v>
      </c>
      <c r="C223" s="31" t="s">
        <v>527</v>
      </c>
      <c r="D223" s="37" t="s">
        <v>96</v>
      </c>
      <c r="E223" s="1"/>
      <c r="F223" s="37"/>
      <c r="G223" s="37"/>
      <c r="H223" s="46">
        <v>46035.0</v>
      </c>
      <c r="I223" s="37" t="s">
        <v>461</v>
      </c>
      <c r="J223" s="49" t="s">
        <v>571</v>
      </c>
      <c r="K223" s="49" t="s">
        <v>672</v>
      </c>
      <c r="L223" s="37" t="s">
        <v>189</v>
      </c>
      <c r="M223" s="37"/>
      <c r="N223" s="17"/>
      <c r="O223" s="1"/>
      <c r="P223" s="15"/>
      <c r="Q223" s="15"/>
      <c r="R223" s="1"/>
      <c r="S223" s="1"/>
    </row>
    <row r="224" hidden="1" outlineLevel="1">
      <c r="A224" s="1"/>
      <c r="B224" s="3">
        <f t="shared" si="1"/>
        <v>220</v>
      </c>
      <c r="C224" s="31" t="s">
        <v>673</v>
      </c>
      <c r="D224" s="37" t="s">
        <v>186</v>
      </c>
      <c r="E224" s="1"/>
      <c r="F224" s="37"/>
      <c r="G224" s="37"/>
      <c r="H224" s="46">
        <v>46035.0</v>
      </c>
      <c r="I224" s="37" t="s">
        <v>461</v>
      </c>
      <c r="J224" s="49" t="s">
        <v>517</v>
      </c>
      <c r="K224" s="49" t="s">
        <v>648</v>
      </c>
      <c r="L224" s="37" t="s">
        <v>58</v>
      </c>
      <c r="M224" s="37"/>
      <c r="N224" s="17"/>
      <c r="O224" s="1"/>
      <c r="P224" s="15"/>
      <c r="Q224" s="15"/>
      <c r="R224" s="1"/>
      <c r="S224" s="1"/>
    </row>
    <row r="225" hidden="1" outlineLevel="1">
      <c r="A225" s="1"/>
      <c r="B225" s="3">
        <f t="shared" si="1"/>
        <v>221</v>
      </c>
      <c r="C225" s="31" t="s">
        <v>674</v>
      </c>
      <c r="D225" s="37" t="s">
        <v>44</v>
      </c>
      <c r="E225" s="1"/>
      <c r="F225" s="37"/>
      <c r="G225" s="37"/>
      <c r="H225" s="46">
        <v>46035.0</v>
      </c>
      <c r="I225" s="37" t="s">
        <v>461</v>
      </c>
      <c r="J225" s="49"/>
      <c r="K225" s="49" t="s">
        <v>518</v>
      </c>
      <c r="L225" s="37" t="s">
        <v>189</v>
      </c>
      <c r="M225" s="37"/>
      <c r="N225" s="17"/>
      <c r="O225" s="1"/>
      <c r="P225" s="15"/>
      <c r="Q225" s="15"/>
      <c r="R225" s="1"/>
      <c r="S225" s="1"/>
    </row>
    <row r="226" hidden="1" outlineLevel="1">
      <c r="A226" s="1"/>
      <c r="B226" s="3">
        <f t="shared" si="1"/>
        <v>222</v>
      </c>
      <c r="C226" s="31" t="s">
        <v>675</v>
      </c>
      <c r="D226" s="37" t="s">
        <v>49</v>
      </c>
      <c r="E226" s="1"/>
      <c r="F226" s="37"/>
      <c r="G226" s="37"/>
      <c r="H226" s="46">
        <v>46035.0</v>
      </c>
      <c r="I226" s="37" t="s">
        <v>461</v>
      </c>
      <c r="J226" s="49" t="s">
        <v>676</v>
      </c>
      <c r="K226" s="49" t="s">
        <v>672</v>
      </c>
      <c r="L226" s="37" t="s">
        <v>58</v>
      </c>
      <c r="M226" s="37"/>
      <c r="N226" s="17"/>
      <c r="O226" s="1"/>
      <c r="P226" s="15"/>
      <c r="Q226" s="15"/>
      <c r="R226" s="1"/>
      <c r="S226" s="1"/>
    </row>
    <row r="227" hidden="1" outlineLevel="1">
      <c r="A227" s="1"/>
      <c r="B227" s="3">
        <f t="shared" si="1"/>
        <v>223</v>
      </c>
      <c r="C227" s="31" t="s">
        <v>333</v>
      </c>
      <c r="D227" s="37" t="s">
        <v>218</v>
      </c>
      <c r="E227" s="1"/>
      <c r="F227" s="43" t="s">
        <v>334</v>
      </c>
      <c r="G227" s="37"/>
      <c r="H227" s="46">
        <v>46035.0</v>
      </c>
      <c r="I227" s="37" t="s">
        <v>461</v>
      </c>
      <c r="J227" s="49" t="s">
        <v>517</v>
      </c>
      <c r="K227" s="49" t="s">
        <v>677</v>
      </c>
      <c r="L227" s="37" t="s">
        <v>58</v>
      </c>
      <c r="M227" s="37"/>
      <c r="N227" s="17"/>
      <c r="O227" s="1"/>
      <c r="P227" s="15"/>
      <c r="Q227" s="15"/>
      <c r="R227" s="1"/>
      <c r="S227" s="1"/>
    </row>
    <row r="228" hidden="1" outlineLevel="1">
      <c r="A228" s="1"/>
      <c r="B228" s="3">
        <f t="shared" si="1"/>
        <v>224</v>
      </c>
      <c r="C228" s="31" t="s">
        <v>678</v>
      </c>
      <c r="D228" s="37" t="s">
        <v>38</v>
      </c>
      <c r="E228" s="1"/>
      <c r="F228" s="37"/>
      <c r="G228" s="37"/>
      <c r="H228" s="46">
        <v>46035.0</v>
      </c>
      <c r="I228" s="37" t="s">
        <v>461</v>
      </c>
      <c r="J228" s="49"/>
      <c r="K228" s="49" t="s">
        <v>679</v>
      </c>
      <c r="L228" s="37" t="s">
        <v>189</v>
      </c>
      <c r="M228" s="37"/>
      <c r="N228" s="17"/>
      <c r="O228" s="1"/>
      <c r="P228" s="15"/>
      <c r="Q228" s="15"/>
      <c r="R228" s="1"/>
      <c r="S228" s="1"/>
    </row>
    <row r="229" hidden="1" outlineLevel="1">
      <c r="A229" s="1"/>
      <c r="B229" s="3">
        <f t="shared" si="1"/>
        <v>225</v>
      </c>
      <c r="C229" s="31" t="s">
        <v>680</v>
      </c>
      <c r="D229" s="37" t="s">
        <v>49</v>
      </c>
      <c r="E229" s="1"/>
      <c r="F229" s="37"/>
      <c r="G229" s="37"/>
      <c r="H229" s="46">
        <v>46035.0</v>
      </c>
      <c r="I229" s="37" t="s">
        <v>461</v>
      </c>
      <c r="J229" s="49" t="s">
        <v>671</v>
      </c>
      <c r="K229" s="49" t="s">
        <v>681</v>
      </c>
      <c r="L229" s="37" t="s">
        <v>58</v>
      </c>
      <c r="M229" s="37"/>
      <c r="N229" s="17"/>
      <c r="O229" s="1"/>
      <c r="P229" s="15"/>
      <c r="Q229" s="15"/>
      <c r="R229" s="1"/>
      <c r="S229" s="1"/>
    </row>
    <row r="230" hidden="1" outlineLevel="1">
      <c r="A230" s="1"/>
      <c r="B230" s="3">
        <f t="shared" si="1"/>
        <v>226</v>
      </c>
      <c r="C230" s="31" t="s">
        <v>682</v>
      </c>
      <c r="D230" s="37" t="s">
        <v>159</v>
      </c>
      <c r="E230" s="1"/>
      <c r="F230" s="37"/>
      <c r="G230" s="37"/>
      <c r="H230" s="46">
        <v>46035.0</v>
      </c>
      <c r="I230" s="37" t="s">
        <v>461</v>
      </c>
      <c r="J230" s="49" t="s">
        <v>671</v>
      </c>
      <c r="K230" s="49" t="s">
        <v>683</v>
      </c>
      <c r="L230" s="37" t="s">
        <v>58</v>
      </c>
      <c r="M230" s="37"/>
      <c r="N230" s="17"/>
      <c r="O230" s="1"/>
      <c r="P230" s="15"/>
      <c r="Q230" s="15"/>
      <c r="R230" s="1"/>
      <c r="S230" s="1"/>
    </row>
    <row r="231" hidden="1" outlineLevel="1">
      <c r="A231" s="1"/>
      <c r="B231" s="3">
        <f t="shared" si="1"/>
        <v>227</v>
      </c>
      <c r="C231" s="31" t="s">
        <v>684</v>
      </c>
      <c r="D231" s="37" t="s">
        <v>56</v>
      </c>
      <c r="E231" s="1"/>
      <c r="F231" s="37"/>
      <c r="G231" s="37"/>
      <c r="H231" s="46">
        <v>46035.0</v>
      </c>
      <c r="I231" s="37" t="s">
        <v>461</v>
      </c>
      <c r="J231" s="49" t="s">
        <v>554</v>
      </c>
      <c r="K231" s="49" t="s">
        <v>685</v>
      </c>
      <c r="L231" s="37" t="s">
        <v>58</v>
      </c>
      <c r="M231" s="37"/>
      <c r="N231" s="17"/>
      <c r="O231" s="1"/>
      <c r="P231" s="15"/>
      <c r="Q231" s="15"/>
      <c r="R231" s="1"/>
      <c r="S231" s="1"/>
    </row>
    <row r="232" hidden="1" outlineLevel="1">
      <c r="A232" s="1"/>
      <c r="B232" s="3">
        <f t="shared" si="1"/>
        <v>228</v>
      </c>
      <c r="C232" s="31" t="s">
        <v>686</v>
      </c>
      <c r="D232" s="37" t="s">
        <v>56</v>
      </c>
      <c r="E232" s="1"/>
      <c r="F232" s="37"/>
      <c r="G232" s="37"/>
      <c r="H232" s="46">
        <v>46035.0</v>
      </c>
      <c r="I232" s="37" t="s">
        <v>461</v>
      </c>
      <c r="J232" s="49"/>
      <c r="K232" s="49" t="s">
        <v>518</v>
      </c>
      <c r="L232" s="37" t="s">
        <v>58</v>
      </c>
      <c r="M232" s="37" t="s">
        <v>78</v>
      </c>
      <c r="N232" s="17"/>
      <c r="O232" s="1"/>
      <c r="P232" s="15"/>
      <c r="Q232" s="15"/>
      <c r="R232" s="1"/>
      <c r="S232" s="1"/>
    </row>
    <row r="233" hidden="1" outlineLevel="1">
      <c r="A233" s="1"/>
      <c r="B233" s="3">
        <f t="shared" si="1"/>
        <v>229</v>
      </c>
      <c r="C233" s="31" t="s">
        <v>687</v>
      </c>
      <c r="D233" s="37" t="s">
        <v>186</v>
      </c>
      <c r="E233" s="1"/>
      <c r="F233" s="37"/>
      <c r="G233" s="37"/>
      <c r="H233" s="46">
        <v>46035.0</v>
      </c>
      <c r="I233" s="37" t="s">
        <v>461</v>
      </c>
      <c r="J233" s="49" t="s">
        <v>558</v>
      </c>
      <c r="K233" s="49" t="s">
        <v>558</v>
      </c>
      <c r="L233" s="37" t="s">
        <v>189</v>
      </c>
      <c r="M233" s="37"/>
      <c r="N233" s="17"/>
      <c r="O233" s="1"/>
      <c r="P233" s="15"/>
      <c r="Q233" s="15"/>
      <c r="R233" s="1"/>
      <c r="S233" s="1"/>
    </row>
    <row r="234" hidden="1" outlineLevel="1">
      <c r="A234" s="1"/>
      <c r="B234" s="3">
        <f t="shared" si="1"/>
        <v>230</v>
      </c>
      <c r="C234" s="31" t="s">
        <v>688</v>
      </c>
      <c r="D234" s="37" t="s">
        <v>116</v>
      </c>
      <c r="E234" s="1"/>
      <c r="F234" s="37"/>
      <c r="G234" s="37"/>
      <c r="H234" s="46">
        <v>46035.0</v>
      </c>
      <c r="I234" s="37" t="s">
        <v>461</v>
      </c>
      <c r="J234" s="49" t="s">
        <v>689</v>
      </c>
      <c r="K234" s="49"/>
      <c r="L234" s="37" t="s">
        <v>58</v>
      </c>
      <c r="M234" s="37" t="s">
        <v>70</v>
      </c>
      <c r="N234" s="17"/>
      <c r="O234" s="1"/>
      <c r="P234" s="15"/>
      <c r="Q234" s="15"/>
      <c r="R234" s="1"/>
      <c r="S234" s="1"/>
    </row>
    <row r="235" hidden="1" outlineLevel="1">
      <c r="A235" s="1"/>
      <c r="B235" s="3">
        <f t="shared" si="1"/>
        <v>231</v>
      </c>
      <c r="C235" s="31" t="s">
        <v>690</v>
      </c>
      <c r="D235" s="37" t="s">
        <v>49</v>
      </c>
      <c r="E235" s="1"/>
      <c r="F235" s="37"/>
      <c r="G235" s="37"/>
      <c r="H235" s="46">
        <v>46035.0</v>
      </c>
      <c r="I235" s="37" t="s">
        <v>461</v>
      </c>
      <c r="J235" s="49" t="s">
        <v>571</v>
      </c>
      <c r="K235" s="49" t="s">
        <v>533</v>
      </c>
      <c r="L235" s="37" t="s">
        <v>58</v>
      </c>
      <c r="M235" s="37"/>
      <c r="N235" s="17"/>
      <c r="O235" s="1"/>
      <c r="P235" s="15"/>
      <c r="Q235" s="15"/>
      <c r="R235" s="1"/>
      <c r="S235" s="1"/>
    </row>
    <row r="236" hidden="1" outlineLevel="1">
      <c r="A236" s="1"/>
      <c r="B236" s="3">
        <f t="shared" si="1"/>
        <v>232</v>
      </c>
      <c r="C236" s="31" t="s">
        <v>627</v>
      </c>
      <c r="D236" s="37" t="s">
        <v>96</v>
      </c>
      <c r="E236" s="1"/>
      <c r="F236" s="37"/>
      <c r="G236" s="37"/>
      <c r="H236" s="46">
        <v>46035.0</v>
      </c>
      <c r="I236" s="37" t="s">
        <v>461</v>
      </c>
      <c r="J236" s="49" t="s">
        <v>691</v>
      </c>
      <c r="K236" s="49" t="s">
        <v>605</v>
      </c>
      <c r="L236" s="37" t="s">
        <v>58</v>
      </c>
      <c r="M236" s="37"/>
      <c r="N236" s="17"/>
      <c r="O236" s="1"/>
      <c r="P236" s="15"/>
      <c r="Q236" s="15"/>
      <c r="R236" s="1"/>
      <c r="S236" s="1"/>
    </row>
    <row r="237" hidden="1" outlineLevel="1">
      <c r="A237" s="1"/>
      <c r="B237" s="3">
        <f t="shared" si="1"/>
        <v>233</v>
      </c>
      <c r="C237" s="31" t="s">
        <v>692</v>
      </c>
      <c r="D237" s="37" t="s">
        <v>96</v>
      </c>
      <c r="E237" s="1"/>
      <c r="F237" s="37"/>
      <c r="G237" s="37"/>
      <c r="H237" s="46">
        <v>46035.0</v>
      </c>
      <c r="I237" s="37" t="s">
        <v>461</v>
      </c>
      <c r="J237" s="49" t="s">
        <v>689</v>
      </c>
      <c r="K237" s="49" t="s">
        <v>533</v>
      </c>
      <c r="L237" s="37" t="s">
        <v>58</v>
      </c>
      <c r="M237" s="37"/>
      <c r="N237" s="17"/>
      <c r="O237" s="1"/>
      <c r="P237" s="15"/>
      <c r="Q237" s="15"/>
      <c r="R237" s="1"/>
      <c r="S237" s="1"/>
    </row>
    <row r="238" hidden="1" outlineLevel="1">
      <c r="A238" s="1"/>
      <c r="B238" s="3">
        <f t="shared" si="1"/>
        <v>234</v>
      </c>
      <c r="C238" s="31" t="s">
        <v>693</v>
      </c>
      <c r="D238" s="37" t="s">
        <v>116</v>
      </c>
      <c r="E238" s="1"/>
      <c r="F238" s="1"/>
      <c r="G238" s="37"/>
      <c r="H238" s="46">
        <v>46035.0</v>
      </c>
      <c r="I238" s="37"/>
      <c r="J238" s="49"/>
      <c r="K238" s="49"/>
      <c r="L238" s="37" t="s">
        <v>26</v>
      </c>
      <c r="M238" s="37"/>
      <c r="N238" s="17"/>
      <c r="O238" s="1"/>
      <c r="P238" s="15"/>
      <c r="Q238" s="15"/>
      <c r="R238" s="1"/>
      <c r="S238" s="1"/>
    </row>
    <row r="239" hidden="1" outlineLevel="1">
      <c r="A239" s="1"/>
      <c r="B239" s="3">
        <f t="shared" si="1"/>
        <v>235</v>
      </c>
      <c r="C239" s="31" t="s">
        <v>626</v>
      </c>
      <c r="D239" s="37" t="s">
        <v>591</v>
      </c>
      <c r="E239" s="1"/>
      <c r="F239" s="1"/>
      <c r="G239" s="37"/>
      <c r="H239" s="46">
        <v>46035.0</v>
      </c>
      <c r="I239" s="37"/>
      <c r="J239" s="49"/>
      <c r="K239" s="49"/>
      <c r="L239" s="37" t="s">
        <v>26</v>
      </c>
      <c r="M239" s="37"/>
      <c r="N239" s="17"/>
      <c r="O239" s="1"/>
      <c r="P239" s="15"/>
      <c r="Q239" s="15"/>
      <c r="R239" s="1"/>
      <c r="S239" s="1"/>
    </row>
    <row r="240" hidden="1" outlineLevel="1">
      <c r="A240" s="1"/>
      <c r="B240" s="3">
        <f t="shared" si="1"/>
        <v>236</v>
      </c>
      <c r="C240" s="31" t="s">
        <v>629</v>
      </c>
      <c r="D240" s="37" t="s">
        <v>83</v>
      </c>
      <c r="E240" s="1"/>
      <c r="F240" s="1"/>
      <c r="G240" s="37"/>
      <c r="H240" s="46">
        <v>46035.0</v>
      </c>
      <c r="I240" s="37"/>
      <c r="J240" s="49"/>
      <c r="K240" s="49"/>
      <c r="L240" s="37" t="s">
        <v>26</v>
      </c>
      <c r="M240" s="37"/>
      <c r="N240" s="17"/>
      <c r="O240" s="1"/>
      <c r="P240" s="15"/>
      <c r="Q240" s="15"/>
      <c r="R240" s="1"/>
      <c r="S240" s="1"/>
    </row>
    <row r="241" hidden="1" outlineLevel="1">
      <c r="A241" s="1"/>
      <c r="B241" s="3">
        <f t="shared" si="1"/>
        <v>237</v>
      </c>
      <c r="C241" s="31" t="s">
        <v>694</v>
      </c>
      <c r="D241" s="37" t="s">
        <v>497</v>
      </c>
      <c r="E241" s="1"/>
      <c r="F241" s="1"/>
      <c r="G241" s="37"/>
      <c r="H241" s="46">
        <v>46035.0</v>
      </c>
      <c r="I241" s="37"/>
      <c r="J241" s="49"/>
      <c r="K241" s="49"/>
      <c r="L241" s="37" t="s">
        <v>26</v>
      </c>
      <c r="M241" s="37"/>
      <c r="N241" s="17"/>
      <c r="O241" s="1"/>
      <c r="P241" s="15"/>
      <c r="Q241" s="15"/>
      <c r="R241" s="1"/>
      <c r="S241" s="1"/>
    </row>
    <row r="242" hidden="1" outlineLevel="1">
      <c r="A242" s="1"/>
      <c r="B242" s="3">
        <f t="shared" si="1"/>
        <v>238</v>
      </c>
      <c r="C242" s="31" t="s">
        <v>695</v>
      </c>
      <c r="D242" s="37" t="s">
        <v>116</v>
      </c>
      <c r="E242" s="1"/>
      <c r="F242" s="1"/>
      <c r="G242" s="37"/>
      <c r="H242" s="46">
        <v>46035.0</v>
      </c>
      <c r="I242" s="37"/>
      <c r="J242" s="49"/>
      <c r="K242" s="49"/>
      <c r="L242" s="37" t="s">
        <v>26</v>
      </c>
      <c r="M242" s="37"/>
      <c r="N242" s="17"/>
      <c r="O242" s="1"/>
      <c r="P242" s="15"/>
      <c r="Q242" s="15"/>
      <c r="R242" s="1"/>
      <c r="S242" s="1"/>
    </row>
    <row r="243" hidden="1" outlineLevel="1">
      <c r="A243" s="1"/>
      <c r="B243" s="3">
        <f t="shared" si="1"/>
        <v>239</v>
      </c>
      <c r="C243" s="31" t="s">
        <v>696</v>
      </c>
      <c r="D243" s="37" t="s">
        <v>44</v>
      </c>
      <c r="E243" s="1"/>
      <c r="F243" s="1"/>
      <c r="G243" s="37"/>
      <c r="H243" s="46">
        <v>46035.0</v>
      </c>
      <c r="I243" s="37"/>
      <c r="J243" s="49"/>
      <c r="K243" s="49"/>
      <c r="L243" s="37" t="s">
        <v>26</v>
      </c>
      <c r="M243" s="37"/>
      <c r="N243" s="17"/>
      <c r="O243" s="1"/>
      <c r="P243" s="15"/>
      <c r="Q243" s="15"/>
      <c r="R243" s="1"/>
      <c r="S243" s="1"/>
    </row>
    <row r="244" hidden="1" outlineLevel="1">
      <c r="A244" s="1"/>
      <c r="B244" s="3">
        <f t="shared" si="1"/>
        <v>240</v>
      </c>
      <c r="C244" s="31" t="s">
        <v>697</v>
      </c>
      <c r="D244" s="37" t="s">
        <v>83</v>
      </c>
      <c r="E244" s="1"/>
      <c r="F244" s="1"/>
      <c r="G244" s="37"/>
      <c r="H244" s="46">
        <v>46035.0</v>
      </c>
      <c r="I244" s="37"/>
      <c r="J244" s="49"/>
      <c r="K244" s="49"/>
      <c r="L244" s="37" t="s">
        <v>26</v>
      </c>
      <c r="M244" s="37"/>
      <c r="N244" s="17"/>
      <c r="O244" s="1"/>
      <c r="P244" s="15"/>
      <c r="Q244" s="15"/>
      <c r="R244" s="1"/>
      <c r="S244" s="1"/>
    </row>
    <row r="245" hidden="1" outlineLevel="1">
      <c r="A245" s="1"/>
      <c r="B245" s="3">
        <f t="shared" si="1"/>
        <v>241</v>
      </c>
      <c r="C245" s="31" t="s">
        <v>698</v>
      </c>
      <c r="D245" s="37" t="s">
        <v>116</v>
      </c>
      <c r="E245" s="1"/>
      <c r="F245" s="1"/>
      <c r="G245" s="37"/>
      <c r="H245" s="46">
        <v>46035.0</v>
      </c>
      <c r="I245" s="37"/>
      <c r="J245" s="49"/>
      <c r="K245" s="49"/>
      <c r="L245" s="37" t="s">
        <v>26</v>
      </c>
      <c r="M245" s="37"/>
      <c r="N245" s="17"/>
      <c r="O245" s="1"/>
      <c r="P245" s="15"/>
      <c r="Q245" s="15"/>
      <c r="R245" s="1"/>
      <c r="S245" s="1"/>
    </row>
    <row r="246" hidden="1" outlineLevel="1">
      <c r="A246" s="1"/>
      <c r="B246" s="3">
        <f t="shared" si="1"/>
        <v>242</v>
      </c>
      <c r="C246" s="31" t="s">
        <v>699</v>
      </c>
      <c r="D246" s="37" t="s">
        <v>44</v>
      </c>
      <c r="E246" s="1"/>
      <c r="F246" s="1"/>
      <c r="G246" s="37"/>
      <c r="H246" s="46">
        <v>46035.0</v>
      </c>
      <c r="I246" s="37"/>
      <c r="J246" s="49"/>
      <c r="K246" s="49"/>
      <c r="L246" s="37" t="s">
        <v>26</v>
      </c>
      <c r="M246" s="37"/>
      <c r="N246" s="17"/>
      <c r="O246" s="1"/>
      <c r="P246" s="15"/>
      <c r="Q246" s="15"/>
      <c r="R246" s="1"/>
      <c r="S246" s="1"/>
    </row>
    <row r="247" hidden="1" outlineLevel="1">
      <c r="A247" s="1"/>
      <c r="B247" s="3">
        <f t="shared" si="1"/>
        <v>243</v>
      </c>
      <c r="C247" s="31" t="s">
        <v>684</v>
      </c>
      <c r="D247" s="37" t="s">
        <v>497</v>
      </c>
      <c r="E247" s="1"/>
      <c r="F247" s="37"/>
      <c r="G247" s="37"/>
      <c r="H247" s="46">
        <v>46035.0</v>
      </c>
      <c r="I247" s="37" t="s">
        <v>461</v>
      </c>
      <c r="J247" s="49"/>
      <c r="K247" s="49"/>
      <c r="L247" s="94"/>
      <c r="M247" s="37"/>
      <c r="N247" s="17"/>
      <c r="O247" s="1"/>
      <c r="P247" s="15"/>
      <c r="Q247" s="15"/>
      <c r="R247" s="1"/>
      <c r="S247" s="1"/>
    </row>
    <row r="248" hidden="1" outlineLevel="1">
      <c r="A248" s="1"/>
      <c r="B248" s="3">
        <f t="shared" si="1"/>
        <v>244</v>
      </c>
      <c r="C248" s="31" t="s">
        <v>700</v>
      </c>
      <c r="D248" s="37" t="s">
        <v>56</v>
      </c>
      <c r="E248" s="1"/>
      <c r="F248" s="37"/>
      <c r="G248" s="37"/>
      <c r="H248" s="46">
        <v>46036.0</v>
      </c>
      <c r="I248" s="37" t="s">
        <v>461</v>
      </c>
      <c r="J248" s="49"/>
      <c r="K248" s="49"/>
      <c r="L248" s="94"/>
      <c r="M248" s="37"/>
      <c r="N248" s="17"/>
      <c r="O248" s="1"/>
      <c r="P248" s="15"/>
      <c r="Q248" s="15"/>
      <c r="R248" s="1"/>
      <c r="S248" s="1"/>
    </row>
    <row r="249" hidden="1" outlineLevel="1">
      <c r="A249" s="1"/>
      <c r="B249" s="3">
        <f t="shared" si="1"/>
        <v>245</v>
      </c>
      <c r="C249" s="31" t="s">
        <v>701</v>
      </c>
      <c r="D249" s="37" t="s">
        <v>591</v>
      </c>
      <c r="E249" s="1"/>
      <c r="F249" s="37"/>
      <c r="G249" s="37"/>
      <c r="H249" s="46">
        <v>46036.0</v>
      </c>
      <c r="I249" s="37" t="s">
        <v>461</v>
      </c>
      <c r="J249" s="49"/>
      <c r="K249" s="49"/>
      <c r="L249" s="94"/>
      <c r="M249" s="37"/>
      <c r="N249" s="17"/>
      <c r="O249" s="1"/>
      <c r="P249" s="15"/>
      <c r="Q249" s="15"/>
      <c r="R249" s="1"/>
      <c r="S249" s="1"/>
    </row>
    <row r="250" hidden="1" outlineLevel="1">
      <c r="A250" s="1"/>
      <c r="B250" s="3">
        <f t="shared" si="1"/>
        <v>246</v>
      </c>
      <c r="C250" s="31" t="s">
        <v>702</v>
      </c>
      <c r="D250" s="37" t="s">
        <v>56</v>
      </c>
      <c r="E250" s="1"/>
      <c r="F250" s="37"/>
      <c r="G250" s="37"/>
      <c r="H250" s="46">
        <v>46036.0</v>
      </c>
      <c r="I250" s="37" t="s">
        <v>461</v>
      </c>
      <c r="J250" s="49"/>
      <c r="K250" s="49"/>
      <c r="L250" s="94"/>
      <c r="M250" s="37"/>
      <c r="N250" s="17"/>
      <c r="O250" s="1"/>
      <c r="P250" s="15"/>
      <c r="Q250" s="15"/>
      <c r="R250" s="1"/>
      <c r="S250" s="1"/>
    </row>
    <row r="251" hidden="1" outlineLevel="1">
      <c r="A251" s="1"/>
      <c r="B251" s="3">
        <f t="shared" si="1"/>
        <v>247</v>
      </c>
      <c r="C251" s="31" t="s">
        <v>703</v>
      </c>
      <c r="D251" s="37" t="s">
        <v>121</v>
      </c>
      <c r="E251" s="1"/>
      <c r="F251" s="37"/>
      <c r="G251" s="37"/>
      <c r="H251" s="46">
        <v>46042.0</v>
      </c>
      <c r="I251" s="37" t="s">
        <v>461</v>
      </c>
      <c r="J251" s="49"/>
      <c r="K251" s="49" t="s">
        <v>517</v>
      </c>
      <c r="L251" s="37" t="s">
        <v>58</v>
      </c>
      <c r="M251" s="37" t="s">
        <v>45</v>
      </c>
      <c r="N251" s="17"/>
      <c r="O251" s="1"/>
      <c r="P251" s="15"/>
      <c r="Q251" s="15"/>
      <c r="R251" s="1"/>
      <c r="S251" s="1"/>
    </row>
    <row r="252" hidden="1" outlineLevel="1">
      <c r="A252" s="1"/>
      <c r="B252" s="3">
        <f t="shared" si="1"/>
        <v>248</v>
      </c>
      <c r="C252" s="31" t="s">
        <v>704</v>
      </c>
      <c r="D252" s="37" t="s">
        <v>497</v>
      </c>
      <c r="E252" s="1"/>
      <c r="F252" s="37"/>
      <c r="G252" s="37"/>
      <c r="H252" s="46">
        <v>46042.0</v>
      </c>
      <c r="I252" s="37" t="s">
        <v>461</v>
      </c>
      <c r="J252" s="49"/>
      <c r="K252" s="49" t="s">
        <v>518</v>
      </c>
      <c r="L252" s="37" t="s">
        <v>58</v>
      </c>
      <c r="M252" s="37" t="s">
        <v>78</v>
      </c>
      <c r="N252" s="17"/>
      <c r="O252" s="1"/>
      <c r="P252" s="15"/>
      <c r="Q252" s="15"/>
      <c r="R252" s="1"/>
      <c r="S252" s="1"/>
    </row>
    <row r="253" hidden="1" outlineLevel="1">
      <c r="A253" s="1"/>
      <c r="B253" s="3">
        <f t="shared" si="1"/>
        <v>249</v>
      </c>
      <c r="C253" s="31" t="s">
        <v>705</v>
      </c>
      <c r="D253" s="37" t="s">
        <v>96</v>
      </c>
      <c r="E253" s="1"/>
      <c r="F253" s="37"/>
      <c r="G253" s="37"/>
      <c r="H253" s="46">
        <v>46042.0</v>
      </c>
      <c r="I253" s="37" t="s">
        <v>461</v>
      </c>
      <c r="J253" s="49" t="s">
        <v>706</v>
      </c>
      <c r="K253" s="49" t="s">
        <v>605</v>
      </c>
      <c r="L253" s="37" t="s">
        <v>58</v>
      </c>
      <c r="M253" s="37" t="s">
        <v>707</v>
      </c>
      <c r="N253" s="17"/>
      <c r="O253" s="1"/>
      <c r="P253" s="15"/>
      <c r="Q253" s="15"/>
      <c r="R253" s="1"/>
      <c r="S253" s="1"/>
    </row>
    <row r="254" hidden="1" outlineLevel="1">
      <c r="A254" s="1"/>
      <c r="B254" s="3">
        <f t="shared" si="1"/>
        <v>250</v>
      </c>
      <c r="C254" s="31" t="s">
        <v>708</v>
      </c>
      <c r="D254" s="37" t="s">
        <v>96</v>
      </c>
      <c r="E254" s="1"/>
      <c r="F254" s="37"/>
      <c r="G254" s="37"/>
      <c r="H254" s="46">
        <v>46042.0</v>
      </c>
      <c r="I254" s="37" t="s">
        <v>461</v>
      </c>
      <c r="J254" s="49" t="s">
        <v>571</v>
      </c>
      <c r="K254" s="49" t="s">
        <v>709</v>
      </c>
      <c r="L254" s="37" t="s">
        <v>58</v>
      </c>
      <c r="M254" s="37"/>
      <c r="N254" s="17"/>
      <c r="O254" s="1"/>
      <c r="P254" s="15"/>
      <c r="Q254" s="15"/>
      <c r="R254" s="1"/>
      <c r="S254" s="1"/>
    </row>
    <row r="255" hidden="1" outlineLevel="1">
      <c r="A255" s="1"/>
      <c r="B255" s="3">
        <f t="shared" si="1"/>
        <v>251</v>
      </c>
      <c r="C255" s="31" t="s">
        <v>710</v>
      </c>
      <c r="D255" s="37" t="s">
        <v>112</v>
      </c>
      <c r="E255" s="1"/>
      <c r="F255" s="37"/>
      <c r="G255" s="37"/>
      <c r="H255" s="46">
        <v>46042.0</v>
      </c>
      <c r="I255" s="37" t="s">
        <v>461</v>
      </c>
      <c r="J255" s="49"/>
      <c r="K255" s="49" t="s">
        <v>573</v>
      </c>
      <c r="L255" s="37" t="s">
        <v>58</v>
      </c>
      <c r="M255" s="37"/>
      <c r="N255" s="17"/>
      <c r="O255" s="1"/>
      <c r="P255" s="15"/>
      <c r="Q255" s="15"/>
      <c r="R255" s="1"/>
      <c r="S255" s="1"/>
    </row>
    <row r="256" hidden="1" outlineLevel="1">
      <c r="A256" s="1"/>
      <c r="B256" s="3">
        <f t="shared" si="1"/>
        <v>252</v>
      </c>
      <c r="C256" s="31" t="s">
        <v>711</v>
      </c>
      <c r="D256" s="37" t="s">
        <v>556</v>
      </c>
      <c r="E256" s="1"/>
      <c r="F256" s="37"/>
      <c r="G256" s="37"/>
      <c r="H256" s="46">
        <v>46042.0</v>
      </c>
      <c r="I256" s="37" t="s">
        <v>461</v>
      </c>
      <c r="J256" s="49" t="s">
        <v>573</v>
      </c>
      <c r="K256" s="49" t="s">
        <v>712</v>
      </c>
      <c r="L256" s="37" t="s">
        <v>189</v>
      </c>
      <c r="M256" s="37"/>
      <c r="N256" s="17"/>
      <c r="O256" s="1"/>
      <c r="P256" s="15"/>
      <c r="Q256" s="15"/>
      <c r="R256" s="1"/>
      <c r="S256" s="1"/>
    </row>
    <row r="257" hidden="1" outlineLevel="1">
      <c r="A257" s="1"/>
      <c r="B257" s="3">
        <f t="shared" si="1"/>
        <v>253</v>
      </c>
      <c r="C257" s="31" t="s">
        <v>713</v>
      </c>
      <c r="D257" s="37" t="s">
        <v>497</v>
      </c>
      <c r="E257" s="1"/>
      <c r="F257" s="37"/>
      <c r="G257" s="37"/>
      <c r="H257" s="46">
        <v>46042.0</v>
      </c>
      <c r="I257" s="37" t="s">
        <v>461</v>
      </c>
      <c r="J257" s="49" t="s">
        <v>518</v>
      </c>
      <c r="K257" s="49" t="s">
        <v>571</v>
      </c>
      <c r="L257" s="37" t="s">
        <v>58</v>
      </c>
      <c r="M257" s="37"/>
      <c r="N257" s="17"/>
      <c r="O257" s="1"/>
      <c r="P257" s="15"/>
      <c r="Q257" s="15"/>
      <c r="R257" s="1"/>
      <c r="S257" s="1"/>
    </row>
    <row r="258" hidden="1" outlineLevel="1">
      <c r="A258" s="1"/>
      <c r="B258" s="3">
        <f t="shared" si="1"/>
        <v>254</v>
      </c>
      <c r="C258" s="31" t="s">
        <v>714</v>
      </c>
      <c r="D258" s="37" t="s">
        <v>121</v>
      </c>
      <c r="E258" s="1"/>
      <c r="F258" s="37"/>
      <c r="G258" s="37"/>
      <c r="H258" s="46">
        <v>46042.0</v>
      </c>
      <c r="I258" s="37" t="s">
        <v>461</v>
      </c>
      <c r="J258" s="49"/>
      <c r="K258" s="49" t="s">
        <v>715</v>
      </c>
      <c r="L258" s="37" t="s">
        <v>58</v>
      </c>
      <c r="M258" s="37"/>
      <c r="N258" s="17"/>
      <c r="O258" s="1"/>
      <c r="P258" s="15"/>
      <c r="Q258" s="15"/>
      <c r="R258" s="1"/>
      <c r="S258" s="1"/>
    </row>
    <row r="259" hidden="1" outlineLevel="1">
      <c r="A259" s="1"/>
      <c r="B259" s="3">
        <f t="shared" si="1"/>
        <v>255</v>
      </c>
      <c r="C259" s="31" t="s">
        <v>716</v>
      </c>
      <c r="D259" s="37" t="s">
        <v>159</v>
      </c>
      <c r="E259" s="1"/>
      <c r="F259" s="37"/>
      <c r="G259" s="37"/>
      <c r="H259" s="46">
        <v>46042.0</v>
      </c>
      <c r="I259" s="37" t="s">
        <v>461</v>
      </c>
      <c r="J259" s="49" t="s">
        <v>717</v>
      </c>
      <c r="K259" s="49" t="s">
        <v>557</v>
      </c>
      <c r="L259" s="37" t="s">
        <v>189</v>
      </c>
      <c r="M259" s="37"/>
      <c r="N259" s="17"/>
      <c r="O259" s="1"/>
      <c r="P259" s="15"/>
      <c r="Q259" s="67" t="s">
        <v>718</v>
      </c>
      <c r="R259" s="1"/>
      <c r="S259" s="1"/>
    </row>
    <row r="260" hidden="1" outlineLevel="1">
      <c r="A260" s="1"/>
      <c r="B260" s="3">
        <f t="shared" si="1"/>
        <v>256</v>
      </c>
      <c r="C260" s="31" t="s">
        <v>719</v>
      </c>
      <c r="D260" s="37" t="s">
        <v>49</v>
      </c>
      <c r="E260" s="1"/>
      <c r="F260" s="37"/>
      <c r="G260" s="37"/>
      <c r="H260" s="46">
        <v>46042.0</v>
      </c>
      <c r="I260" s="37" t="s">
        <v>461</v>
      </c>
      <c r="J260" s="49" t="s">
        <v>557</v>
      </c>
      <c r="K260" s="49" t="s">
        <v>557</v>
      </c>
      <c r="L260" s="37" t="s">
        <v>189</v>
      </c>
      <c r="M260" s="37"/>
      <c r="N260" s="17"/>
      <c r="O260" s="1"/>
      <c r="P260" s="15"/>
      <c r="Q260" s="15"/>
      <c r="R260" s="1"/>
      <c r="S260" s="1"/>
    </row>
    <row r="261" hidden="1" outlineLevel="1">
      <c r="A261" s="1"/>
      <c r="B261" s="3">
        <f t="shared" si="1"/>
        <v>257</v>
      </c>
      <c r="C261" s="31" t="s">
        <v>720</v>
      </c>
      <c r="D261" s="37" t="s">
        <v>218</v>
      </c>
      <c r="E261" s="1"/>
      <c r="F261" s="37"/>
      <c r="G261" s="37"/>
      <c r="H261" s="46">
        <v>46042.0</v>
      </c>
      <c r="I261" s="37" t="s">
        <v>461</v>
      </c>
      <c r="J261" s="49" t="s">
        <v>721</v>
      </c>
      <c r="K261" s="49" t="s">
        <v>722</v>
      </c>
      <c r="L261" s="37" t="s">
        <v>58</v>
      </c>
      <c r="M261" s="37"/>
      <c r="N261" s="17"/>
      <c r="O261" s="1"/>
      <c r="P261" s="15"/>
      <c r="Q261" s="15"/>
      <c r="R261" s="1"/>
      <c r="S261" s="1"/>
    </row>
    <row r="262" hidden="1" outlineLevel="1">
      <c r="A262" s="1"/>
      <c r="B262" s="3">
        <f t="shared" si="1"/>
        <v>258</v>
      </c>
      <c r="C262" s="31" t="s">
        <v>723</v>
      </c>
      <c r="D262" s="37" t="s">
        <v>159</v>
      </c>
      <c r="E262" s="1"/>
      <c r="F262" s="37"/>
      <c r="G262" s="37"/>
      <c r="H262" s="46">
        <v>46042.0</v>
      </c>
      <c r="I262" s="37" t="s">
        <v>461</v>
      </c>
      <c r="J262" s="49" t="s">
        <v>557</v>
      </c>
      <c r="K262" s="49" t="s">
        <v>515</v>
      </c>
      <c r="L262" s="37" t="s">
        <v>189</v>
      </c>
      <c r="M262" s="37"/>
      <c r="N262" s="17"/>
      <c r="O262" s="1"/>
      <c r="P262" s="15"/>
      <c r="Q262" s="67" t="s">
        <v>718</v>
      </c>
      <c r="R262" s="1"/>
      <c r="S262" s="1"/>
    </row>
    <row r="263" hidden="1" outlineLevel="1">
      <c r="A263" s="1"/>
      <c r="B263" s="3">
        <f t="shared" si="1"/>
        <v>259</v>
      </c>
      <c r="C263" s="31" t="s">
        <v>724</v>
      </c>
      <c r="D263" s="37" t="s">
        <v>159</v>
      </c>
      <c r="E263" s="1"/>
      <c r="F263" s="37"/>
      <c r="G263" s="37"/>
      <c r="H263" s="46">
        <v>46042.0</v>
      </c>
      <c r="I263" s="37" t="s">
        <v>461</v>
      </c>
      <c r="J263" s="49" t="s">
        <v>571</v>
      </c>
      <c r="K263" s="49" t="s">
        <v>515</v>
      </c>
      <c r="L263" s="37" t="s">
        <v>58</v>
      </c>
      <c r="M263" s="37"/>
      <c r="N263" s="17"/>
      <c r="O263" s="1"/>
      <c r="P263" s="15"/>
      <c r="Q263" s="67" t="s">
        <v>718</v>
      </c>
      <c r="R263" s="1"/>
      <c r="S263" s="1"/>
    </row>
    <row r="264" hidden="1" outlineLevel="1">
      <c r="A264" s="1"/>
      <c r="B264" s="3">
        <f t="shared" si="1"/>
        <v>260</v>
      </c>
      <c r="C264" s="31" t="s">
        <v>725</v>
      </c>
      <c r="D264" s="37" t="s">
        <v>103</v>
      </c>
      <c r="E264" s="1"/>
      <c r="F264" s="37"/>
      <c r="G264" s="37"/>
      <c r="H264" s="46">
        <v>46042.0</v>
      </c>
      <c r="I264" s="37" t="s">
        <v>461</v>
      </c>
      <c r="J264" s="49" t="s">
        <v>517</v>
      </c>
      <c r="K264" s="49" t="s">
        <v>571</v>
      </c>
      <c r="L264" s="37" t="s">
        <v>58</v>
      </c>
      <c r="M264" s="37"/>
      <c r="N264" s="17"/>
      <c r="O264" s="1"/>
      <c r="P264" s="15"/>
      <c r="Q264" s="15"/>
      <c r="R264" s="1"/>
      <c r="S264" s="1"/>
    </row>
    <row r="265" hidden="1" outlineLevel="1">
      <c r="A265" s="1"/>
      <c r="B265" s="3">
        <f t="shared" si="1"/>
        <v>261</v>
      </c>
      <c r="C265" s="31" t="s">
        <v>726</v>
      </c>
      <c r="D265" s="37" t="s">
        <v>556</v>
      </c>
      <c r="E265" s="1"/>
      <c r="F265" s="37"/>
      <c r="G265" s="37"/>
      <c r="H265" s="46">
        <v>46042.0</v>
      </c>
      <c r="I265" s="37" t="s">
        <v>77</v>
      </c>
      <c r="J265" s="49" t="s">
        <v>727</v>
      </c>
      <c r="K265" s="49" t="s">
        <v>728</v>
      </c>
      <c r="L265" s="37" t="s">
        <v>58</v>
      </c>
      <c r="M265" s="37"/>
      <c r="N265" s="17"/>
      <c r="O265" s="1"/>
      <c r="P265" s="15"/>
      <c r="Q265" s="15"/>
      <c r="R265" s="1"/>
      <c r="S265" s="1"/>
    </row>
    <row r="266" hidden="1" outlineLevel="1">
      <c r="A266" s="1"/>
      <c r="B266" s="3">
        <f t="shared" si="1"/>
        <v>262</v>
      </c>
      <c r="C266" s="31" t="s">
        <v>729</v>
      </c>
      <c r="D266" s="37" t="s">
        <v>556</v>
      </c>
      <c r="E266" s="1"/>
      <c r="F266" s="37"/>
      <c r="G266" s="37"/>
      <c r="H266" s="46">
        <v>46042.0</v>
      </c>
      <c r="I266" s="37" t="s">
        <v>461</v>
      </c>
      <c r="J266" s="49"/>
      <c r="K266" s="49" t="s">
        <v>648</v>
      </c>
      <c r="L266" s="37" t="s">
        <v>189</v>
      </c>
      <c r="M266" s="37"/>
      <c r="N266" s="17"/>
      <c r="O266" s="1"/>
      <c r="P266" s="15"/>
      <c r="Q266" s="67" t="s">
        <v>730</v>
      </c>
      <c r="R266" s="1"/>
      <c r="S266" s="1"/>
    </row>
    <row r="267" hidden="1" outlineLevel="1">
      <c r="A267" s="1"/>
      <c r="B267" s="3">
        <f t="shared" si="1"/>
        <v>263</v>
      </c>
      <c r="C267" s="31" t="s">
        <v>731</v>
      </c>
      <c r="D267" s="37" t="s">
        <v>218</v>
      </c>
      <c r="E267" s="1"/>
      <c r="F267" s="37"/>
      <c r="G267" s="37"/>
      <c r="H267" s="46">
        <v>46042.0</v>
      </c>
      <c r="I267" s="37" t="s">
        <v>461</v>
      </c>
      <c r="J267" s="49"/>
      <c r="K267" s="49"/>
      <c r="L267" s="37" t="s">
        <v>58</v>
      </c>
      <c r="M267" s="37"/>
      <c r="N267" s="17"/>
      <c r="O267" s="1"/>
      <c r="P267" s="15"/>
      <c r="Q267" s="15"/>
      <c r="R267" s="1"/>
      <c r="S267" s="1"/>
    </row>
    <row r="268" hidden="1" outlineLevel="1">
      <c r="A268" s="1"/>
      <c r="B268" s="3">
        <f t="shared" si="1"/>
        <v>264</v>
      </c>
      <c r="C268" s="31" t="s">
        <v>732</v>
      </c>
      <c r="D268" s="37" t="s">
        <v>116</v>
      </c>
      <c r="E268" s="1"/>
      <c r="F268" s="37"/>
      <c r="G268" s="37"/>
      <c r="H268" s="46">
        <v>46042.0</v>
      </c>
      <c r="I268" s="37" t="s">
        <v>461</v>
      </c>
      <c r="J268" s="49"/>
      <c r="K268" s="49" t="s">
        <v>540</v>
      </c>
      <c r="L268" s="37" t="s">
        <v>58</v>
      </c>
      <c r="M268" s="37"/>
      <c r="N268" s="17"/>
      <c r="O268" s="1"/>
      <c r="P268" s="15"/>
      <c r="Q268" s="15"/>
      <c r="R268" s="1"/>
      <c r="S268" s="1"/>
    </row>
    <row r="269" hidden="1" outlineLevel="1">
      <c r="A269" s="1"/>
      <c r="B269" s="3">
        <f t="shared" si="1"/>
        <v>265</v>
      </c>
      <c r="C269" s="31" t="s">
        <v>733</v>
      </c>
      <c r="D269" s="37" t="s">
        <v>112</v>
      </c>
      <c r="E269" s="1"/>
      <c r="F269" s="37"/>
      <c r="G269" s="37"/>
      <c r="H269" s="46">
        <v>46042.0</v>
      </c>
      <c r="I269" s="37" t="s">
        <v>461</v>
      </c>
      <c r="J269" s="49"/>
      <c r="K269" s="49"/>
      <c r="L269" s="37" t="s">
        <v>189</v>
      </c>
      <c r="M269" s="37"/>
      <c r="N269" s="17"/>
      <c r="O269" s="1"/>
      <c r="P269" s="15"/>
      <c r="Q269" s="15"/>
      <c r="R269" s="1"/>
      <c r="S269" s="1"/>
    </row>
    <row r="270" hidden="1" outlineLevel="1">
      <c r="A270" s="1"/>
      <c r="B270" s="3">
        <f t="shared" si="1"/>
        <v>266</v>
      </c>
      <c r="C270" s="31" t="s">
        <v>734</v>
      </c>
      <c r="D270" s="37" t="s">
        <v>218</v>
      </c>
      <c r="E270" s="1"/>
      <c r="F270" s="1"/>
      <c r="G270" s="37"/>
      <c r="H270" s="46">
        <v>46042.0</v>
      </c>
      <c r="I270" s="37" t="s">
        <v>77</v>
      </c>
      <c r="J270" s="49" t="s">
        <v>533</v>
      </c>
      <c r="K270" s="49" t="s">
        <v>660</v>
      </c>
      <c r="L270" s="37" t="s">
        <v>189</v>
      </c>
      <c r="M270" s="37"/>
      <c r="N270" s="17"/>
      <c r="O270" s="1"/>
      <c r="P270" s="15"/>
      <c r="Q270" s="67" t="s">
        <v>735</v>
      </c>
      <c r="R270" s="1"/>
      <c r="S270" s="1"/>
    </row>
    <row r="271" hidden="1" outlineLevel="1">
      <c r="A271" s="1"/>
      <c r="B271" s="3">
        <f t="shared" si="1"/>
        <v>267</v>
      </c>
      <c r="C271" s="31" t="s">
        <v>736</v>
      </c>
      <c r="D271" s="37" t="s">
        <v>56</v>
      </c>
      <c r="E271" s="1"/>
      <c r="F271" s="1"/>
      <c r="G271" s="37"/>
      <c r="H271" s="46">
        <v>46042.0</v>
      </c>
      <c r="I271" s="37" t="s">
        <v>77</v>
      </c>
      <c r="J271" s="49"/>
      <c r="K271" s="49"/>
      <c r="L271" s="37" t="s">
        <v>58</v>
      </c>
      <c r="M271" s="37" t="s">
        <v>45</v>
      </c>
      <c r="N271" s="17"/>
      <c r="O271" s="1"/>
      <c r="P271" s="15"/>
      <c r="Q271" s="15"/>
      <c r="R271" s="1"/>
      <c r="S271" s="1"/>
    </row>
    <row r="272" hidden="1" outlineLevel="1">
      <c r="A272" s="1"/>
      <c r="B272" s="3">
        <f t="shared" si="1"/>
        <v>268</v>
      </c>
      <c r="C272" s="31" t="s">
        <v>737</v>
      </c>
      <c r="D272" s="37" t="s">
        <v>49</v>
      </c>
      <c r="E272" s="1"/>
      <c r="F272" s="1"/>
      <c r="G272" s="37"/>
      <c r="H272" s="46">
        <v>46042.0</v>
      </c>
      <c r="I272" s="37" t="s">
        <v>77</v>
      </c>
      <c r="J272" s="49"/>
      <c r="K272" s="49"/>
      <c r="L272" s="37" t="s">
        <v>58</v>
      </c>
      <c r="M272" s="37" t="s">
        <v>45</v>
      </c>
      <c r="N272" s="17"/>
      <c r="O272" s="1"/>
      <c r="P272" s="15"/>
      <c r="Q272" s="15"/>
      <c r="R272" s="1"/>
      <c r="S272" s="1"/>
    </row>
    <row r="273" hidden="1" outlineLevel="1">
      <c r="A273" s="1"/>
      <c r="B273" s="3">
        <f t="shared" si="1"/>
        <v>269</v>
      </c>
      <c r="C273" s="31" t="s">
        <v>738</v>
      </c>
      <c r="D273" s="37" t="s">
        <v>49</v>
      </c>
      <c r="E273" s="1"/>
      <c r="F273" s="1"/>
      <c r="G273" s="37"/>
      <c r="H273" s="46">
        <v>46042.0</v>
      </c>
      <c r="I273" s="37"/>
      <c r="J273" s="49"/>
      <c r="K273" s="49"/>
      <c r="L273" s="37" t="s">
        <v>26</v>
      </c>
      <c r="M273" s="37"/>
      <c r="N273" s="17"/>
      <c r="O273" s="1"/>
      <c r="P273" s="15"/>
      <c r="Q273" s="15"/>
      <c r="R273" s="1"/>
      <c r="S273" s="1"/>
    </row>
    <row r="274" hidden="1" outlineLevel="1">
      <c r="A274" s="1"/>
      <c r="B274" s="3">
        <f t="shared" si="1"/>
        <v>270</v>
      </c>
      <c r="C274" s="31" t="s">
        <v>739</v>
      </c>
      <c r="D274" s="37" t="s">
        <v>49</v>
      </c>
      <c r="E274" s="1"/>
      <c r="F274" s="37"/>
      <c r="G274" s="37"/>
      <c r="H274" s="46">
        <v>46042.0</v>
      </c>
      <c r="I274" s="37" t="s">
        <v>461</v>
      </c>
      <c r="J274" s="49" t="s">
        <v>605</v>
      </c>
      <c r="K274" s="49" t="s">
        <v>533</v>
      </c>
      <c r="L274" s="37" t="s">
        <v>58</v>
      </c>
      <c r="M274" s="37" t="s">
        <v>78</v>
      </c>
      <c r="N274" s="17"/>
      <c r="O274" s="1"/>
      <c r="P274" s="15"/>
      <c r="Q274" s="15"/>
      <c r="R274" s="1"/>
      <c r="S274" s="1"/>
    </row>
    <row r="275" hidden="1" outlineLevel="1">
      <c r="A275" s="1"/>
      <c r="B275" s="3">
        <f t="shared" si="1"/>
        <v>271</v>
      </c>
      <c r="C275" s="31" t="s">
        <v>740</v>
      </c>
      <c r="D275" s="37" t="s">
        <v>83</v>
      </c>
      <c r="E275" s="1"/>
      <c r="F275" s="1"/>
      <c r="G275" s="37"/>
      <c r="H275" s="46">
        <v>46042.0</v>
      </c>
      <c r="I275" s="37"/>
      <c r="J275" s="49"/>
      <c r="K275" s="49"/>
      <c r="L275" s="37" t="s">
        <v>26</v>
      </c>
      <c r="M275" s="37"/>
      <c r="N275" s="17"/>
      <c r="O275" s="1"/>
      <c r="P275" s="15"/>
      <c r="Q275" s="15"/>
      <c r="R275" s="1"/>
      <c r="S275" s="1"/>
    </row>
    <row r="276" hidden="1" outlineLevel="1">
      <c r="A276" s="1"/>
      <c r="B276" s="3">
        <f t="shared" si="1"/>
        <v>272</v>
      </c>
      <c r="C276" s="31" t="s">
        <v>741</v>
      </c>
      <c r="D276" s="37" t="s">
        <v>218</v>
      </c>
      <c r="E276" s="1"/>
      <c r="F276" s="1"/>
      <c r="G276" s="37"/>
      <c r="H276" s="46">
        <v>46042.0</v>
      </c>
      <c r="I276" s="37"/>
      <c r="J276" s="49"/>
      <c r="K276" s="49"/>
      <c r="L276" s="37" t="s">
        <v>26</v>
      </c>
      <c r="M276" s="37"/>
      <c r="N276" s="17"/>
      <c r="O276" s="1"/>
      <c r="P276" s="15"/>
      <c r="Q276" s="15"/>
      <c r="R276" s="1"/>
      <c r="S276" s="1"/>
    </row>
    <row r="277" hidden="1" outlineLevel="1">
      <c r="A277" s="1"/>
      <c r="B277" s="3">
        <f t="shared" si="1"/>
        <v>273</v>
      </c>
      <c r="C277" s="31" t="s">
        <v>742</v>
      </c>
      <c r="D277" s="37" t="s">
        <v>44</v>
      </c>
      <c r="E277" s="1"/>
      <c r="F277" s="1"/>
      <c r="G277" s="37"/>
      <c r="H277" s="46">
        <v>46042.0</v>
      </c>
      <c r="I277" s="37"/>
      <c r="J277" s="49"/>
      <c r="K277" s="49"/>
      <c r="L277" s="37" t="s">
        <v>26</v>
      </c>
      <c r="M277" s="37"/>
      <c r="N277" s="17"/>
      <c r="O277" s="1"/>
      <c r="P277" s="15"/>
      <c r="Q277" s="15"/>
      <c r="R277" s="1"/>
      <c r="S277" s="1"/>
    </row>
    <row r="278" hidden="1" outlineLevel="1">
      <c r="A278" s="1"/>
      <c r="B278" s="3">
        <f t="shared" si="1"/>
        <v>274</v>
      </c>
      <c r="C278" s="31" t="s">
        <v>743</v>
      </c>
      <c r="D278" s="37" t="s">
        <v>513</v>
      </c>
      <c r="E278" s="1"/>
      <c r="F278" s="37"/>
      <c r="G278" s="37"/>
      <c r="H278" s="46">
        <v>46042.0</v>
      </c>
      <c r="I278" s="37" t="s">
        <v>461</v>
      </c>
      <c r="J278" s="49"/>
      <c r="K278" s="49"/>
      <c r="L278" s="94"/>
      <c r="M278" s="37"/>
      <c r="N278" s="17"/>
      <c r="O278" s="1"/>
      <c r="P278" s="15"/>
      <c r="Q278" s="15"/>
      <c r="R278" s="1"/>
      <c r="S278" s="1"/>
    </row>
    <row r="279" hidden="1" outlineLevel="1">
      <c r="A279" s="1"/>
      <c r="B279" s="3">
        <f t="shared" si="1"/>
        <v>275</v>
      </c>
      <c r="C279" s="31" t="s">
        <v>744</v>
      </c>
      <c r="D279" s="37" t="s">
        <v>513</v>
      </c>
      <c r="E279" s="1"/>
      <c r="F279" s="37"/>
      <c r="G279" s="37"/>
      <c r="H279" s="46">
        <v>46042.0</v>
      </c>
      <c r="I279" s="37" t="s">
        <v>461</v>
      </c>
      <c r="J279" s="49"/>
      <c r="K279" s="49"/>
      <c r="L279" s="94"/>
      <c r="M279" s="37"/>
      <c r="N279" s="17"/>
      <c r="O279" s="1"/>
      <c r="P279" s="15"/>
      <c r="Q279" s="15"/>
      <c r="R279" s="1"/>
      <c r="S279" s="1"/>
    </row>
    <row r="280" hidden="1" outlineLevel="1">
      <c r="A280" s="1"/>
      <c r="B280" s="3">
        <f t="shared" si="1"/>
        <v>276</v>
      </c>
      <c r="C280" s="31" t="s">
        <v>745</v>
      </c>
      <c r="D280" s="37" t="s">
        <v>668</v>
      </c>
      <c r="E280" s="1"/>
      <c r="F280" s="37"/>
      <c r="G280" s="37"/>
      <c r="H280" s="46">
        <v>46042.0</v>
      </c>
      <c r="I280" s="37" t="s">
        <v>461</v>
      </c>
      <c r="J280" s="49"/>
      <c r="K280" s="49"/>
      <c r="L280" s="94"/>
      <c r="M280" s="37"/>
      <c r="N280" s="17"/>
      <c r="O280" s="1"/>
      <c r="P280" s="15"/>
      <c r="Q280" s="15"/>
      <c r="R280" s="1"/>
      <c r="S280" s="1"/>
    </row>
    <row r="281" hidden="1" outlineLevel="1">
      <c r="A281" s="1"/>
      <c r="B281" s="3">
        <f t="shared" si="1"/>
        <v>277</v>
      </c>
      <c r="C281" s="31" t="s">
        <v>746</v>
      </c>
      <c r="D281" s="37" t="s">
        <v>44</v>
      </c>
      <c r="E281" s="1"/>
      <c r="F281" s="37"/>
      <c r="G281" s="37"/>
      <c r="H281" s="46">
        <v>46043.0</v>
      </c>
      <c r="I281" s="37" t="s">
        <v>461</v>
      </c>
      <c r="J281" s="49"/>
      <c r="K281" s="49"/>
      <c r="L281" s="37" t="s">
        <v>58</v>
      </c>
      <c r="M281" s="37"/>
      <c r="N281" s="17"/>
      <c r="O281" s="1"/>
      <c r="P281" s="15"/>
      <c r="Q281" s="15"/>
      <c r="R281" s="1"/>
      <c r="S281" s="1"/>
    </row>
    <row r="282" hidden="1" outlineLevel="1">
      <c r="A282" s="1"/>
      <c r="B282" s="3">
        <f t="shared" si="1"/>
        <v>278</v>
      </c>
      <c r="C282" s="31" t="s">
        <v>747</v>
      </c>
      <c r="D282" s="37" t="s">
        <v>497</v>
      </c>
      <c r="E282" s="1"/>
      <c r="F282" s="37"/>
      <c r="G282" s="37"/>
      <c r="H282" s="46">
        <v>46043.0</v>
      </c>
      <c r="I282" s="37" t="s">
        <v>461</v>
      </c>
      <c r="J282" s="49"/>
      <c r="K282" s="49" t="s">
        <v>621</v>
      </c>
      <c r="L282" s="37" t="s">
        <v>189</v>
      </c>
      <c r="M282" s="37"/>
      <c r="N282" s="17"/>
      <c r="O282" s="1"/>
      <c r="P282" s="15"/>
      <c r="Q282" s="15"/>
      <c r="R282" s="1"/>
      <c r="S282" s="1"/>
    </row>
    <row r="283" hidden="1" outlineLevel="1">
      <c r="A283" s="1"/>
      <c r="B283" s="3">
        <f t="shared" si="1"/>
        <v>279</v>
      </c>
      <c r="C283" s="31" t="s">
        <v>748</v>
      </c>
      <c r="D283" s="37" t="s">
        <v>497</v>
      </c>
      <c r="E283" s="1"/>
      <c r="F283" s="37"/>
      <c r="G283" s="37"/>
      <c r="H283" s="46">
        <v>46043.0</v>
      </c>
      <c r="I283" s="37" t="s">
        <v>461</v>
      </c>
      <c r="J283" s="49"/>
      <c r="K283" s="49" t="s">
        <v>749</v>
      </c>
      <c r="L283" s="37" t="s">
        <v>189</v>
      </c>
      <c r="M283" s="37"/>
      <c r="N283" s="17"/>
      <c r="O283" s="1"/>
      <c r="P283" s="15"/>
      <c r="Q283" s="67" t="s">
        <v>750</v>
      </c>
      <c r="R283" s="1"/>
      <c r="S283" s="1"/>
    </row>
    <row r="284" hidden="1" outlineLevel="1">
      <c r="A284" s="1"/>
      <c r="B284" s="3">
        <f t="shared" si="1"/>
        <v>280</v>
      </c>
      <c r="C284" s="31" t="s">
        <v>751</v>
      </c>
      <c r="D284" s="37" t="s">
        <v>218</v>
      </c>
      <c r="E284" s="1"/>
      <c r="F284" s="37"/>
      <c r="G284" s="37"/>
      <c r="H284" s="46">
        <v>46043.0</v>
      </c>
      <c r="I284" s="37" t="s">
        <v>461</v>
      </c>
      <c r="J284" s="49"/>
      <c r="K284" s="49" t="s">
        <v>749</v>
      </c>
      <c r="L284" s="37" t="s">
        <v>189</v>
      </c>
      <c r="M284" s="37"/>
      <c r="N284" s="17"/>
      <c r="O284" s="1"/>
      <c r="P284" s="15"/>
      <c r="Q284" s="15"/>
      <c r="R284" s="1"/>
      <c r="S284" s="1"/>
    </row>
    <row r="285" hidden="1" outlineLevel="1">
      <c r="A285" s="1"/>
      <c r="B285" s="3">
        <f t="shared" si="1"/>
        <v>281</v>
      </c>
      <c r="C285" s="31" t="s">
        <v>752</v>
      </c>
      <c r="D285" s="37" t="s">
        <v>83</v>
      </c>
      <c r="E285" s="1"/>
      <c r="F285" s="37"/>
      <c r="G285" s="37"/>
      <c r="H285" s="46">
        <v>46043.0</v>
      </c>
      <c r="I285" s="37" t="s">
        <v>461</v>
      </c>
      <c r="J285" s="49"/>
      <c r="K285" s="49" t="s">
        <v>657</v>
      </c>
      <c r="L285" s="37" t="s">
        <v>58</v>
      </c>
      <c r="M285" s="37"/>
      <c r="N285" s="17"/>
      <c r="O285" s="1"/>
      <c r="P285" s="15"/>
      <c r="Q285" s="15"/>
      <c r="R285" s="1"/>
      <c r="S285" s="1"/>
    </row>
    <row r="286" hidden="1" outlineLevel="1">
      <c r="A286" s="1"/>
      <c r="B286" s="3">
        <f t="shared" si="1"/>
        <v>282</v>
      </c>
      <c r="C286" s="31" t="s">
        <v>753</v>
      </c>
      <c r="D286" s="37" t="s">
        <v>44</v>
      </c>
      <c r="E286" s="1"/>
      <c r="F286" s="37"/>
      <c r="G286" s="37"/>
      <c r="H286" s="46">
        <v>46043.0</v>
      </c>
      <c r="I286" s="37" t="s">
        <v>461</v>
      </c>
      <c r="J286" s="49"/>
      <c r="K286" s="49" t="s">
        <v>518</v>
      </c>
      <c r="L286" s="37" t="s">
        <v>58</v>
      </c>
      <c r="M286" s="37" t="s">
        <v>78</v>
      </c>
      <c r="N286" s="17"/>
      <c r="O286" s="1"/>
      <c r="P286" s="15"/>
      <c r="Q286" s="15"/>
      <c r="R286" s="1"/>
      <c r="S286" s="1"/>
    </row>
    <row r="287" hidden="1" outlineLevel="1">
      <c r="A287" s="1"/>
      <c r="B287" s="3">
        <f t="shared" si="1"/>
        <v>283</v>
      </c>
      <c r="C287" s="31" t="s">
        <v>754</v>
      </c>
      <c r="D287" s="37"/>
      <c r="E287" s="1"/>
      <c r="F287" s="1"/>
      <c r="G287" s="37"/>
      <c r="H287" s="46"/>
      <c r="I287" s="37"/>
      <c r="J287" s="49"/>
      <c r="K287" s="49"/>
      <c r="L287" s="94"/>
      <c r="M287" s="37"/>
      <c r="N287" s="17"/>
      <c r="O287" s="1"/>
      <c r="P287" s="15"/>
      <c r="Q287" s="15"/>
      <c r="R287" s="1"/>
      <c r="S287" s="1"/>
    </row>
    <row r="288" hidden="1" outlineLevel="1">
      <c r="A288" s="1"/>
      <c r="B288" s="3">
        <f t="shared" si="1"/>
        <v>284</v>
      </c>
      <c r="C288" s="31" t="s">
        <v>755</v>
      </c>
      <c r="D288" s="37" t="s">
        <v>112</v>
      </c>
      <c r="E288" s="1"/>
      <c r="F288" s="37"/>
      <c r="G288" s="37"/>
      <c r="H288" s="46">
        <v>46049.0</v>
      </c>
      <c r="I288" s="37" t="s">
        <v>461</v>
      </c>
      <c r="J288" s="49" t="s">
        <v>756</v>
      </c>
      <c r="K288" s="49" t="s">
        <v>533</v>
      </c>
      <c r="L288" s="37" t="s">
        <v>189</v>
      </c>
      <c r="M288" s="37"/>
      <c r="N288" s="17"/>
      <c r="O288" s="1"/>
      <c r="P288" s="15"/>
      <c r="Q288" s="15"/>
      <c r="R288" s="1"/>
      <c r="S288" s="1"/>
    </row>
    <row r="289" hidden="1" outlineLevel="1">
      <c r="A289" s="1"/>
      <c r="B289" s="3">
        <f t="shared" si="1"/>
        <v>285</v>
      </c>
      <c r="C289" s="31" t="s">
        <v>757</v>
      </c>
      <c r="D289" s="37" t="s">
        <v>668</v>
      </c>
      <c r="E289" s="1"/>
      <c r="F289" s="37"/>
      <c r="G289" s="37"/>
      <c r="H289" s="46">
        <v>46049.0</v>
      </c>
      <c r="I289" s="37" t="s">
        <v>461</v>
      </c>
      <c r="J289" s="49" t="s">
        <v>758</v>
      </c>
      <c r="K289" s="49" t="s">
        <v>759</v>
      </c>
      <c r="L289" s="37" t="s">
        <v>189</v>
      </c>
      <c r="M289" s="37"/>
      <c r="N289" s="17"/>
      <c r="O289" s="1"/>
      <c r="P289" s="15"/>
      <c r="Q289" s="67" t="s">
        <v>760</v>
      </c>
      <c r="R289" s="1"/>
      <c r="S289" s="1"/>
    </row>
    <row r="290" hidden="1" outlineLevel="1">
      <c r="A290" s="1"/>
      <c r="B290" s="3">
        <f t="shared" si="1"/>
        <v>286</v>
      </c>
      <c r="C290" s="31" t="s">
        <v>761</v>
      </c>
      <c r="D290" s="37" t="s">
        <v>112</v>
      </c>
      <c r="E290" s="1"/>
      <c r="F290" s="1"/>
      <c r="G290" s="37"/>
      <c r="H290" s="46">
        <v>46049.0</v>
      </c>
      <c r="I290" s="37"/>
      <c r="J290" s="49"/>
      <c r="K290" s="49"/>
      <c r="L290" s="37" t="s">
        <v>26</v>
      </c>
      <c r="M290" s="37"/>
      <c r="N290" s="17"/>
      <c r="O290" s="1"/>
      <c r="P290" s="15"/>
      <c r="Q290" s="15"/>
      <c r="R290" s="1"/>
      <c r="S290" s="1"/>
    </row>
    <row r="291" hidden="1" outlineLevel="1">
      <c r="A291" s="1"/>
      <c r="B291" s="3">
        <f t="shared" si="1"/>
        <v>287</v>
      </c>
      <c r="C291" s="31" t="s">
        <v>762</v>
      </c>
      <c r="D291" s="37" t="s">
        <v>44</v>
      </c>
      <c r="E291" s="1"/>
      <c r="F291" s="37"/>
      <c r="G291" s="37"/>
      <c r="H291" s="46">
        <v>46049.0</v>
      </c>
      <c r="I291" s="37" t="s">
        <v>461</v>
      </c>
      <c r="J291" s="49" t="s">
        <v>533</v>
      </c>
      <c r="K291" s="49" t="s">
        <v>763</v>
      </c>
      <c r="L291" s="37" t="s">
        <v>58</v>
      </c>
      <c r="M291" s="37"/>
      <c r="N291" s="17"/>
      <c r="O291" s="1"/>
      <c r="P291" s="15"/>
      <c r="Q291" s="15"/>
      <c r="R291" s="1"/>
      <c r="S291" s="1"/>
    </row>
    <row r="292" hidden="1" outlineLevel="1">
      <c r="A292" s="1"/>
      <c r="B292" s="3">
        <f t="shared" si="1"/>
        <v>288</v>
      </c>
      <c r="C292" s="31" t="s">
        <v>764</v>
      </c>
      <c r="D292" s="37" t="s">
        <v>116</v>
      </c>
      <c r="E292" s="1"/>
      <c r="F292" s="37"/>
      <c r="G292" s="37"/>
      <c r="H292" s="46">
        <v>46049.0</v>
      </c>
      <c r="I292" s="37" t="s">
        <v>461</v>
      </c>
      <c r="J292" s="49" t="s">
        <v>765</v>
      </c>
      <c r="K292" s="49"/>
      <c r="L292" s="37" t="s">
        <v>58</v>
      </c>
      <c r="M292" s="37" t="s">
        <v>57</v>
      </c>
      <c r="N292" s="17"/>
      <c r="O292" s="1"/>
      <c r="P292" s="15"/>
      <c r="Q292" s="15"/>
      <c r="R292" s="1"/>
      <c r="S292" s="1"/>
    </row>
    <row r="293" hidden="1" outlineLevel="1">
      <c r="A293" s="1"/>
      <c r="B293" s="3">
        <f t="shared" si="1"/>
        <v>289</v>
      </c>
      <c r="C293" s="31" t="s">
        <v>766</v>
      </c>
      <c r="D293" s="37" t="s">
        <v>83</v>
      </c>
      <c r="E293" s="1"/>
      <c r="F293" s="37"/>
      <c r="G293" s="37"/>
      <c r="H293" s="46">
        <v>46049.0</v>
      </c>
      <c r="I293" s="37" t="s">
        <v>461</v>
      </c>
      <c r="J293" s="49" t="s">
        <v>557</v>
      </c>
      <c r="K293" s="49" t="s">
        <v>657</v>
      </c>
      <c r="L293" s="37" t="s">
        <v>58</v>
      </c>
      <c r="M293" s="37"/>
      <c r="N293" s="17"/>
      <c r="O293" s="1"/>
      <c r="P293" s="15"/>
      <c r="Q293" s="15"/>
      <c r="R293" s="1"/>
      <c r="S293" s="1"/>
    </row>
    <row r="294" hidden="1" outlineLevel="1">
      <c r="A294" s="1"/>
      <c r="B294" s="3">
        <f t="shared" si="1"/>
        <v>290</v>
      </c>
      <c r="C294" s="31" t="s">
        <v>767</v>
      </c>
      <c r="D294" s="37" t="s">
        <v>38</v>
      </c>
      <c r="E294" s="1"/>
      <c r="F294" s="37"/>
      <c r="G294" s="37"/>
      <c r="H294" s="46">
        <v>46049.0</v>
      </c>
      <c r="I294" s="37" t="s">
        <v>461</v>
      </c>
      <c r="J294" s="49" t="s">
        <v>768</v>
      </c>
      <c r="K294" s="49" t="s">
        <v>769</v>
      </c>
      <c r="L294" s="37" t="s">
        <v>58</v>
      </c>
      <c r="M294" s="37" t="s">
        <v>57</v>
      </c>
      <c r="N294" s="17"/>
      <c r="O294" s="1"/>
      <c r="P294" s="15"/>
      <c r="Q294" s="15"/>
      <c r="R294" s="1"/>
      <c r="S294" s="1"/>
    </row>
    <row r="295" hidden="1" outlineLevel="1">
      <c r="A295" s="1"/>
      <c r="B295" s="3">
        <f t="shared" si="1"/>
        <v>291</v>
      </c>
      <c r="C295" s="31" t="s">
        <v>770</v>
      </c>
      <c r="D295" s="37" t="s">
        <v>96</v>
      </c>
      <c r="E295" s="1"/>
      <c r="F295" s="37"/>
      <c r="G295" s="37"/>
      <c r="H295" s="46">
        <v>46049.0</v>
      </c>
      <c r="I295" s="37" t="s">
        <v>461</v>
      </c>
      <c r="J295" s="49" t="s">
        <v>644</v>
      </c>
      <c r="K295" s="49" t="s">
        <v>533</v>
      </c>
      <c r="L295" s="37" t="s">
        <v>189</v>
      </c>
      <c r="M295" s="37" t="s">
        <v>45</v>
      </c>
      <c r="N295" s="17"/>
      <c r="O295" s="1"/>
      <c r="P295" s="15"/>
      <c r="Q295" s="15"/>
      <c r="R295" s="1"/>
      <c r="S295" s="1"/>
    </row>
    <row r="296" hidden="1" outlineLevel="1">
      <c r="A296" s="1"/>
      <c r="B296" s="3">
        <f t="shared" si="1"/>
        <v>292</v>
      </c>
      <c r="C296" s="31" t="s">
        <v>771</v>
      </c>
      <c r="D296" s="37" t="s">
        <v>44</v>
      </c>
      <c r="E296" s="1"/>
      <c r="F296" s="37"/>
      <c r="G296" s="37"/>
      <c r="H296" s="46">
        <v>46049.0</v>
      </c>
      <c r="I296" s="37" t="s">
        <v>461</v>
      </c>
      <c r="J296" s="49" t="s">
        <v>768</v>
      </c>
      <c r="K296" s="49" t="s">
        <v>518</v>
      </c>
      <c r="L296" s="37" t="s">
        <v>189</v>
      </c>
      <c r="M296" s="37" t="s">
        <v>45</v>
      </c>
      <c r="N296" s="17"/>
      <c r="O296" s="1"/>
      <c r="P296" s="15"/>
      <c r="Q296" s="67" t="s">
        <v>772</v>
      </c>
      <c r="R296" s="1"/>
      <c r="S296" s="1"/>
    </row>
    <row r="297" hidden="1" outlineLevel="1">
      <c r="A297" s="1"/>
      <c r="B297" s="3">
        <f t="shared" si="1"/>
        <v>293</v>
      </c>
      <c r="C297" s="31" t="s">
        <v>773</v>
      </c>
      <c r="D297" s="37" t="s">
        <v>38</v>
      </c>
      <c r="E297" s="1"/>
      <c r="F297" s="37"/>
      <c r="G297" s="37"/>
      <c r="H297" s="46">
        <v>46049.0</v>
      </c>
      <c r="I297" s="37" t="s">
        <v>461</v>
      </c>
      <c r="J297" s="49" t="s">
        <v>571</v>
      </c>
      <c r="K297" s="49" t="s">
        <v>657</v>
      </c>
      <c r="L297" s="37" t="s">
        <v>58</v>
      </c>
      <c r="M297" s="37"/>
      <c r="N297" s="17"/>
      <c r="O297" s="1"/>
      <c r="P297" s="15"/>
      <c r="Q297" s="15"/>
      <c r="R297" s="1"/>
      <c r="S297" s="1"/>
    </row>
    <row r="298" hidden="1" outlineLevel="1">
      <c r="A298" s="1"/>
      <c r="B298" s="3">
        <f t="shared" si="1"/>
        <v>294</v>
      </c>
      <c r="C298" s="31" t="s">
        <v>774</v>
      </c>
      <c r="D298" s="37" t="s">
        <v>38</v>
      </c>
      <c r="E298" s="1"/>
      <c r="F298" s="37"/>
      <c r="G298" s="37"/>
      <c r="H298" s="46">
        <v>46049.0</v>
      </c>
      <c r="I298" s="37" t="s">
        <v>461</v>
      </c>
      <c r="J298" s="49"/>
      <c r="K298" s="49"/>
      <c r="L298" s="37" t="s">
        <v>189</v>
      </c>
      <c r="M298" s="37"/>
      <c r="N298" s="17"/>
      <c r="O298" s="1"/>
      <c r="P298" s="15"/>
      <c r="Q298" s="67" t="s">
        <v>775</v>
      </c>
      <c r="R298" s="1"/>
      <c r="S298" s="1"/>
    </row>
    <row r="299" hidden="1" outlineLevel="1">
      <c r="A299" s="1"/>
      <c r="B299" s="3">
        <f t="shared" si="1"/>
        <v>295</v>
      </c>
      <c r="C299" s="31" t="s">
        <v>776</v>
      </c>
      <c r="D299" s="37" t="s">
        <v>49</v>
      </c>
      <c r="E299" s="1"/>
      <c r="F299" s="37"/>
      <c r="G299" s="37"/>
      <c r="H299" s="46">
        <v>46049.0</v>
      </c>
      <c r="I299" s="37" t="s">
        <v>461</v>
      </c>
      <c r="J299" s="49" t="s">
        <v>571</v>
      </c>
      <c r="K299" s="49" t="s">
        <v>657</v>
      </c>
      <c r="L299" s="37" t="s">
        <v>58</v>
      </c>
      <c r="M299" s="37" t="s">
        <v>45</v>
      </c>
      <c r="N299" s="17"/>
      <c r="O299" s="1"/>
      <c r="P299" s="15"/>
      <c r="Q299" s="15"/>
      <c r="R299" s="1"/>
      <c r="S299" s="1"/>
    </row>
    <row r="300" hidden="1" outlineLevel="1">
      <c r="A300" s="1"/>
      <c r="B300" s="3">
        <f t="shared" si="1"/>
        <v>296</v>
      </c>
      <c r="C300" s="31" t="s">
        <v>777</v>
      </c>
      <c r="D300" s="37" t="s">
        <v>668</v>
      </c>
      <c r="E300" s="1"/>
      <c r="F300" s="37"/>
      <c r="G300" s="37"/>
      <c r="H300" s="46">
        <v>46049.0</v>
      </c>
      <c r="I300" s="37" t="s">
        <v>461</v>
      </c>
      <c r="J300" s="49" t="s">
        <v>778</v>
      </c>
      <c r="K300" s="49" t="s">
        <v>594</v>
      </c>
      <c r="L300" s="37" t="s">
        <v>189</v>
      </c>
      <c r="M300" s="37"/>
      <c r="N300" s="17"/>
      <c r="O300" s="1"/>
      <c r="P300" s="15"/>
      <c r="Q300" s="67" t="s">
        <v>779</v>
      </c>
      <c r="R300" s="1"/>
      <c r="S300" s="1"/>
    </row>
    <row r="301" hidden="1" outlineLevel="1">
      <c r="A301" s="1"/>
      <c r="B301" s="3">
        <f t="shared" si="1"/>
        <v>297</v>
      </c>
      <c r="C301" s="31" t="s">
        <v>740</v>
      </c>
      <c r="D301" s="37" t="s">
        <v>83</v>
      </c>
      <c r="E301" s="1"/>
      <c r="F301" s="37"/>
      <c r="G301" s="37"/>
      <c r="H301" s="46">
        <v>46049.0</v>
      </c>
      <c r="I301" s="37" t="s">
        <v>461</v>
      </c>
      <c r="J301" s="49" t="s">
        <v>517</v>
      </c>
      <c r="K301" s="49" t="s">
        <v>765</v>
      </c>
      <c r="L301" s="37" t="s">
        <v>58</v>
      </c>
      <c r="M301" s="37"/>
      <c r="N301" s="17"/>
      <c r="O301" s="1"/>
      <c r="P301" s="15"/>
      <c r="Q301" s="15"/>
      <c r="R301" s="1"/>
      <c r="S301" s="1"/>
    </row>
    <row r="302" hidden="1" outlineLevel="1">
      <c r="A302" s="1"/>
      <c r="B302" s="3">
        <f t="shared" si="1"/>
        <v>298</v>
      </c>
      <c r="C302" s="31" t="s">
        <v>780</v>
      </c>
      <c r="D302" s="37" t="s">
        <v>116</v>
      </c>
      <c r="E302" s="1"/>
      <c r="F302" s="37"/>
      <c r="G302" s="37"/>
      <c r="H302" s="46">
        <v>46049.0</v>
      </c>
      <c r="I302" s="37" t="s">
        <v>461</v>
      </c>
      <c r="J302" s="49" t="s">
        <v>557</v>
      </c>
      <c r="K302" s="49"/>
      <c r="L302" s="37" t="s">
        <v>189</v>
      </c>
      <c r="M302" s="37"/>
      <c r="N302" s="17"/>
      <c r="O302" s="1"/>
      <c r="P302" s="15"/>
      <c r="Q302" s="67" t="s">
        <v>781</v>
      </c>
      <c r="R302" s="1"/>
      <c r="S302" s="1"/>
    </row>
    <row r="303" hidden="1" outlineLevel="1">
      <c r="A303" s="1"/>
      <c r="B303" s="3">
        <f t="shared" si="1"/>
        <v>299</v>
      </c>
      <c r="C303" s="31" t="s">
        <v>782</v>
      </c>
      <c r="D303" s="37" t="s">
        <v>83</v>
      </c>
      <c r="E303" s="1"/>
      <c r="F303" s="37"/>
      <c r="G303" s="37"/>
      <c r="H303" s="46">
        <v>46049.0</v>
      </c>
      <c r="I303" s="37" t="s">
        <v>461</v>
      </c>
      <c r="J303" s="49"/>
      <c r="K303" s="49"/>
      <c r="L303" s="37" t="s">
        <v>189</v>
      </c>
      <c r="M303" s="37"/>
      <c r="N303" s="17"/>
      <c r="O303" s="1"/>
      <c r="P303" s="15"/>
      <c r="Q303" s="67" t="s">
        <v>783</v>
      </c>
      <c r="R303" s="1"/>
      <c r="S303" s="1"/>
    </row>
    <row r="304" hidden="1" outlineLevel="1">
      <c r="A304" s="1"/>
      <c r="B304" s="3">
        <f t="shared" si="1"/>
        <v>300</v>
      </c>
      <c r="C304" s="31" t="s">
        <v>784</v>
      </c>
      <c r="D304" s="37" t="s">
        <v>96</v>
      </c>
      <c r="E304" s="1"/>
      <c r="F304" s="37"/>
      <c r="G304" s="37"/>
      <c r="H304" s="46">
        <v>46049.0</v>
      </c>
      <c r="I304" s="37" t="s">
        <v>461</v>
      </c>
      <c r="J304" s="49" t="s">
        <v>785</v>
      </c>
      <c r="K304" s="49" t="s">
        <v>557</v>
      </c>
      <c r="L304" s="37" t="s">
        <v>189</v>
      </c>
      <c r="M304" s="37"/>
      <c r="N304" s="17"/>
      <c r="O304" s="1"/>
      <c r="P304" s="15"/>
      <c r="Q304" s="67" t="s">
        <v>786</v>
      </c>
      <c r="R304" s="1"/>
      <c r="S304" s="1"/>
    </row>
    <row r="305" hidden="1" outlineLevel="1">
      <c r="A305" s="1"/>
      <c r="B305" s="3">
        <f t="shared" si="1"/>
        <v>301</v>
      </c>
      <c r="C305" s="31" t="s">
        <v>787</v>
      </c>
      <c r="D305" s="37" t="s">
        <v>83</v>
      </c>
      <c r="E305" s="1"/>
      <c r="F305" s="37"/>
      <c r="G305" s="37"/>
      <c r="H305" s="46">
        <v>46049.0</v>
      </c>
      <c r="I305" s="37" t="s">
        <v>461</v>
      </c>
      <c r="J305" s="49" t="s">
        <v>605</v>
      </c>
      <c r="K305" s="49" t="s">
        <v>763</v>
      </c>
      <c r="L305" s="37" t="s">
        <v>58</v>
      </c>
      <c r="M305" s="37" t="s">
        <v>45</v>
      </c>
      <c r="N305" s="17"/>
      <c r="O305" s="1"/>
      <c r="P305" s="15"/>
      <c r="Q305" s="15"/>
      <c r="R305" s="1"/>
      <c r="S305" s="1"/>
    </row>
    <row r="306" hidden="1" outlineLevel="1">
      <c r="A306" s="1"/>
      <c r="B306" s="3">
        <f t="shared" si="1"/>
        <v>302</v>
      </c>
      <c r="C306" s="31" t="s">
        <v>788</v>
      </c>
      <c r="D306" s="37" t="s">
        <v>44</v>
      </c>
      <c r="E306" s="37"/>
      <c r="F306" s="37"/>
      <c r="G306" s="37"/>
      <c r="H306" s="46">
        <v>46049.0</v>
      </c>
      <c r="I306" s="37" t="s">
        <v>461</v>
      </c>
      <c r="J306" s="49" t="s">
        <v>544</v>
      </c>
      <c r="K306" s="49"/>
      <c r="L306" s="37" t="s">
        <v>189</v>
      </c>
      <c r="M306" s="37"/>
      <c r="N306" s="17"/>
      <c r="O306" s="1"/>
      <c r="P306" s="67"/>
      <c r="Q306" s="67" t="s">
        <v>789</v>
      </c>
      <c r="R306" s="1"/>
      <c r="S306" s="1"/>
    </row>
    <row r="307" hidden="1" outlineLevel="1">
      <c r="A307" s="1"/>
      <c r="B307" s="3">
        <f t="shared" si="1"/>
        <v>303</v>
      </c>
      <c r="C307" s="31" t="s">
        <v>790</v>
      </c>
      <c r="D307" s="37" t="s">
        <v>83</v>
      </c>
      <c r="E307" s="1"/>
      <c r="F307" s="37"/>
      <c r="G307" s="37"/>
      <c r="H307" s="46">
        <v>46049.0</v>
      </c>
      <c r="I307" s="37" t="s">
        <v>461</v>
      </c>
      <c r="J307" s="49" t="s">
        <v>765</v>
      </c>
      <c r="K307" s="49" t="s">
        <v>791</v>
      </c>
      <c r="L307" s="37" t="s">
        <v>189</v>
      </c>
      <c r="M307" s="37"/>
      <c r="N307" s="17"/>
      <c r="O307" s="1"/>
      <c r="P307" s="15"/>
      <c r="Q307" s="67" t="s">
        <v>792</v>
      </c>
      <c r="R307" s="1"/>
      <c r="S307" s="1"/>
    </row>
    <row r="308" hidden="1" outlineLevel="1">
      <c r="A308" s="1"/>
      <c r="B308" s="3">
        <f t="shared" si="1"/>
        <v>304</v>
      </c>
      <c r="C308" s="31" t="s">
        <v>793</v>
      </c>
      <c r="D308" s="37" t="s">
        <v>116</v>
      </c>
      <c r="E308" s="1"/>
      <c r="F308" s="37"/>
      <c r="G308" s="37"/>
      <c r="H308" s="46">
        <v>46049.0</v>
      </c>
      <c r="I308" s="37" t="s">
        <v>461</v>
      </c>
      <c r="J308" s="49" t="s">
        <v>785</v>
      </c>
      <c r="K308" s="49" t="s">
        <v>571</v>
      </c>
      <c r="L308" s="37" t="s">
        <v>189</v>
      </c>
      <c r="M308" s="37"/>
      <c r="N308" s="17"/>
      <c r="O308" s="1"/>
      <c r="P308" s="15"/>
      <c r="Q308" s="67" t="s">
        <v>794</v>
      </c>
      <c r="R308" s="1"/>
      <c r="S308" s="1"/>
    </row>
    <row r="309" hidden="1" outlineLevel="1">
      <c r="A309" s="1"/>
      <c r="B309" s="3">
        <f t="shared" si="1"/>
        <v>305</v>
      </c>
      <c r="C309" s="31" t="s">
        <v>795</v>
      </c>
      <c r="D309" s="37" t="s">
        <v>49</v>
      </c>
      <c r="E309" s="1"/>
      <c r="F309" s="37"/>
      <c r="G309" s="37"/>
      <c r="H309" s="46">
        <v>46049.0</v>
      </c>
      <c r="I309" s="37" t="s">
        <v>461</v>
      </c>
      <c r="J309" s="49" t="s">
        <v>552</v>
      </c>
      <c r="K309" s="49" t="s">
        <v>533</v>
      </c>
      <c r="L309" s="37" t="s">
        <v>58</v>
      </c>
      <c r="M309" s="37"/>
      <c r="N309" s="17"/>
      <c r="O309" s="1"/>
      <c r="P309" s="15"/>
      <c r="Q309" s="15"/>
      <c r="R309" s="1"/>
      <c r="S309" s="1"/>
    </row>
    <row r="310" hidden="1" outlineLevel="1">
      <c r="A310" s="1"/>
      <c r="B310" s="3">
        <f t="shared" si="1"/>
        <v>306</v>
      </c>
      <c r="C310" s="31" t="s">
        <v>796</v>
      </c>
      <c r="D310" s="37" t="s">
        <v>96</v>
      </c>
      <c r="E310" s="1"/>
      <c r="F310" s="37"/>
      <c r="G310" s="37"/>
      <c r="H310" s="46">
        <v>46049.0</v>
      </c>
      <c r="I310" s="37" t="s">
        <v>461</v>
      </c>
      <c r="J310" s="49" t="s">
        <v>557</v>
      </c>
      <c r="K310" s="49" t="s">
        <v>557</v>
      </c>
      <c r="L310" s="37" t="s">
        <v>58</v>
      </c>
      <c r="M310" s="37"/>
      <c r="N310" s="17"/>
      <c r="O310" s="1"/>
      <c r="P310" s="15"/>
      <c r="Q310" s="15"/>
      <c r="R310" s="1"/>
      <c r="S310" s="1"/>
    </row>
    <row r="311" hidden="1" outlineLevel="1">
      <c r="A311" s="1"/>
      <c r="B311" s="3">
        <f t="shared" si="1"/>
        <v>307</v>
      </c>
      <c r="C311" s="31" t="s">
        <v>797</v>
      </c>
      <c r="D311" s="37" t="s">
        <v>56</v>
      </c>
      <c r="E311" s="1"/>
      <c r="F311" s="37"/>
      <c r="G311" s="37"/>
      <c r="H311" s="46">
        <v>46049.0</v>
      </c>
      <c r="I311" s="37" t="s">
        <v>461</v>
      </c>
      <c r="J311" s="49"/>
      <c r="K311" s="49"/>
      <c r="L311" s="37" t="s">
        <v>58</v>
      </c>
      <c r="M311" s="37"/>
      <c r="N311" s="17"/>
      <c r="O311" s="1"/>
      <c r="P311" s="15"/>
      <c r="Q311" s="15"/>
      <c r="R311" s="1"/>
      <c r="S311" s="1"/>
    </row>
    <row r="312" hidden="1" outlineLevel="1">
      <c r="A312" s="1"/>
      <c r="B312" s="3">
        <f t="shared" si="1"/>
        <v>308</v>
      </c>
      <c r="C312" s="31" t="s">
        <v>798</v>
      </c>
      <c r="D312" s="37" t="s">
        <v>218</v>
      </c>
      <c r="E312" s="1"/>
      <c r="F312" s="37"/>
      <c r="G312" s="37"/>
      <c r="H312" s="46">
        <v>46049.0</v>
      </c>
      <c r="I312" s="37" t="s">
        <v>461</v>
      </c>
      <c r="J312" s="49" t="s">
        <v>533</v>
      </c>
      <c r="K312" s="49" t="s">
        <v>533</v>
      </c>
      <c r="L312" s="37" t="s">
        <v>58</v>
      </c>
      <c r="M312" s="37"/>
      <c r="N312" s="17"/>
      <c r="O312" s="1"/>
      <c r="P312" s="15"/>
      <c r="Q312" s="15"/>
      <c r="R312" s="1"/>
      <c r="S312" s="1"/>
    </row>
    <row r="313" hidden="1" outlineLevel="1">
      <c r="A313" s="1"/>
      <c r="B313" s="3">
        <f t="shared" si="1"/>
        <v>309</v>
      </c>
      <c r="C313" s="31" t="s">
        <v>799</v>
      </c>
      <c r="D313" s="37" t="s">
        <v>218</v>
      </c>
      <c r="E313" s="1"/>
      <c r="F313" s="37"/>
      <c r="G313" s="37"/>
      <c r="H313" s="46">
        <v>46049.0</v>
      </c>
      <c r="I313" s="37" t="s">
        <v>461</v>
      </c>
      <c r="J313" s="49" t="s">
        <v>540</v>
      </c>
      <c r="K313" s="49" t="s">
        <v>515</v>
      </c>
      <c r="L313" s="37" t="s">
        <v>58</v>
      </c>
      <c r="M313" s="37"/>
      <c r="N313" s="17"/>
      <c r="O313" s="1"/>
      <c r="P313" s="15"/>
      <c r="Q313" s="15"/>
      <c r="R313" s="1"/>
      <c r="S313" s="1"/>
    </row>
    <row r="314" hidden="1" outlineLevel="1">
      <c r="A314" s="1"/>
      <c r="B314" s="3">
        <f t="shared" si="1"/>
        <v>310</v>
      </c>
      <c r="C314" s="31" t="s">
        <v>800</v>
      </c>
      <c r="D314" s="37" t="s">
        <v>556</v>
      </c>
      <c r="E314" s="1"/>
      <c r="F314" s="37"/>
      <c r="G314" s="37"/>
      <c r="H314" s="46">
        <v>46049.0</v>
      </c>
      <c r="I314" s="37" t="s">
        <v>461</v>
      </c>
      <c r="J314" s="49" t="s">
        <v>593</v>
      </c>
      <c r="K314" s="49" t="s">
        <v>593</v>
      </c>
      <c r="L314" s="37" t="s">
        <v>58</v>
      </c>
      <c r="M314" s="37"/>
      <c r="N314" s="17"/>
      <c r="O314" s="1"/>
      <c r="P314" s="15"/>
      <c r="Q314" s="15"/>
      <c r="R314" s="1"/>
      <c r="S314" s="1"/>
    </row>
    <row r="315" hidden="1" outlineLevel="1">
      <c r="A315" s="1"/>
      <c r="B315" s="3">
        <f t="shared" si="1"/>
        <v>311</v>
      </c>
      <c r="C315" s="31" t="s">
        <v>801</v>
      </c>
      <c r="D315" s="37" t="s">
        <v>556</v>
      </c>
      <c r="E315" s="1"/>
      <c r="F315" s="37"/>
      <c r="G315" s="37"/>
      <c r="H315" s="46">
        <v>46049.0</v>
      </c>
      <c r="I315" s="37" t="s">
        <v>461</v>
      </c>
      <c r="J315" s="49" t="s">
        <v>517</v>
      </c>
      <c r="K315" s="49" t="s">
        <v>571</v>
      </c>
      <c r="L315" s="37" t="s">
        <v>58</v>
      </c>
      <c r="M315" s="37"/>
      <c r="N315" s="17"/>
      <c r="O315" s="1"/>
      <c r="P315" s="15"/>
      <c r="Q315" s="15"/>
      <c r="R315" s="1"/>
      <c r="S315" s="1"/>
    </row>
    <row r="316" hidden="1" outlineLevel="1">
      <c r="A316" s="1"/>
      <c r="B316" s="3">
        <f t="shared" si="1"/>
        <v>312</v>
      </c>
      <c r="C316" s="31" t="s">
        <v>802</v>
      </c>
      <c r="D316" s="37" t="s">
        <v>44</v>
      </c>
      <c r="E316" s="1"/>
      <c r="F316" s="1"/>
      <c r="G316" s="37"/>
      <c r="H316" s="46">
        <v>46050.0</v>
      </c>
      <c r="I316" s="37"/>
      <c r="J316" s="49"/>
      <c r="K316" s="49"/>
      <c r="L316" s="37" t="s">
        <v>26</v>
      </c>
      <c r="M316" s="37"/>
      <c r="N316" s="17"/>
      <c r="O316" s="1"/>
      <c r="P316" s="15"/>
      <c r="Q316" s="15"/>
      <c r="R316" s="1"/>
      <c r="S316" s="1"/>
    </row>
    <row r="317" hidden="1" outlineLevel="1">
      <c r="A317" s="1"/>
      <c r="B317" s="3">
        <f t="shared" si="1"/>
        <v>313</v>
      </c>
      <c r="C317" s="31" t="s">
        <v>803</v>
      </c>
      <c r="D317" s="37" t="s">
        <v>96</v>
      </c>
      <c r="E317" s="1"/>
      <c r="F317" s="1"/>
      <c r="G317" s="37"/>
      <c r="H317" s="46">
        <v>46050.0</v>
      </c>
      <c r="I317" s="37"/>
      <c r="J317" s="49"/>
      <c r="K317" s="49"/>
      <c r="L317" s="37" t="s">
        <v>26</v>
      </c>
      <c r="M317" s="37"/>
      <c r="N317" s="17"/>
      <c r="O317" s="1"/>
      <c r="P317" s="15"/>
      <c r="Q317" s="15"/>
      <c r="R317" s="1"/>
      <c r="S317" s="1"/>
    </row>
    <row r="318" hidden="1" outlineLevel="1">
      <c r="A318" s="1"/>
      <c r="B318" s="3">
        <f t="shared" si="1"/>
        <v>314</v>
      </c>
      <c r="C318" s="31" t="s">
        <v>804</v>
      </c>
      <c r="D318" s="37" t="s">
        <v>96</v>
      </c>
      <c r="E318" s="1"/>
      <c r="F318" s="37"/>
      <c r="G318" s="37"/>
      <c r="H318" s="46">
        <v>46050.0</v>
      </c>
      <c r="I318" s="37" t="s">
        <v>461</v>
      </c>
      <c r="J318" s="49"/>
      <c r="K318" s="49" t="s">
        <v>672</v>
      </c>
      <c r="L318" s="37" t="s">
        <v>189</v>
      </c>
      <c r="M318" s="37"/>
      <c r="N318" s="17"/>
      <c r="O318" s="1"/>
      <c r="P318" s="15"/>
      <c r="Q318" s="67" t="s">
        <v>805</v>
      </c>
      <c r="R318" s="1"/>
      <c r="S318" s="1"/>
    </row>
    <row r="319" hidden="1" outlineLevel="1">
      <c r="A319" s="1"/>
      <c r="B319" s="3">
        <f t="shared" si="1"/>
        <v>315</v>
      </c>
      <c r="C319" s="31" t="s">
        <v>806</v>
      </c>
      <c r="D319" s="37" t="s">
        <v>96</v>
      </c>
      <c r="E319" s="1"/>
      <c r="F319" s="1"/>
      <c r="G319" s="37"/>
      <c r="H319" s="13"/>
      <c r="I319" s="37"/>
      <c r="J319" s="49"/>
      <c r="K319" s="49"/>
      <c r="L319" s="37" t="s">
        <v>26</v>
      </c>
      <c r="M319" s="37"/>
      <c r="N319" s="17"/>
      <c r="O319" s="1"/>
      <c r="P319" s="15"/>
      <c r="Q319" s="15"/>
      <c r="R319" s="1"/>
      <c r="S319" s="1"/>
    </row>
    <row r="320" hidden="1" outlineLevel="1">
      <c r="A320" s="1"/>
      <c r="B320" s="3">
        <f t="shared" si="1"/>
        <v>316</v>
      </c>
      <c r="C320" s="31" t="s">
        <v>807</v>
      </c>
      <c r="D320" s="37" t="s">
        <v>44</v>
      </c>
      <c r="E320" s="1"/>
      <c r="F320" s="37"/>
      <c r="G320" s="37"/>
      <c r="H320" s="46">
        <v>46050.0</v>
      </c>
      <c r="I320" s="37" t="s">
        <v>461</v>
      </c>
      <c r="J320" s="49" t="s">
        <v>540</v>
      </c>
      <c r="K320" s="49"/>
      <c r="L320" s="37" t="s">
        <v>58</v>
      </c>
      <c r="M320" s="37" t="s">
        <v>57</v>
      </c>
      <c r="N320" s="17"/>
      <c r="O320" s="1"/>
      <c r="P320" s="15"/>
      <c r="Q320" s="15"/>
      <c r="R320" s="1"/>
      <c r="S320" s="1"/>
    </row>
    <row r="321" hidden="1" outlineLevel="1">
      <c r="A321" s="1"/>
      <c r="B321" s="3">
        <f t="shared" si="1"/>
        <v>317</v>
      </c>
      <c r="C321" s="31" t="s">
        <v>808</v>
      </c>
      <c r="D321" s="37" t="s">
        <v>83</v>
      </c>
      <c r="E321" s="1"/>
      <c r="F321" s="1"/>
      <c r="G321" s="37"/>
      <c r="H321" s="13"/>
      <c r="I321" s="37"/>
      <c r="J321" s="49"/>
      <c r="K321" s="49"/>
      <c r="L321" s="37" t="s">
        <v>26</v>
      </c>
      <c r="M321" s="37"/>
      <c r="N321" s="17"/>
      <c r="O321" s="1"/>
      <c r="P321" s="15"/>
      <c r="Q321" s="15"/>
      <c r="R321" s="1"/>
      <c r="S321" s="1"/>
    </row>
    <row r="322" hidden="1" outlineLevel="1">
      <c r="A322" s="1"/>
      <c r="B322" s="3">
        <f t="shared" si="1"/>
        <v>318</v>
      </c>
      <c r="C322" s="31" t="s">
        <v>809</v>
      </c>
      <c r="D322" s="37" t="s">
        <v>49</v>
      </c>
      <c r="E322" s="1"/>
      <c r="F322" s="37"/>
      <c r="G322" s="37"/>
      <c r="H322" s="46">
        <v>46050.0</v>
      </c>
      <c r="I322" s="37" t="s">
        <v>461</v>
      </c>
      <c r="J322" s="49" t="s">
        <v>518</v>
      </c>
      <c r="K322" s="49" t="s">
        <v>518</v>
      </c>
      <c r="L322" s="37" t="s">
        <v>58</v>
      </c>
      <c r="M322" s="37"/>
      <c r="N322" s="17"/>
      <c r="O322" s="1"/>
      <c r="P322" s="15"/>
      <c r="Q322" s="15"/>
      <c r="R322" s="1"/>
      <c r="S322" s="1"/>
    </row>
    <row r="323" hidden="1" outlineLevel="1">
      <c r="A323" s="1"/>
      <c r="B323" s="3">
        <f t="shared" si="1"/>
        <v>319</v>
      </c>
      <c r="C323" s="31" t="s">
        <v>810</v>
      </c>
      <c r="D323" s="37" t="s">
        <v>159</v>
      </c>
      <c r="E323" s="1"/>
      <c r="F323" s="37"/>
      <c r="G323" s="37"/>
      <c r="H323" s="46">
        <v>46050.0</v>
      </c>
      <c r="I323" s="37" t="s">
        <v>461</v>
      </c>
      <c r="J323" s="49" t="s">
        <v>571</v>
      </c>
      <c r="K323" s="49" t="s">
        <v>605</v>
      </c>
      <c r="L323" s="37" t="s">
        <v>58</v>
      </c>
      <c r="M323" s="37"/>
      <c r="N323" s="17"/>
      <c r="O323" s="1"/>
      <c r="P323" s="15"/>
      <c r="Q323" s="15"/>
      <c r="R323" s="1"/>
      <c r="S323" s="1"/>
    </row>
    <row r="324" hidden="1" outlineLevel="1">
      <c r="A324" s="1"/>
      <c r="B324" s="3">
        <f t="shared" si="1"/>
        <v>320</v>
      </c>
      <c r="C324" s="31" t="s">
        <v>811</v>
      </c>
      <c r="D324" s="37" t="s">
        <v>159</v>
      </c>
      <c r="E324" s="1"/>
      <c r="F324" s="37"/>
      <c r="G324" s="37"/>
      <c r="H324" s="46">
        <v>46050.0</v>
      </c>
      <c r="I324" s="37" t="s">
        <v>461</v>
      </c>
      <c r="J324" s="49" t="s">
        <v>517</v>
      </c>
      <c r="K324" s="49" t="s">
        <v>812</v>
      </c>
      <c r="L324" s="37" t="s">
        <v>58</v>
      </c>
      <c r="M324" s="37"/>
      <c r="N324" s="17"/>
      <c r="O324" s="1"/>
      <c r="P324" s="15"/>
      <c r="Q324" s="15"/>
      <c r="R324" s="1"/>
      <c r="S324" s="1"/>
    </row>
    <row r="325" hidden="1" outlineLevel="1">
      <c r="A325" s="1"/>
      <c r="B325" s="3">
        <f t="shared" si="1"/>
        <v>321</v>
      </c>
      <c r="C325" s="31" t="s">
        <v>813</v>
      </c>
      <c r="D325" s="37" t="s">
        <v>83</v>
      </c>
      <c r="E325" s="1"/>
      <c r="F325" s="1"/>
      <c r="G325" s="37"/>
      <c r="H325" s="13"/>
      <c r="I325" s="37"/>
      <c r="J325" s="49"/>
      <c r="K325" s="49"/>
      <c r="L325" s="37" t="s">
        <v>26</v>
      </c>
      <c r="M325" s="37"/>
      <c r="N325" s="17"/>
      <c r="O325" s="1"/>
      <c r="P325" s="15"/>
      <c r="Q325" s="15"/>
      <c r="R325" s="1"/>
      <c r="S325" s="1"/>
    </row>
    <row r="326" hidden="1" outlineLevel="1">
      <c r="A326" s="1"/>
      <c r="B326" s="3">
        <f t="shared" si="1"/>
        <v>322</v>
      </c>
      <c r="C326" s="31" t="s">
        <v>814</v>
      </c>
      <c r="D326" s="37" t="s">
        <v>218</v>
      </c>
      <c r="E326" s="1"/>
      <c r="F326" s="37"/>
      <c r="G326" s="37"/>
      <c r="H326" s="46">
        <v>46050.0</v>
      </c>
      <c r="I326" s="37" t="s">
        <v>461</v>
      </c>
      <c r="J326" s="49"/>
      <c r="K326" s="49"/>
      <c r="L326" s="37" t="s">
        <v>58</v>
      </c>
      <c r="M326" s="37" t="s">
        <v>45</v>
      </c>
      <c r="N326" s="17"/>
      <c r="O326" s="1"/>
      <c r="P326" s="15"/>
      <c r="Q326" s="15"/>
      <c r="R326" s="1"/>
      <c r="S326" s="1"/>
    </row>
    <row r="327" hidden="1" outlineLevel="1">
      <c r="A327" s="1"/>
      <c r="B327" s="3">
        <f t="shared" si="1"/>
        <v>323</v>
      </c>
      <c r="C327" s="31" t="s">
        <v>815</v>
      </c>
      <c r="D327" s="37" t="s">
        <v>159</v>
      </c>
      <c r="E327" s="1"/>
      <c r="F327" s="1"/>
      <c r="G327" s="37"/>
      <c r="H327" s="13"/>
      <c r="I327" s="37"/>
      <c r="J327" s="49"/>
      <c r="K327" s="49"/>
      <c r="L327" s="37" t="s">
        <v>26</v>
      </c>
      <c r="M327" s="37"/>
      <c r="N327" s="17"/>
      <c r="O327" s="1"/>
      <c r="P327" s="15"/>
      <c r="Q327" s="15"/>
      <c r="R327" s="1"/>
      <c r="S327" s="1"/>
    </row>
    <row r="328" hidden="1" outlineLevel="1">
      <c r="A328" s="1"/>
      <c r="B328" s="3">
        <f t="shared" si="1"/>
        <v>324</v>
      </c>
      <c r="C328" s="31" t="s">
        <v>816</v>
      </c>
      <c r="D328" s="37" t="s">
        <v>38</v>
      </c>
      <c r="E328" s="1"/>
      <c r="F328" s="1"/>
      <c r="G328" s="37"/>
      <c r="H328" s="13"/>
      <c r="I328" s="37"/>
      <c r="J328" s="49"/>
      <c r="K328" s="49"/>
      <c r="L328" s="37" t="s">
        <v>26</v>
      </c>
      <c r="M328" s="37"/>
      <c r="N328" s="17"/>
      <c r="O328" s="1"/>
      <c r="P328" s="15"/>
      <c r="Q328" s="15"/>
      <c r="R328" s="1"/>
      <c r="S328" s="1"/>
    </row>
    <row r="329" hidden="1" outlineLevel="1">
      <c r="A329" s="1"/>
      <c r="B329" s="3">
        <f t="shared" si="1"/>
        <v>325</v>
      </c>
      <c r="C329" s="31" t="s">
        <v>817</v>
      </c>
      <c r="D329" s="37" t="s">
        <v>83</v>
      </c>
      <c r="E329" s="1"/>
      <c r="F329" s="1"/>
      <c r="G329" s="37"/>
      <c r="H329" s="13"/>
      <c r="I329" s="37"/>
      <c r="J329" s="49"/>
      <c r="K329" s="49"/>
      <c r="L329" s="37" t="s">
        <v>26</v>
      </c>
      <c r="M329" s="37"/>
      <c r="N329" s="17"/>
      <c r="O329" s="1"/>
      <c r="P329" s="15"/>
      <c r="Q329" s="15"/>
      <c r="R329" s="1"/>
      <c r="S329" s="1"/>
    </row>
    <row r="330" hidden="1" outlineLevel="1">
      <c r="A330" s="1"/>
      <c r="B330" s="3">
        <f t="shared" si="1"/>
        <v>326</v>
      </c>
      <c r="C330" s="31" t="s">
        <v>818</v>
      </c>
      <c r="D330" s="37" t="s">
        <v>556</v>
      </c>
      <c r="E330" s="1"/>
      <c r="F330" s="37"/>
      <c r="G330" s="37"/>
      <c r="H330" s="46">
        <v>46050.0</v>
      </c>
      <c r="I330" s="37" t="s">
        <v>461</v>
      </c>
      <c r="J330" s="49" t="s">
        <v>706</v>
      </c>
      <c r="K330" s="49" t="s">
        <v>819</v>
      </c>
      <c r="L330" s="37" t="s">
        <v>58</v>
      </c>
      <c r="M330" s="37"/>
      <c r="N330" s="17"/>
      <c r="O330" s="1"/>
      <c r="P330" s="15"/>
      <c r="Q330" s="15"/>
      <c r="R330" s="1"/>
      <c r="S330" s="1"/>
    </row>
    <row r="331" hidden="1" outlineLevel="1">
      <c r="A331" s="1"/>
      <c r="B331" s="3">
        <f t="shared" si="1"/>
        <v>327</v>
      </c>
      <c r="C331" s="31" t="s">
        <v>820</v>
      </c>
      <c r="D331" s="37" t="s">
        <v>668</v>
      </c>
      <c r="E331" s="1"/>
      <c r="F331" s="1"/>
      <c r="G331" s="37"/>
      <c r="H331" s="13"/>
      <c r="I331" s="37"/>
      <c r="J331" s="49"/>
      <c r="K331" s="49"/>
      <c r="L331" s="37" t="s">
        <v>58</v>
      </c>
      <c r="M331" s="37"/>
      <c r="N331" s="17"/>
      <c r="O331" s="1"/>
      <c r="P331" s="15"/>
      <c r="Q331" s="15"/>
      <c r="R331" s="1"/>
      <c r="S331" s="1"/>
    </row>
    <row r="332" hidden="1" outlineLevel="1">
      <c r="A332" s="1"/>
      <c r="B332" s="3">
        <f t="shared" si="1"/>
        <v>328</v>
      </c>
      <c r="C332" s="31" t="s">
        <v>821</v>
      </c>
      <c r="D332" s="37" t="s">
        <v>668</v>
      </c>
      <c r="E332" s="1"/>
      <c r="F332" s="1"/>
      <c r="G332" s="37"/>
      <c r="H332" s="13"/>
      <c r="I332" s="37"/>
      <c r="J332" s="49"/>
      <c r="K332" s="49"/>
      <c r="L332" s="37" t="s">
        <v>26</v>
      </c>
      <c r="M332" s="37"/>
      <c r="N332" s="17"/>
      <c r="O332" s="1"/>
      <c r="P332" s="15"/>
      <c r="Q332" s="15"/>
      <c r="R332" s="1"/>
      <c r="S332" s="1"/>
    </row>
    <row r="333" hidden="1" outlineLevel="1">
      <c r="A333" s="1"/>
      <c r="B333" s="3">
        <f t="shared" si="1"/>
        <v>329</v>
      </c>
      <c r="C333" s="31" t="s">
        <v>822</v>
      </c>
      <c r="D333" s="37" t="s">
        <v>83</v>
      </c>
      <c r="E333" s="1"/>
      <c r="F333" s="1"/>
      <c r="G333" s="37"/>
      <c r="H333" s="13"/>
      <c r="I333" s="37"/>
      <c r="J333" s="49"/>
      <c r="K333" s="49"/>
      <c r="L333" s="37" t="s">
        <v>26</v>
      </c>
      <c r="M333" s="37"/>
      <c r="N333" s="17"/>
      <c r="O333" s="1"/>
      <c r="P333" s="15"/>
      <c r="Q333" s="15"/>
      <c r="R333" s="1"/>
      <c r="S333" s="1"/>
    </row>
    <row r="334" hidden="1" outlineLevel="1">
      <c r="A334" s="1"/>
      <c r="B334" s="3">
        <f t="shared" si="1"/>
        <v>330</v>
      </c>
      <c r="C334" s="31" t="s">
        <v>823</v>
      </c>
      <c r="D334" s="37" t="s">
        <v>83</v>
      </c>
      <c r="E334" s="1"/>
      <c r="F334" s="37"/>
      <c r="G334" s="37"/>
      <c r="H334" s="46">
        <v>46050.0</v>
      </c>
      <c r="I334" s="37" t="s">
        <v>461</v>
      </c>
      <c r="J334" s="49" t="s">
        <v>518</v>
      </c>
      <c r="K334" s="49" t="s">
        <v>824</v>
      </c>
      <c r="L334" s="37" t="s">
        <v>58</v>
      </c>
      <c r="M334" s="37" t="s">
        <v>45</v>
      </c>
      <c r="N334" s="17"/>
      <c r="O334" s="1"/>
      <c r="P334" s="15"/>
      <c r="Q334" s="15"/>
      <c r="R334" s="1"/>
      <c r="S334" s="1"/>
    </row>
    <row r="335" hidden="1" outlineLevel="1">
      <c r="A335" s="1"/>
      <c r="B335" s="3">
        <f t="shared" si="1"/>
        <v>331</v>
      </c>
      <c r="C335" s="31" t="s">
        <v>825</v>
      </c>
      <c r="D335" s="37" t="s">
        <v>116</v>
      </c>
      <c r="E335" s="1"/>
      <c r="F335" s="37"/>
      <c r="G335" s="37"/>
      <c r="H335" s="46">
        <v>46050.0</v>
      </c>
      <c r="I335" s="37" t="s">
        <v>461</v>
      </c>
      <c r="J335" s="49" t="s">
        <v>571</v>
      </c>
      <c r="K335" s="49"/>
      <c r="L335" s="37" t="s">
        <v>58</v>
      </c>
      <c r="M335" s="37" t="s">
        <v>54</v>
      </c>
      <c r="N335" s="17"/>
      <c r="O335" s="1"/>
      <c r="P335" s="15"/>
      <c r="Q335" s="15"/>
      <c r="R335" s="1"/>
      <c r="S335" s="1"/>
    </row>
    <row r="336" hidden="1" outlineLevel="1">
      <c r="A336" s="1"/>
      <c r="B336" s="3">
        <f t="shared" si="1"/>
        <v>332</v>
      </c>
      <c r="C336" s="31" t="s">
        <v>826</v>
      </c>
      <c r="D336" s="37" t="s">
        <v>116</v>
      </c>
      <c r="E336" s="1"/>
      <c r="F336" s="1"/>
      <c r="G336" s="37"/>
      <c r="H336" s="13"/>
      <c r="I336" s="37"/>
      <c r="J336" s="49"/>
      <c r="K336" s="49"/>
      <c r="L336" s="37" t="s">
        <v>26</v>
      </c>
      <c r="M336" s="37"/>
      <c r="N336" s="17"/>
      <c r="O336" s="1"/>
      <c r="P336" s="15"/>
      <c r="Q336" s="15"/>
      <c r="R336" s="1"/>
      <c r="S336" s="1"/>
    </row>
    <row r="337" hidden="1" outlineLevel="1">
      <c r="A337" s="1"/>
      <c r="B337" s="3">
        <f t="shared" si="1"/>
        <v>333</v>
      </c>
      <c r="C337" s="31" t="s">
        <v>827</v>
      </c>
      <c r="D337" s="37" t="s">
        <v>49</v>
      </c>
      <c r="E337" s="1"/>
      <c r="F337" s="1"/>
      <c r="G337" s="37"/>
      <c r="H337" s="46">
        <v>46049.0</v>
      </c>
      <c r="I337" s="37" t="s">
        <v>461</v>
      </c>
      <c r="J337" s="49" t="s">
        <v>769</v>
      </c>
      <c r="K337" s="49" t="s">
        <v>749</v>
      </c>
      <c r="L337" s="37" t="s">
        <v>58</v>
      </c>
      <c r="M337" s="37"/>
      <c r="N337" s="17"/>
      <c r="O337" s="1"/>
      <c r="P337" s="15"/>
      <c r="Q337" s="15"/>
      <c r="R337" s="1"/>
      <c r="S337" s="1"/>
    </row>
    <row r="338" hidden="1" outlineLevel="1">
      <c r="A338" s="1"/>
      <c r="B338" s="3">
        <f t="shared" si="1"/>
        <v>334</v>
      </c>
      <c r="C338" s="31" t="s">
        <v>828</v>
      </c>
      <c r="D338" s="37" t="s">
        <v>96</v>
      </c>
      <c r="E338" s="1"/>
      <c r="F338" s="1"/>
      <c r="G338" s="37"/>
      <c r="H338" s="13"/>
      <c r="I338" s="37"/>
      <c r="J338" s="49"/>
      <c r="K338" s="49"/>
      <c r="L338" s="37" t="s">
        <v>26</v>
      </c>
      <c r="M338" s="37"/>
      <c r="N338" s="17"/>
      <c r="O338" s="1"/>
      <c r="P338" s="15"/>
      <c r="Q338" s="15"/>
      <c r="R338" s="1"/>
      <c r="S338" s="1"/>
    </row>
    <row r="339" hidden="1" outlineLevel="1">
      <c r="A339" s="1"/>
      <c r="B339" s="3">
        <f t="shared" si="1"/>
        <v>335</v>
      </c>
      <c r="C339" s="31" t="s">
        <v>829</v>
      </c>
      <c r="D339" s="37" t="s">
        <v>83</v>
      </c>
      <c r="E339" s="1"/>
      <c r="F339" s="1"/>
      <c r="G339" s="37"/>
      <c r="H339" s="46">
        <v>46050.0</v>
      </c>
      <c r="I339" s="37" t="s">
        <v>461</v>
      </c>
      <c r="J339" s="49" t="s">
        <v>830</v>
      </c>
      <c r="K339" s="49" t="s">
        <v>518</v>
      </c>
      <c r="L339" s="37" t="s">
        <v>58</v>
      </c>
      <c r="M339" s="37"/>
      <c r="N339" s="17"/>
      <c r="O339" s="1"/>
      <c r="P339" s="15"/>
      <c r="Q339" s="15"/>
      <c r="R339" s="1"/>
      <c r="S339" s="1"/>
    </row>
    <row r="340" hidden="1" outlineLevel="1">
      <c r="A340" s="1"/>
      <c r="B340" s="3">
        <f t="shared" si="1"/>
        <v>336</v>
      </c>
      <c r="C340" s="31" t="s">
        <v>831</v>
      </c>
      <c r="D340" s="37" t="s">
        <v>159</v>
      </c>
      <c r="E340" s="1"/>
      <c r="F340" s="1"/>
      <c r="G340" s="37"/>
      <c r="H340" s="46">
        <v>46050.0</v>
      </c>
      <c r="I340" s="37" t="s">
        <v>461</v>
      </c>
      <c r="J340" s="49" t="s">
        <v>605</v>
      </c>
      <c r="K340" s="49" t="s">
        <v>709</v>
      </c>
      <c r="L340" s="37" t="s">
        <v>189</v>
      </c>
      <c r="M340" s="37"/>
      <c r="N340" s="17"/>
      <c r="O340" s="1"/>
      <c r="P340" s="15"/>
      <c r="Q340" s="67" t="s">
        <v>832</v>
      </c>
      <c r="R340" s="1"/>
      <c r="S340" s="1"/>
    </row>
    <row r="341" hidden="1" outlineLevel="1">
      <c r="A341" s="1"/>
      <c r="B341" s="3">
        <f t="shared" si="1"/>
        <v>337</v>
      </c>
      <c r="C341" s="31" t="s">
        <v>833</v>
      </c>
      <c r="D341" s="37" t="s">
        <v>96</v>
      </c>
      <c r="E341" s="1"/>
      <c r="F341" s="1"/>
      <c r="G341" s="37"/>
      <c r="H341" s="46">
        <v>46050.0</v>
      </c>
      <c r="I341" s="37"/>
      <c r="J341" s="49"/>
      <c r="K341" s="49"/>
      <c r="L341" s="37" t="s">
        <v>26</v>
      </c>
      <c r="M341" s="37"/>
      <c r="N341" s="17"/>
      <c r="O341" s="1"/>
      <c r="P341" s="15"/>
      <c r="Q341" s="15"/>
      <c r="R341" s="1"/>
      <c r="S341" s="1"/>
    </row>
    <row r="342" hidden="1" outlineLevel="1">
      <c r="A342" s="1"/>
      <c r="B342" s="3">
        <f t="shared" si="1"/>
        <v>338</v>
      </c>
      <c r="C342" s="31" t="s">
        <v>834</v>
      </c>
      <c r="D342" s="37" t="s">
        <v>96</v>
      </c>
      <c r="E342" s="1"/>
      <c r="F342" s="1"/>
      <c r="G342" s="37"/>
      <c r="H342" s="46">
        <v>46050.0</v>
      </c>
      <c r="I342" s="37"/>
      <c r="J342" s="49"/>
      <c r="K342" s="49"/>
      <c r="L342" s="37" t="s">
        <v>26</v>
      </c>
      <c r="M342" s="37"/>
      <c r="N342" s="17"/>
      <c r="O342" s="1"/>
      <c r="P342" s="15"/>
      <c r="Q342" s="15"/>
      <c r="R342" s="1"/>
      <c r="S342" s="1"/>
    </row>
    <row r="343" hidden="1" outlineLevel="1">
      <c r="A343" s="1"/>
      <c r="B343" s="3">
        <f t="shared" si="1"/>
        <v>339</v>
      </c>
      <c r="C343" s="31" t="s">
        <v>835</v>
      </c>
      <c r="D343" s="37" t="s">
        <v>38</v>
      </c>
      <c r="E343" s="1"/>
      <c r="F343" s="37"/>
      <c r="G343" s="37"/>
      <c r="H343" s="46">
        <v>46050.0</v>
      </c>
      <c r="I343" s="37" t="s">
        <v>461</v>
      </c>
      <c r="J343" s="49" t="s">
        <v>518</v>
      </c>
      <c r="K343" s="49" t="s">
        <v>836</v>
      </c>
      <c r="L343" s="37" t="s">
        <v>189</v>
      </c>
      <c r="M343" s="37"/>
      <c r="N343" s="17"/>
      <c r="O343" s="1"/>
      <c r="P343" s="15"/>
      <c r="Q343" s="67" t="s">
        <v>832</v>
      </c>
      <c r="R343" s="1"/>
      <c r="S343" s="1"/>
    </row>
    <row r="344" hidden="1" outlineLevel="1">
      <c r="A344" s="1"/>
      <c r="B344" s="3">
        <f t="shared" si="1"/>
        <v>340</v>
      </c>
      <c r="C344" s="31" t="s">
        <v>837</v>
      </c>
      <c r="D344" s="37" t="s">
        <v>112</v>
      </c>
      <c r="E344" s="1"/>
      <c r="F344" s="37"/>
      <c r="G344" s="37"/>
      <c r="H344" s="46">
        <v>46050.0</v>
      </c>
      <c r="I344" s="37" t="s">
        <v>461</v>
      </c>
      <c r="J344" s="49" t="s">
        <v>515</v>
      </c>
      <c r="K344" s="49" t="s">
        <v>838</v>
      </c>
      <c r="L344" s="37" t="s">
        <v>58</v>
      </c>
      <c r="M344" s="37" t="s">
        <v>57</v>
      </c>
      <c r="N344" s="17"/>
      <c r="O344" s="1"/>
      <c r="P344" s="15"/>
      <c r="Q344" s="15"/>
      <c r="R344" s="1"/>
      <c r="S344" s="1"/>
    </row>
    <row r="345" hidden="1" outlineLevel="1">
      <c r="A345" s="1"/>
      <c r="B345" s="3">
        <f t="shared" si="1"/>
        <v>341</v>
      </c>
      <c r="C345" s="31" t="s">
        <v>839</v>
      </c>
      <c r="D345" s="37" t="s">
        <v>38</v>
      </c>
      <c r="E345" s="1"/>
      <c r="F345" s="37"/>
      <c r="G345" s="37"/>
      <c r="H345" s="46">
        <v>46050.0</v>
      </c>
      <c r="I345" s="37" t="s">
        <v>461</v>
      </c>
      <c r="J345" s="49" t="s">
        <v>533</v>
      </c>
      <c r="K345" s="49" t="s">
        <v>840</v>
      </c>
      <c r="L345" s="37" t="s">
        <v>58</v>
      </c>
      <c r="M345" s="37" t="s">
        <v>74</v>
      </c>
      <c r="N345" s="17"/>
      <c r="O345" s="1"/>
      <c r="P345" s="15"/>
      <c r="Q345" s="15"/>
      <c r="R345" s="1"/>
      <c r="S345" s="1"/>
    </row>
    <row r="346" hidden="1" outlineLevel="1">
      <c r="A346" s="1"/>
      <c r="B346" s="3">
        <f t="shared" si="1"/>
        <v>342</v>
      </c>
      <c r="C346" s="31" t="s">
        <v>841</v>
      </c>
      <c r="D346" s="37" t="s">
        <v>116</v>
      </c>
      <c r="E346" s="1"/>
      <c r="F346" s="37"/>
      <c r="G346" s="37"/>
      <c r="H346" s="46">
        <v>46050.0</v>
      </c>
      <c r="I346" s="37" t="s">
        <v>461</v>
      </c>
      <c r="J346" s="49" t="s">
        <v>529</v>
      </c>
      <c r="K346" s="49"/>
      <c r="L346" s="37" t="s">
        <v>58</v>
      </c>
      <c r="M346" s="37" t="s">
        <v>57</v>
      </c>
      <c r="N346" s="17"/>
      <c r="O346" s="1"/>
      <c r="P346" s="15"/>
      <c r="Q346" s="15"/>
      <c r="R346" s="1"/>
      <c r="S346" s="1"/>
    </row>
    <row r="347" hidden="1" outlineLevel="1">
      <c r="A347" s="1"/>
      <c r="B347" s="3">
        <f t="shared" si="1"/>
        <v>343</v>
      </c>
      <c r="C347" s="31" t="s">
        <v>842</v>
      </c>
      <c r="D347" s="37" t="s">
        <v>96</v>
      </c>
      <c r="E347" s="1"/>
      <c r="F347" s="37"/>
      <c r="G347" s="37"/>
      <c r="H347" s="46">
        <v>46050.0</v>
      </c>
      <c r="I347" s="37" t="s">
        <v>461</v>
      </c>
      <c r="J347" s="49" t="s">
        <v>843</v>
      </c>
      <c r="K347" s="49" t="s">
        <v>671</v>
      </c>
      <c r="L347" s="37" t="s">
        <v>189</v>
      </c>
      <c r="M347" s="37"/>
      <c r="N347" s="17"/>
      <c r="O347" s="1"/>
      <c r="P347" s="15"/>
      <c r="Q347" s="67" t="s">
        <v>844</v>
      </c>
      <c r="R347" s="1"/>
      <c r="S347" s="1"/>
    </row>
    <row r="348" hidden="1" outlineLevel="1">
      <c r="A348" s="1"/>
      <c r="B348" s="3">
        <f t="shared" si="1"/>
        <v>344</v>
      </c>
      <c r="C348" s="31" t="s">
        <v>845</v>
      </c>
      <c r="D348" s="37" t="s">
        <v>112</v>
      </c>
      <c r="E348" s="1"/>
      <c r="F348" s="37"/>
      <c r="G348" s="37"/>
      <c r="H348" s="46">
        <v>46050.0</v>
      </c>
      <c r="I348" s="37" t="s">
        <v>461</v>
      </c>
      <c r="J348" s="49" t="s">
        <v>517</v>
      </c>
      <c r="K348" s="49" t="s">
        <v>517</v>
      </c>
      <c r="L348" s="37" t="s">
        <v>189</v>
      </c>
      <c r="M348" s="37"/>
      <c r="N348" s="17"/>
      <c r="O348" s="1"/>
      <c r="P348" s="15"/>
      <c r="Q348" s="67" t="s">
        <v>846</v>
      </c>
      <c r="R348" s="1"/>
      <c r="S348" s="1"/>
    </row>
    <row r="349" hidden="1" outlineLevel="1">
      <c r="A349" s="1"/>
      <c r="B349" s="3">
        <f t="shared" si="1"/>
        <v>345</v>
      </c>
      <c r="C349" s="31" t="s">
        <v>847</v>
      </c>
      <c r="D349" s="37" t="s">
        <v>56</v>
      </c>
      <c r="E349" s="1"/>
      <c r="F349" s="37"/>
      <c r="G349" s="37"/>
      <c r="H349" s="46">
        <v>46050.0</v>
      </c>
      <c r="I349" s="37" t="s">
        <v>461</v>
      </c>
      <c r="J349" s="49"/>
      <c r="K349" s="49"/>
      <c r="L349" s="37" t="s">
        <v>58</v>
      </c>
      <c r="M349" s="37"/>
      <c r="N349" s="17"/>
      <c r="O349" s="1"/>
      <c r="P349" s="15"/>
      <c r="Q349" s="15"/>
      <c r="R349" s="1"/>
      <c r="S349" s="1"/>
    </row>
    <row r="350" hidden="1" outlineLevel="1">
      <c r="A350" s="1"/>
      <c r="B350" s="3">
        <f t="shared" si="1"/>
        <v>346</v>
      </c>
      <c r="C350" s="31" t="s">
        <v>848</v>
      </c>
      <c r="D350" s="37" t="s">
        <v>96</v>
      </c>
      <c r="E350" s="1"/>
      <c r="F350" s="37"/>
      <c r="G350" s="37"/>
      <c r="H350" s="46">
        <v>46050.0</v>
      </c>
      <c r="I350" s="37" t="s">
        <v>461</v>
      </c>
      <c r="J350" s="49" t="s">
        <v>515</v>
      </c>
      <c r="K350" s="49" t="s">
        <v>677</v>
      </c>
      <c r="L350" s="37" t="s">
        <v>58</v>
      </c>
      <c r="M350" s="37"/>
      <c r="N350" s="17"/>
      <c r="O350" s="1"/>
      <c r="P350" s="15"/>
      <c r="Q350" s="15"/>
      <c r="R350" s="1"/>
      <c r="S350" s="1"/>
    </row>
    <row r="351" hidden="1" outlineLevel="1">
      <c r="A351" s="1"/>
      <c r="B351" s="3">
        <f t="shared" si="1"/>
        <v>347</v>
      </c>
      <c r="C351" s="31" t="s">
        <v>849</v>
      </c>
      <c r="D351" s="37" t="s">
        <v>83</v>
      </c>
      <c r="E351" s="1"/>
      <c r="F351" s="43" t="s">
        <v>850</v>
      </c>
      <c r="G351" s="37"/>
      <c r="H351" s="46">
        <v>46050.0</v>
      </c>
      <c r="I351" s="37" t="s">
        <v>461</v>
      </c>
      <c r="J351" s="49" t="s">
        <v>554</v>
      </c>
      <c r="K351" s="49" t="s">
        <v>851</v>
      </c>
      <c r="L351" s="37" t="s">
        <v>58</v>
      </c>
      <c r="M351" s="37"/>
      <c r="N351" s="17"/>
      <c r="O351" s="1"/>
      <c r="P351" s="15"/>
      <c r="Q351" s="67" t="s">
        <v>852</v>
      </c>
      <c r="R351" s="1"/>
      <c r="S351" s="1"/>
    </row>
    <row r="352" hidden="1" outlineLevel="1">
      <c r="A352" s="1"/>
      <c r="B352" s="3">
        <f t="shared" si="1"/>
        <v>348</v>
      </c>
      <c r="C352" s="31" t="s">
        <v>853</v>
      </c>
      <c r="D352" s="37" t="s">
        <v>854</v>
      </c>
      <c r="E352" s="1"/>
      <c r="F352" s="37"/>
      <c r="G352" s="37"/>
      <c r="H352" s="46">
        <v>46056.0</v>
      </c>
      <c r="I352" s="37" t="s">
        <v>461</v>
      </c>
      <c r="J352" s="49" t="s">
        <v>855</v>
      </c>
      <c r="K352" s="49"/>
      <c r="L352" s="37" t="s">
        <v>58</v>
      </c>
      <c r="M352" s="37"/>
      <c r="N352" s="17"/>
      <c r="O352" s="1"/>
      <c r="P352" s="15"/>
      <c r="Q352" s="15"/>
      <c r="R352" s="1"/>
      <c r="S352" s="1"/>
    </row>
    <row r="353" hidden="1" outlineLevel="1">
      <c r="A353" s="1"/>
      <c r="B353" s="3">
        <f t="shared" si="1"/>
        <v>349</v>
      </c>
      <c r="C353" s="31" t="s">
        <v>856</v>
      </c>
      <c r="D353" s="37" t="s">
        <v>159</v>
      </c>
      <c r="E353" s="1"/>
      <c r="F353" s="37"/>
      <c r="G353" s="37"/>
      <c r="H353" s="46">
        <v>46056.0</v>
      </c>
      <c r="I353" s="37" t="s">
        <v>461</v>
      </c>
      <c r="J353" s="49"/>
      <c r="K353" s="49" t="s">
        <v>533</v>
      </c>
      <c r="L353" s="37" t="s">
        <v>189</v>
      </c>
      <c r="M353" s="37"/>
      <c r="N353" s="17"/>
      <c r="O353" s="1"/>
      <c r="P353" s="15"/>
      <c r="Q353" s="15"/>
      <c r="R353" s="1"/>
      <c r="S353" s="1"/>
    </row>
    <row r="354" hidden="1" outlineLevel="1">
      <c r="A354" s="1"/>
      <c r="B354" s="3">
        <f t="shared" si="1"/>
        <v>350</v>
      </c>
      <c r="C354" s="31" t="s">
        <v>857</v>
      </c>
      <c r="D354" s="37" t="s">
        <v>668</v>
      </c>
      <c r="E354" s="1"/>
      <c r="F354" s="37"/>
      <c r="G354" s="37"/>
      <c r="H354" s="46">
        <v>46056.0</v>
      </c>
      <c r="I354" s="37" t="s">
        <v>461</v>
      </c>
      <c r="J354" s="49" t="s">
        <v>533</v>
      </c>
      <c r="K354" s="49" t="s">
        <v>858</v>
      </c>
      <c r="L354" s="37" t="s">
        <v>58</v>
      </c>
      <c r="M354" s="37"/>
      <c r="N354" s="17"/>
      <c r="O354" s="1"/>
      <c r="P354" s="15"/>
      <c r="Q354" s="15"/>
      <c r="R354" s="1"/>
      <c r="S354" s="1"/>
    </row>
    <row r="355" hidden="1" outlineLevel="1">
      <c r="A355" s="1"/>
      <c r="B355" s="3">
        <f t="shared" si="1"/>
        <v>351</v>
      </c>
      <c r="C355" s="31" t="s">
        <v>859</v>
      </c>
      <c r="D355" s="37" t="s">
        <v>83</v>
      </c>
      <c r="E355" s="1"/>
      <c r="F355" s="37"/>
      <c r="G355" s="37"/>
      <c r="H355" s="46">
        <v>46056.0</v>
      </c>
      <c r="I355" s="37" t="s">
        <v>461</v>
      </c>
      <c r="J355" s="49" t="s">
        <v>860</v>
      </c>
      <c r="K355" s="49" t="s">
        <v>691</v>
      </c>
      <c r="L355" s="37" t="s">
        <v>189</v>
      </c>
      <c r="M355" s="37"/>
      <c r="N355" s="17"/>
      <c r="O355" s="1"/>
      <c r="P355" s="15"/>
      <c r="Q355" s="67" t="s">
        <v>861</v>
      </c>
      <c r="R355" s="1"/>
      <c r="S355" s="1"/>
    </row>
    <row r="356" hidden="1" outlineLevel="1">
      <c r="A356" s="1"/>
      <c r="B356" s="3">
        <f t="shared" si="1"/>
        <v>352</v>
      </c>
      <c r="C356" s="31" t="s">
        <v>862</v>
      </c>
      <c r="D356" s="37" t="s">
        <v>103</v>
      </c>
      <c r="E356" s="1"/>
      <c r="F356" s="37"/>
      <c r="G356" s="37"/>
      <c r="H356" s="46">
        <v>46056.0</v>
      </c>
      <c r="I356" s="37" t="s">
        <v>461</v>
      </c>
      <c r="J356" s="49" t="s">
        <v>863</v>
      </c>
      <c r="K356" s="49"/>
      <c r="L356" s="37" t="s">
        <v>58</v>
      </c>
      <c r="M356" s="37"/>
      <c r="N356" s="17"/>
      <c r="O356" s="1"/>
      <c r="P356" s="15"/>
      <c r="Q356" s="15"/>
      <c r="R356" s="1"/>
      <c r="S356" s="1"/>
    </row>
    <row r="357" hidden="1" outlineLevel="1">
      <c r="A357" s="1"/>
      <c r="B357" s="3">
        <f t="shared" si="1"/>
        <v>353</v>
      </c>
      <c r="C357" s="31" t="s">
        <v>864</v>
      </c>
      <c r="D357" s="37" t="s">
        <v>159</v>
      </c>
      <c r="E357" s="1"/>
      <c r="F357" s="37"/>
      <c r="G357" s="37"/>
      <c r="H357" s="46">
        <v>46056.0</v>
      </c>
      <c r="I357" s="37" t="s">
        <v>461</v>
      </c>
      <c r="J357" s="49"/>
      <c r="K357" s="49" t="s">
        <v>865</v>
      </c>
      <c r="L357" s="37" t="s">
        <v>58</v>
      </c>
      <c r="M357" s="37"/>
      <c r="N357" s="17"/>
      <c r="O357" s="1"/>
      <c r="P357" s="15"/>
      <c r="Q357" s="15"/>
      <c r="R357" s="1"/>
      <c r="S357" s="1"/>
    </row>
    <row r="358" hidden="1" outlineLevel="1">
      <c r="A358" s="1"/>
      <c r="B358" s="3">
        <f t="shared" si="1"/>
        <v>354</v>
      </c>
      <c r="C358" s="31" t="s">
        <v>866</v>
      </c>
      <c r="D358" s="37" t="s">
        <v>218</v>
      </c>
      <c r="E358" s="1"/>
      <c r="F358" s="37"/>
      <c r="G358" s="37"/>
      <c r="H358" s="46">
        <v>46056.0</v>
      </c>
      <c r="I358" s="37" t="s">
        <v>461</v>
      </c>
      <c r="J358" s="49" t="s">
        <v>867</v>
      </c>
      <c r="K358" s="49" t="s">
        <v>867</v>
      </c>
      <c r="L358" s="37" t="s">
        <v>58</v>
      </c>
      <c r="M358" s="37"/>
      <c r="N358" s="17"/>
      <c r="O358" s="1"/>
      <c r="P358" s="15"/>
      <c r="Q358" s="15"/>
      <c r="R358" s="1"/>
      <c r="S358" s="1"/>
    </row>
    <row r="359" hidden="1" outlineLevel="1">
      <c r="A359" s="1"/>
      <c r="B359" s="3">
        <f t="shared" si="1"/>
        <v>355</v>
      </c>
      <c r="C359" s="31" t="s">
        <v>868</v>
      </c>
      <c r="D359" s="37" t="s">
        <v>83</v>
      </c>
      <c r="E359" s="1"/>
      <c r="F359" s="37"/>
      <c r="G359" s="37"/>
      <c r="H359" s="46">
        <v>46056.0</v>
      </c>
      <c r="I359" s="37" t="s">
        <v>461</v>
      </c>
      <c r="J359" s="49" t="s">
        <v>517</v>
      </c>
      <c r="K359" s="49" t="s">
        <v>517</v>
      </c>
      <c r="L359" s="37" t="s">
        <v>58</v>
      </c>
      <c r="M359" s="37"/>
      <c r="N359" s="17"/>
      <c r="O359" s="1"/>
      <c r="P359" s="15"/>
      <c r="Q359" s="15"/>
      <c r="R359" s="1"/>
      <c r="S359" s="1"/>
    </row>
    <row r="360" hidden="1" outlineLevel="1">
      <c r="A360" s="1"/>
      <c r="B360" s="3">
        <f t="shared" si="1"/>
        <v>356</v>
      </c>
      <c r="C360" s="31" t="s">
        <v>869</v>
      </c>
      <c r="D360" s="37" t="s">
        <v>218</v>
      </c>
      <c r="E360" s="1"/>
      <c r="F360" s="37"/>
      <c r="G360" s="37"/>
      <c r="H360" s="46">
        <v>46056.0</v>
      </c>
      <c r="I360" s="37" t="s">
        <v>461</v>
      </c>
      <c r="J360" s="49"/>
      <c r="K360" s="49"/>
      <c r="L360" s="37" t="s">
        <v>58</v>
      </c>
      <c r="M360" s="37"/>
      <c r="N360" s="17"/>
      <c r="O360" s="1"/>
      <c r="P360" s="15"/>
      <c r="Q360" s="67" t="s">
        <v>870</v>
      </c>
      <c r="R360" s="1"/>
      <c r="S360" s="1"/>
    </row>
    <row r="361" hidden="1" outlineLevel="1">
      <c r="A361" s="1"/>
      <c r="B361" s="3">
        <f t="shared" si="1"/>
        <v>357</v>
      </c>
      <c r="C361" s="31" t="s">
        <v>806</v>
      </c>
      <c r="D361" s="37" t="s">
        <v>96</v>
      </c>
      <c r="E361" s="1"/>
      <c r="F361" s="37"/>
      <c r="G361" s="37"/>
      <c r="H361" s="46">
        <v>46056.0</v>
      </c>
      <c r="I361" s="37" t="s">
        <v>461</v>
      </c>
      <c r="J361" s="49" t="s">
        <v>533</v>
      </c>
      <c r="K361" s="49" t="s">
        <v>605</v>
      </c>
      <c r="L361" s="37" t="s">
        <v>58</v>
      </c>
      <c r="M361" s="37"/>
      <c r="N361" s="17"/>
      <c r="O361" s="1"/>
      <c r="P361" s="15"/>
      <c r="Q361" s="15"/>
      <c r="R361" s="1"/>
      <c r="S361" s="1"/>
    </row>
    <row r="362" hidden="1" outlineLevel="1">
      <c r="A362" s="1"/>
      <c r="B362" s="3">
        <f t="shared" si="1"/>
        <v>358</v>
      </c>
      <c r="C362" s="31" t="s">
        <v>871</v>
      </c>
      <c r="D362" s="37" t="s">
        <v>497</v>
      </c>
      <c r="E362" s="1"/>
      <c r="F362" s="37"/>
      <c r="G362" s="37"/>
      <c r="H362" s="46">
        <v>46056.0</v>
      </c>
      <c r="I362" s="37" t="s">
        <v>461</v>
      </c>
      <c r="J362" s="49" t="s">
        <v>872</v>
      </c>
      <c r="K362" s="49" t="s">
        <v>873</v>
      </c>
      <c r="L362" s="37" t="s">
        <v>189</v>
      </c>
      <c r="M362" s="37"/>
      <c r="N362" s="17"/>
      <c r="O362" s="1"/>
      <c r="P362" s="15"/>
      <c r="Q362" s="15"/>
      <c r="R362" s="1"/>
      <c r="S362" s="1"/>
    </row>
    <row r="363" hidden="1" outlineLevel="1">
      <c r="A363" s="1"/>
      <c r="B363" s="3">
        <f t="shared" si="1"/>
        <v>359</v>
      </c>
      <c r="C363" s="31" t="s">
        <v>874</v>
      </c>
      <c r="D363" s="37" t="s">
        <v>103</v>
      </c>
      <c r="E363" s="1"/>
      <c r="F363" s="37"/>
      <c r="G363" s="37"/>
      <c r="H363" s="46">
        <v>46056.0</v>
      </c>
      <c r="I363" s="37" t="s">
        <v>461</v>
      </c>
      <c r="J363" s="49"/>
      <c r="K363" s="49"/>
      <c r="L363" s="37" t="s">
        <v>58</v>
      </c>
      <c r="M363" s="37"/>
      <c r="N363" s="17"/>
      <c r="O363" s="37"/>
      <c r="P363" s="15"/>
      <c r="Q363" s="15"/>
      <c r="R363" s="1"/>
      <c r="S363" s="1"/>
    </row>
    <row r="364" hidden="1" outlineLevel="1">
      <c r="A364" s="1"/>
      <c r="B364" s="3">
        <f t="shared" si="1"/>
        <v>360</v>
      </c>
      <c r="C364" s="31" t="s">
        <v>816</v>
      </c>
      <c r="D364" s="37" t="s">
        <v>38</v>
      </c>
      <c r="E364" s="1"/>
      <c r="F364" s="37"/>
      <c r="G364" s="37"/>
      <c r="H364" s="46">
        <v>46056.0</v>
      </c>
      <c r="I364" s="37" t="s">
        <v>461</v>
      </c>
      <c r="J364" s="49" t="s">
        <v>875</v>
      </c>
      <c r="K364" s="49" t="s">
        <v>571</v>
      </c>
      <c r="L364" s="37" t="s">
        <v>189</v>
      </c>
      <c r="M364" s="37"/>
      <c r="N364" s="17"/>
      <c r="O364" s="1"/>
      <c r="P364" s="15"/>
      <c r="Q364" s="67" t="s">
        <v>876</v>
      </c>
      <c r="R364" s="1"/>
      <c r="S364" s="1"/>
    </row>
    <row r="365" hidden="1" outlineLevel="1">
      <c r="A365" s="1"/>
      <c r="B365" s="3">
        <f t="shared" si="1"/>
        <v>361</v>
      </c>
      <c r="C365" s="31" t="s">
        <v>348</v>
      </c>
      <c r="D365" s="37" t="s">
        <v>116</v>
      </c>
      <c r="E365" s="1"/>
      <c r="F365" s="37"/>
      <c r="G365" s="37"/>
      <c r="H365" s="46">
        <v>46056.0</v>
      </c>
      <c r="I365" s="37" t="s">
        <v>461</v>
      </c>
      <c r="J365" s="49"/>
      <c r="K365" s="49"/>
      <c r="L365" s="37" t="s">
        <v>58</v>
      </c>
      <c r="M365" s="37" t="s">
        <v>57</v>
      </c>
      <c r="N365" s="17"/>
      <c r="O365" s="1"/>
      <c r="P365" s="15"/>
      <c r="Q365" s="15"/>
      <c r="R365" s="1"/>
      <c r="S365" s="1"/>
    </row>
    <row r="366" hidden="1" outlineLevel="1">
      <c r="A366" s="1"/>
      <c r="B366" s="3">
        <f t="shared" si="1"/>
        <v>362</v>
      </c>
      <c r="C366" s="31" t="s">
        <v>877</v>
      </c>
      <c r="D366" s="37" t="s">
        <v>49</v>
      </c>
      <c r="E366" s="1"/>
      <c r="F366" s="37"/>
      <c r="G366" s="37"/>
      <c r="H366" s="46">
        <v>46056.0</v>
      </c>
      <c r="I366" s="37" t="s">
        <v>461</v>
      </c>
      <c r="J366" s="49" t="s">
        <v>878</v>
      </c>
      <c r="K366" s="49" t="s">
        <v>517</v>
      </c>
      <c r="L366" s="37" t="s">
        <v>189</v>
      </c>
      <c r="M366" s="37"/>
      <c r="N366" s="17"/>
      <c r="O366" s="1"/>
      <c r="P366" s="15"/>
      <c r="Q366" s="67" t="s">
        <v>879</v>
      </c>
      <c r="R366" s="1"/>
      <c r="S366" s="1"/>
    </row>
    <row r="367" hidden="1" outlineLevel="1">
      <c r="A367" s="1"/>
      <c r="B367" s="3">
        <f t="shared" si="1"/>
        <v>363</v>
      </c>
      <c r="C367" s="31" t="s">
        <v>880</v>
      </c>
      <c r="D367" s="37" t="s">
        <v>159</v>
      </c>
      <c r="E367" s="1"/>
      <c r="F367" s="37"/>
      <c r="G367" s="37"/>
      <c r="H367" s="46">
        <v>46056.0</v>
      </c>
      <c r="I367" s="37" t="s">
        <v>461</v>
      </c>
      <c r="J367" s="49" t="s">
        <v>554</v>
      </c>
      <c r="K367" s="49" t="s">
        <v>571</v>
      </c>
      <c r="L367" s="37" t="s">
        <v>58</v>
      </c>
      <c r="M367" s="37"/>
      <c r="N367" s="17"/>
      <c r="O367" s="1"/>
      <c r="P367" s="15"/>
      <c r="Q367" s="15"/>
      <c r="R367" s="1"/>
      <c r="S367" s="1"/>
    </row>
    <row r="368" hidden="1" outlineLevel="1">
      <c r="A368" s="1"/>
      <c r="B368" s="3">
        <f t="shared" si="1"/>
        <v>364</v>
      </c>
      <c r="C368" s="31" t="s">
        <v>881</v>
      </c>
      <c r="D368" s="37" t="s">
        <v>159</v>
      </c>
      <c r="E368" s="1"/>
      <c r="F368" s="37"/>
      <c r="G368" s="37"/>
      <c r="H368" s="46">
        <v>46056.0</v>
      </c>
      <c r="I368" s="37" t="s">
        <v>461</v>
      </c>
      <c r="J368" s="49" t="s">
        <v>691</v>
      </c>
      <c r="K368" s="49" t="s">
        <v>605</v>
      </c>
      <c r="L368" s="37" t="s">
        <v>189</v>
      </c>
      <c r="M368" s="37"/>
      <c r="N368" s="17"/>
      <c r="O368" s="1"/>
      <c r="P368" s="15"/>
      <c r="Q368" s="67" t="s">
        <v>882</v>
      </c>
      <c r="R368" s="1"/>
      <c r="S368" s="1"/>
    </row>
    <row r="369" hidden="1" outlineLevel="1">
      <c r="A369" s="1"/>
      <c r="B369" s="3">
        <f t="shared" si="1"/>
        <v>365</v>
      </c>
      <c r="C369" s="31" t="s">
        <v>541</v>
      </c>
      <c r="D369" s="37" t="s">
        <v>116</v>
      </c>
      <c r="E369" s="1"/>
      <c r="F369" s="37"/>
      <c r="G369" s="37"/>
      <c r="H369" s="46">
        <v>46056.0</v>
      </c>
      <c r="I369" s="37" t="s">
        <v>461</v>
      </c>
      <c r="J369" s="49"/>
      <c r="K369" s="49"/>
      <c r="L369" s="37" t="s">
        <v>58</v>
      </c>
      <c r="M369" s="37"/>
      <c r="N369" s="17"/>
      <c r="O369" s="1"/>
      <c r="P369" s="15"/>
      <c r="Q369" s="15"/>
      <c r="R369" s="1"/>
      <c r="S369" s="1"/>
    </row>
    <row r="370" hidden="1" outlineLevel="1">
      <c r="A370" s="1"/>
      <c r="B370" s="3">
        <f t="shared" si="1"/>
        <v>366</v>
      </c>
      <c r="C370" s="31" t="s">
        <v>883</v>
      </c>
      <c r="D370" s="37" t="s">
        <v>116</v>
      </c>
      <c r="E370" s="1"/>
      <c r="F370" s="37"/>
      <c r="G370" s="37"/>
      <c r="H370" s="46">
        <v>46056.0</v>
      </c>
      <c r="I370" s="37" t="s">
        <v>461</v>
      </c>
      <c r="J370" s="49" t="s">
        <v>884</v>
      </c>
      <c r="K370" s="49"/>
      <c r="L370" s="37" t="s">
        <v>58</v>
      </c>
      <c r="M370" s="37"/>
      <c r="N370" s="17"/>
      <c r="O370" s="1"/>
      <c r="P370" s="15"/>
      <c r="Q370" s="15"/>
      <c r="R370" s="1"/>
      <c r="S370" s="1"/>
    </row>
    <row r="371" hidden="1" outlineLevel="1">
      <c r="A371" s="1"/>
      <c r="B371" s="3">
        <f t="shared" si="1"/>
        <v>367</v>
      </c>
      <c r="C371" s="31" t="s">
        <v>885</v>
      </c>
      <c r="D371" s="37" t="s">
        <v>44</v>
      </c>
      <c r="E371" s="1"/>
      <c r="F371" s="37"/>
      <c r="G371" s="37"/>
      <c r="H371" s="46">
        <v>46056.0</v>
      </c>
      <c r="I371" s="37" t="s">
        <v>461</v>
      </c>
      <c r="J371" s="49" t="s">
        <v>533</v>
      </c>
      <c r="K371" s="49" t="s">
        <v>571</v>
      </c>
      <c r="L371" s="37" t="s">
        <v>189</v>
      </c>
      <c r="M371" s="37"/>
      <c r="N371" s="17"/>
      <c r="O371" s="1"/>
      <c r="P371" s="15"/>
      <c r="Q371" s="15"/>
      <c r="R371" s="1"/>
      <c r="S371" s="1"/>
    </row>
    <row r="372" hidden="1" outlineLevel="1">
      <c r="A372" s="1"/>
      <c r="B372" s="3">
        <f t="shared" si="1"/>
        <v>368</v>
      </c>
      <c r="C372" s="31" t="s">
        <v>886</v>
      </c>
      <c r="D372" s="37" t="s">
        <v>887</v>
      </c>
      <c r="E372" s="1"/>
      <c r="F372" s="37"/>
      <c r="G372" s="37"/>
      <c r="H372" s="46">
        <v>46056.0</v>
      </c>
      <c r="I372" s="37" t="s">
        <v>461</v>
      </c>
      <c r="J372" s="49" t="s">
        <v>758</v>
      </c>
      <c r="K372" s="49" t="s">
        <v>648</v>
      </c>
      <c r="L372" s="37" t="s">
        <v>58</v>
      </c>
      <c r="M372" s="37"/>
      <c r="N372" s="17"/>
      <c r="O372" s="1"/>
      <c r="P372" s="15"/>
      <c r="Q372" s="15"/>
      <c r="R372" s="1"/>
      <c r="S372" s="1"/>
    </row>
    <row r="373" hidden="1" outlineLevel="1">
      <c r="A373" s="1"/>
      <c r="B373" s="3">
        <f t="shared" si="1"/>
        <v>369</v>
      </c>
      <c r="C373" s="31" t="s">
        <v>888</v>
      </c>
      <c r="D373" s="37" t="s">
        <v>96</v>
      </c>
      <c r="E373" s="1"/>
      <c r="F373" s="37"/>
      <c r="G373" s="37"/>
      <c r="H373" s="46">
        <v>46056.0</v>
      </c>
      <c r="I373" s="37" t="s">
        <v>461</v>
      </c>
      <c r="J373" s="49" t="s">
        <v>515</v>
      </c>
      <c r="K373" s="49" t="s">
        <v>662</v>
      </c>
      <c r="L373" s="37" t="s">
        <v>58</v>
      </c>
      <c r="M373" s="37"/>
      <c r="N373" s="17"/>
      <c r="O373" s="1"/>
      <c r="P373" s="15"/>
      <c r="Q373" s="15"/>
      <c r="R373" s="1"/>
      <c r="S373" s="1"/>
    </row>
    <row r="374" hidden="1" outlineLevel="1">
      <c r="A374" s="1"/>
      <c r="B374" s="3">
        <f t="shared" si="1"/>
        <v>370</v>
      </c>
      <c r="C374" s="31" t="s">
        <v>889</v>
      </c>
      <c r="D374" s="37" t="s">
        <v>668</v>
      </c>
      <c r="E374" s="1"/>
      <c r="F374" s="37"/>
      <c r="G374" s="37"/>
      <c r="H374" s="46">
        <v>46056.0</v>
      </c>
      <c r="I374" s="37" t="s">
        <v>461</v>
      </c>
      <c r="J374" s="49" t="s">
        <v>571</v>
      </c>
      <c r="K374" s="49" t="s">
        <v>709</v>
      </c>
      <c r="L374" s="37" t="s">
        <v>58</v>
      </c>
      <c r="M374" s="37"/>
      <c r="N374" s="17"/>
      <c r="O374" s="1"/>
      <c r="P374" s="15"/>
      <c r="Q374" s="15"/>
      <c r="R374" s="1"/>
      <c r="S374" s="1"/>
    </row>
    <row r="375" hidden="1" outlineLevel="1">
      <c r="A375" s="1"/>
      <c r="B375" s="3">
        <f t="shared" si="1"/>
        <v>371</v>
      </c>
      <c r="C375" s="31" t="s">
        <v>890</v>
      </c>
      <c r="D375" s="37" t="s">
        <v>556</v>
      </c>
      <c r="E375" s="1"/>
      <c r="F375" s="37"/>
      <c r="G375" s="37"/>
      <c r="H375" s="46">
        <v>46056.0</v>
      </c>
      <c r="I375" s="37" t="s">
        <v>461</v>
      </c>
      <c r="J375" s="49" t="s">
        <v>529</v>
      </c>
      <c r="K375" s="49" t="s">
        <v>648</v>
      </c>
      <c r="L375" s="37" t="s">
        <v>58</v>
      </c>
      <c r="M375" s="37"/>
      <c r="N375" s="17"/>
      <c r="O375" s="1"/>
      <c r="P375" s="15"/>
      <c r="Q375" s="15"/>
      <c r="R375" s="1"/>
      <c r="S375" s="1"/>
    </row>
    <row r="376" hidden="1" outlineLevel="1">
      <c r="A376" s="1"/>
      <c r="B376" s="3">
        <f t="shared" si="1"/>
        <v>372</v>
      </c>
      <c r="C376" s="31" t="s">
        <v>891</v>
      </c>
      <c r="D376" s="37" t="s">
        <v>497</v>
      </c>
      <c r="E376" s="1"/>
      <c r="F376" s="37"/>
      <c r="G376" s="37"/>
      <c r="H376" s="46">
        <v>46063.0</v>
      </c>
      <c r="I376" s="37" t="s">
        <v>461</v>
      </c>
      <c r="J376" s="49" t="s">
        <v>487</v>
      </c>
      <c r="K376" s="49" t="s">
        <v>518</v>
      </c>
      <c r="L376" s="37" t="s">
        <v>58</v>
      </c>
      <c r="M376" s="37" t="s">
        <v>78</v>
      </c>
      <c r="N376" s="17"/>
      <c r="O376" s="1"/>
      <c r="P376" s="15"/>
      <c r="Q376" s="15"/>
      <c r="R376" s="1"/>
      <c r="S376" s="1"/>
    </row>
    <row r="377" hidden="1" outlineLevel="1">
      <c r="A377" s="1"/>
      <c r="B377" s="3">
        <f t="shared" si="1"/>
        <v>373</v>
      </c>
      <c r="C377" s="31" t="s">
        <v>892</v>
      </c>
      <c r="D377" s="37" t="s">
        <v>218</v>
      </c>
      <c r="E377" s="1"/>
      <c r="F377" s="37"/>
      <c r="G377" s="37"/>
      <c r="H377" s="46">
        <v>46063.0</v>
      </c>
      <c r="I377" s="37" t="s">
        <v>461</v>
      </c>
      <c r="J377" s="49" t="s">
        <v>533</v>
      </c>
      <c r="K377" s="49" t="s">
        <v>533</v>
      </c>
      <c r="L377" s="37" t="s">
        <v>58</v>
      </c>
      <c r="M377" s="37" t="s">
        <v>54</v>
      </c>
      <c r="N377" s="17" t="s">
        <v>39</v>
      </c>
      <c r="O377" s="1"/>
      <c r="P377" s="15"/>
      <c r="Q377" s="15"/>
      <c r="R377" s="1"/>
      <c r="S377" s="1"/>
    </row>
    <row r="378" hidden="1" outlineLevel="1">
      <c r="A378" s="1"/>
      <c r="B378" s="3">
        <f t="shared" si="1"/>
        <v>374</v>
      </c>
      <c r="C378" s="31" t="s">
        <v>893</v>
      </c>
      <c r="D378" s="37" t="s">
        <v>49</v>
      </c>
      <c r="E378" s="1"/>
      <c r="F378" s="37"/>
      <c r="G378" s="37"/>
      <c r="H378" s="46">
        <v>46063.0</v>
      </c>
      <c r="I378" s="37" t="s">
        <v>461</v>
      </c>
      <c r="J378" s="49" t="s">
        <v>557</v>
      </c>
      <c r="K378" s="49" t="s">
        <v>648</v>
      </c>
      <c r="L378" s="37" t="s">
        <v>189</v>
      </c>
      <c r="M378" s="37"/>
      <c r="N378" s="17"/>
      <c r="O378" s="1"/>
      <c r="P378" s="15"/>
      <c r="Q378" s="15"/>
      <c r="R378" s="1"/>
      <c r="S378" s="1"/>
    </row>
    <row r="379" hidden="1" outlineLevel="1">
      <c r="A379" s="1"/>
      <c r="B379" s="3">
        <f t="shared" si="1"/>
        <v>375</v>
      </c>
      <c r="C379" s="31" t="s">
        <v>894</v>
      </c>
      <c r="D379" s="37" t="s">
        <v>49</v>
      </c>
      <c r="E379" s="1"/>
      <c r="F379" s="37"/>
      <c r="G379" s="37"/>
      <c r="H379" s="46">
        <v>46063.0</v>
      </c>
      <c r="I379" s="37" t="s">
        <v>461</v>
      </c>
      <c r="J379" s="49" t="s">
        <v>477</v>
      </c>
      <c r="K379" s="49" t="s">
        <v>648</v>
      </c>
      <c r="L379" s="37" t="s">
        <v>58</v>
      </c>
      <c r="M379" s="37"/>
      <c r="N379" s="17"/>
      <c r="O379" s="1"/>
      <c r="P379" s="15"/>
      <c r="Q379" s="67" t="s">
        <v>895</v>
      </c>
      <c r="R379" s="1"/>
      <c r="S379" s="1"/>
    </row>
    <row r="380" hidden="1" outlineLevel="1">
      <c r="A380" s="1"/>
      <c r="B380" s="3">
        <f t="shared" si="1"/>
        <v>376</v>
      </c>
      <c r="C380" s="31" t="s">
        <v>896</v>
      </c>
      <c r="D380" s="37" t="s">
        <v>38</v>
      </c>
      <c r="E380" s="1"/>
      <c r="F380" s="37"/>
      <c r="G380" s="37"/>
      <c r="H380" s="46">
        <v>46063.0</v>
      </c>
      <c r="I380" s="37" t="s">
        <v>461</v>
      </c>
      <c r="J380" s="49" t="s">
        <v>529</v>
      </c>
      <c r="K380" s="49" t="s">
        <v>517</v>
      </c>
      <c r="L380" s="37" t="s">
        <v>58</v>
      </c>
      <c r="M380" s="37" t="s">
        <v>130</v>
      </c>
      <c r="N380" s="17"/>
      <c r="O380" s="1"/>
      <c r="P380" s="15"/>
      <c r="Q380" s="15"/>
      <c r="R380" s="1"/>
      <c r="S380" s="1"/>
    </row>
    <row r="381" hidden="1" outlineLevel="1">
      <c r="A381" s="1"/>
      <c r="B381" s="3">
        <f t="shared" si="1"/>
        <v>377</v>
      </c>
      <c r="C381" s="31" t="s">
        <v>897</v>
      </c>
      <c r="D381" s="37" t="s">
        <v>44</v>
      </c>
      <c r="E381" s="1"/>
      <c r="F381" s="37"/>
      <c r="G381" s="37"/>
      <c r="H381" s="46">
        <v>46063.0</v>
      </c>
      <c r="I381" s="37" t="s">
        <v>461</v>
      </c>
      <c r="J381" s="49" t="s">
        <v>571</v>
      </c>
      <c r="K381" s="49" t="s">
        <v>571</v>
      </c>
      <c r="L381" s="37" t="s">
        <v>58</v>
      </c>
      <c r="M381" s="37" t="s">
        <v>57</v>
      </c>
      <c r="N381" s="17" t="s">
        <v>39</v>
      </c>
      <c r="O381" s="1"/>
      <c r="P381" s="15"/>
      <c r="Q381" s="15"/>
      <c r="R381" s="1"/>
      <c r="S381" s="1"/>
    </row>
    <row r="382" hidden="1" outlineLevel="1">
      <c r="A382" s="1"/>
      <c r="B382" s="3">
        <f t="shared" si="1"/>
        <v>378</v>
      </c>
      <c r="C382" s="31" t="s">
        <v>898</v>
      </c>
      <c r="D382" s="37" t="s">
        <v>44</v>
      </c>
      <c r="E382" s="1"/>
      <c r="F382" s="37"/>
      <c r="G382" s="37"/>
      <c r="H382" s="46">
        <v>46064.0</v>
      </c>
      <c r="I382" s="37" t="s">
        <v>461</v>
      </c>
      <c r="J382" s="49" t="s">
        <v>529</v>
      </c>
      <c r="K382" s="49" t="s">
        <v>765</v>
      </c>
      <c r="L382" s="37" t="s">
        <v>58</v>
      </c>
      <c r="M382" s="37" t="s">
        <v>78</v>
      </c>
      <c r="N382" s="17"/>
      <c r="O382" s="1"/>
      <c r="P382" s="15"/>
      <c r="Q382" s="15"/>
      <c r="R382" s="1"/>
      <c r="S382" s="1"/>
    </row>
    <row r="383" hidden="1" outlineLevel="1">
      <c r="A383" s="1"/>
      <c r="B383" s="3">
        <f t="shared" si="1"/>
        <v>379</v>
      </c>
      <c r="C383" s="31" t="s">
        <v>899</v>
      </c>
      <c r="D383" s="37" t="s">
        <v>44</v>
      </c>
      <c r="E383" s="1"/>
      <c r="F383" s="37"/>
      <c r="G383" s="37"/>
      <c r="H383" s="46">
        <v>46064.0</v>
      </c>
      <c r="I383" s="37" t="s">
        <v>461</v>
      </c>
      <c r="J383" s="49" t="s">
        <v>571</v>
      </c>
      <c r="K383" s="49" t="s">
        <v>571</v>
      </c>
      <c r="L383" s="37" t="s">
        <v>58</v>
      </c>
      <c r="M383" s="37" t="s">
        <v>130</v>
      </c>
      <c r="N383" s="17"/>
      <c r="O383" s="1"/>
      <c r="P383" s="15"/>
      <c r="Q383" s="15"/>
      <c r="R383" s="1"/>
      <c r="S383" s="1"/>
    </row>
    <row r="384" hidden="1" outlineLevel="1">
      <c r="A384" s="1"/>
      <c r="B384" s="3">
        <f t="shared" si="1"/>
        <v>380</v>
      </c>
      <c r="C384" s="31" t="s">
        <v>900</v>
      </c>
      <c r="D384" s="37" t="s">
        <v>96</v>
      </c>
      <c r="E384" s="1"/>
      <c r="F384" s="37"/>
      <c r="G384" s="37"/>
      <c r="H384" s="46">
        <v>46064.0</v>
      </c>
      <c r="I384" s="37" t="s">
        <v>461</v>
      </c>
      <c r="J384" s="49" t="s">
        <v>691</v>
      </c>
      <c r="K384" s="49" t="s">
        <v>533</v>
      </c>
      <c r="L384" s="37" t="s">
        <v>189</v>
      </c>
      <c r="M384" s="37"/>
      <c r="N384" s="17"/>
      <c r="O384" s="1"/>
      <c r="P384" s="15"/>
      <c r="Q384" s="15"/>
      <c r="R384" s="1"/>
      <c r="S384" s="1"/>
    </row>
    <row r="385" hidden="1" outlineLevel="1">
      <c r="A385" s="1"/>
      <c r="B385" s="3">
        <f t="shared" si="1"/>
        <v>381</v>
      </c>
      <c r="C385" s="31" t="s">
        <v>901</v>
      </c>
      <c r="D385" s="37" t="s">
        <v>159</v>
      </c>
      <c r="E385" s="1"/>
      <c r="F385" s="37"/>
      <c r="G385" s="37"/>
      <c r="H385" s="46">
        <v>46064.0</v>
      </c>
      <c r="I385" s="37" t="s">
        <v>461</v>
      </c>
      <c r="J385" s="49"/>
      <c r="K385" s="49" t="s">
        <v>515</v>
      </c>
      <c r="L385" s="37" t="s">
        <v>58</v>
      </c>
      <c r="M385" s="37"/>
      <c r="N385" s="17"/>
      <c r="O385" s="1"/>
      <c r="P385" s="15"/>
      <c r="Q385" s="15"/>
      <c r="R385" s="1"/>
      <c r="S385" s="1"/>
    </row>
    <row r="386" hidden="1" outlineLevel="1">
      <c r="A386" s="1"/>
      <c r="B386" s="3">
        <f t="shared" si="1"/>
        <v>382</v>
      </c>
      <c r="C386" s="31" t="s">
        <v>902</v>
      </c>
      <c r="D386" s="37" t="s">
        <v>96</v>
      </c>
      <c r="E386" s="1"/>
      <c r="F386" s="37"/>
      <c r="G386" s="37"/>
      <c r="H386" s="46">
        <v>46064.0</v>
      </c>
      <c r="I386" s="37" t="s">
        <v>461</v>
      </c>
      <c r="J386" s="49"/>
      <c r="K386" s="49"/>
      <c r="L386" s="37" t="s">
        <v>58</v>
      </c>
      <c r="M386" s="37" t="s">
        <v>130</v>
      </c>
      <c r="N386" s="17"/>
      <c r="O386" s="1"/>
      <c r="P386" s="15"/>
      <c r="Q386" s="15"/>
      <c r="R386" s="1"/>
      <c r="S386" s="1"/>
    </row>
    <row r="387" hidden="1" outlineLevel="1">
      <c r="A387" s="1"/>
      <c r="B387" s="3">
        <f t="shared" si="1"/>
        <v>383</v>
      </c>
      <c r="C387" s="31" t="s">
        <v>903</v>
      </c>
      <c r="D387" s="37" t="s">
        <v>44</v>
      </c>
      <c r="E387" s="1"/>
      <c r="F387" s="37"/>
      <c r="G387" s="37"/>
      <c r="H387" s="46">
        <v>46064.0</v>
      </c>
      <c r="I387" s="37" t="s">
        <v>461</v>
      </c>
      <c r="J387" s="49" t="s">
        <v>691</v>
      </c>
      <c r="K387" s="49" t="s">
        <v>605</v>
      </c>
      <c r="L387" s="37" t="s">
        <v>58</v>
      </c>
      <c r="M387" s="37" t="s">
        <v>130</v>
      </c>
      <c r="N387" s="17"/>
      <c r="O387" s="1"/>
      <c r="P387" s="15"/>
      <c r="Q387" s="15"/>
      <c r="R387" s="1"/>
      <c r="S387" s="1"/>
    </row>
    <row r="388" hidden="1" outlineLevel="1">
      <c r="A388" s="1"/>
      <c r="B388" s="3">
        <f t="shared" si="1"/>
        <v>384</v>
      </c>
      <c r="C388" s="31" t="s">
        <v>904</v>
      </c>
      <c r="D388" s="37" t="s">
        <v>159</v>
      </c>
      <c r="E388" s="1"/>
      <c r="F388" s="37"/>
      <c r="G388" s="37"/>
      <c r="H388" s="46">
        <v>46071.0</v>
      </c>
      <c r="I388" s="37" t="s">
        <v>26</v>
      </c>
      <c r="J388" s="49"/>
      <c r="K388" s="49"/>
      <c r="L388" s="37" t="s">
        <v>26</v>
      </c>
      <c r="M388" s="37"/>
      <c r="N388" s="17"/>
      <c r="O388" s="1"/>
      <c r="P388" s="15"/>
      <c r="Q388" s="15"/>
      <c r="R388" s="1"/>
      <c r="S388" s="1"/>
    </row>
    <row r="389" hidden="1" outlineLevel="1">
      <c r="A389" s="1"/>
      <c r="B389" s="3">
        <f t="shared" si="1"/>
        <v>385</v>
      </c>
      <c r="C389" s="31" t="s">
        <v>905</v>
      </c>
      <c r="D389" s="37" t="s">
        <v>49</v>
      </c>
      <c r="E389" s="1"/>
      <c r="F389" s="37"/>
      <c r="G389" s="37"/>
      <c r="H389" s="46">
        <v>46071.0</v>
      </c>
      <c r="I389" s="37" t="s">
        <v>461</v>
      </c>
      <c r="J389" s="49" t="s">
        <v>571</v>
      </c>
      <c r="K389" s="49" t="s">
        <v>906</v>
      </c>
      <c r="L389" s="37" t="s">
        <v>58</v>
      </c>
      <c r="M389" s="37" t="s">
        <v>130</v>
      </c>
      <c r="N389" s="17"/>
      <c r="O389" s="1"/>
      <c r="P389" s="15"/>
      <c r="Q389" s="15"/>
      <c r="R389" s="1"/>
      <c r="S389" s="1"/>
    </row>
    <row r="390" hidden="1" outlineLevel="1">
      <c r="A390" s="1"/>
      <c r="B390" s="3">
        <f t="shared" si="1"/>
        <v>386</v>
      </c>
      <c r="C390" s="31" t="s">
        <v>907</v>
      </c>
      <c r="D390" s="37" t="s">
        <v>112</v>
      </c>
      <c r="E390" s="1"/>
      <c r="F390" s="37"/>
      <c r="G390" s="37"/>
      <c r="H390" s="46">
        <v>46071.0</v>
      </c>
      <c r="I390" s="37" t="s">
        <v>461</v>
      </c>
      <c r="J390" s="49" t="s">
        <v>533</v>
      </c>
      <c r="K390" s="49" t="s">
        <v>533</v>
      </c>
      <c r="L390" s="37" t="s">
        <v>58</v>
      </c>
      <c r="M390" s="37"/>
      <c r="N390" s="17"/>
      <c r="O390" s="1"/>
      <c r="P390" s="15"/>
      <c r="Q390" s="67" t="s">
        <v>908</v>
      </c>
      <c r="R390" s="1"/>
      <c r="S390" s="1"/>
    </row>
    <row r="391" hidden="1" outlineLevel="1">
      <c r="A391" s="1"/>
      <c r="B391" s="3">
        <f t="shared" si="1"/>
        <v>387</v>
      </c>
      <c r="C391" s="31" t="s">
        <v>909</v>
      </c>
      <c r="D391" s="37" t="s">
        <v>49</v>
      </c>
      <c r="E391" s="1"/>
      <c r="F391" s="37"/>
      <c r="G391" s="37"/>
      <c r="H391" s="46">
        <v>46071.0</v>
      </c>
      <c r="I391" s="37" t="s">
        <v>461</v>
      </c>
      <c r="J391" s="49" t="s">
        <v>571</v>
      </c>
      <c r="K391" s="49" t="s">
        <v>691</v>
      </c>
      <c r="L391" s="37" t="s">
        <v>58</v>
      </c>
      <c r="M391" s="37" t="s">
        <v>130</v>
      </c>
      <c r="N391" s="17"/>
      <c r="O391" s="1"/>
      <c r="P391" s="15"/>
      <c r="Q391" s="15"/>
      <c r="R391" s="1"/>
      <c r="S391" s="1"/>
    </row>
    <row r="392" hidden="1" outlineLevel="1">
      <c r="A392" s="1"/>
      <c r="B392" s="3">
        <f t="shared" si="1"/>
        <v>388</v>
      </c>
      <c r="C392" s="31" t="s">
        <v>910</v>
      </c>
      <c r="D392" s="37" t="s">
        <v>49</v>
      </c>
      <c r="E392" s="1"/>
      <c r="F392" s="37"/>
      <c r="G392" s="37"/>
      <c r="H392" s="46">
        <v>46071.0</v>
      </c>
      <c r="I392" s="37" t="s">
        <v>461</v>
      </c>
      <c r="J392" s="49"/>
      <c r="K392" s="49"/>
      <c r="L392" s="37" t="s">
        <v>189</v>
      </c>
      <c r="M392" s="37"/>
      <c r="N392" s="17"/>
      <c r="O392" s="1"/>
      <c r="P392" s="15"/>
      <c r="Q392" s="67" t="s">
        <v>911</v>
      </c>
      <c r="R392" s="1"/>
      <c r="S392" s="1"/>
    </row>
    <row r="393" hidden="1" outlineLevel="1">
      <c r="A393" s="1"/>
      <c r="B393" s="3">
        <f t="shared" si="1"/>
        <v>389</v>
      </c>
      <c r="C393" s="31" t="s">
        <v>912</v>
      </c>
      <c r="D393" s="37" t="s">
        <v>83</v>
      </c>
      <c r="E393" s="1"/>
      <c r="F393" s="37"/>
      <c r="G393" s="37"/>
      <c r="H393" s="46">
        <v>46071.0</v>
      </c>
      <c r="I393" s="37" t="s">
        <v>26</v>
      </c>
      <c r="J393" s="49"/>
      <c r="K393" s="49"/>
      <c r="L393" s="37" t="s">
        <v>26</v>
      </c>
      <c r="M393" s="37"/>
      <c r="N393" s="17"/>
      <c r="O393" s="1"/>
      <c r="P393" s="15"/>
      <c r="Q393" s="15"/>
      <c r="R393" s="1"/>
      <c r="S393" s="1"/>
    </row>
    <row r="394" hidden="1" outlineLevel="1">
      <c r="A394" s="1"/>
      <c r="B394" s="3">
        <f t="shared" si="1"/>
        <v>390</v>
      </c>
      <c r="C394" s="31" t="s">
        <v>913</v>
      </c>
      <c r="D394" s="37" t="s">
        <v>83</v>
      </c>
      <c r="E394" s="1"/>
      <c r="F394" s="37"/>
      <c r="G394" s="37"/>
      <c r="H394" s="46">
        <v>46071.0</v>
      </c>
      <c r="I394" s="37" t="s">
        <v>461</v>
      </c>
      <c r="J394" s="49" t="s">
        <v>691</v>
      </c>
      <c r="K394" s="49" t="s">
        <v>914</v>
      </c>
      <c r="L394" s="37" t="s">
        <v>189</v>
      </c>
      <c r="M394" s="37" t="s">
        <v>130</v>
      </c>
      <c r="N394" s="17"/>
      <c r="O394" s="1"/>
      <c r="P394" s="15"/>
      <c r="Q394" s="67" t="s">
        <v>915</v>
      </c>
      <c r="R394" s="1"/>
      <c r="S394" s="1"/>
    </row>
    <row r="395" hidden="1" outlineLevel="1">
      <c r="A395" s="1"/>
      <c r="B395" s="3">
        <f t="shared" si="1"/>
        <v>391</v>
      </c>
      <c r="C395" s="31" t="s">
        <v>916</v>
      </c>
      <c r="D395" s="37" t="s">
        <v>83</v>
      </c>
      <c r="E395" s="1"/>
      <c r="F395" s="37"/>
      <c r="G395" s="37"/>
      <c r="H395" s="46">
        <v>46071.0</v>
      </c>
      <c r="I395" s="37" t="s">
        <v>461</v>
      </c>
      <c r="J395" s="49" t="s">
        <v>691</v>
      </c>
      <c r="K395" s="49" t="s">
        <v>917</v>
      </c>
      <c r="L395" s="37" t="s">
        <v>58</v>
      </c>
      <c r="M395" s="37" t="s">
        <v>130</v>
      </c>
      <c r="N395" s="17"/>
      <c r="O395" s="1"/>
      <c r="P395" s="15"/>
      <c r="Q395" s="15"/>
      <c r="R395" s="1"/>
      <c r="S395" s="1"/>
    </row>
    <row r="396" hidden="1" outlineLevel="1">
      <c r="A396" s="1"/>
      <c r="B396" s="3">
        <f t="shared" si="1"/>
        <v>392</v>
      </c>
      <c r="C396" s="31" t="s">
        <v>918</v>
      </c>
      <c r="D396" s="37" t="s">
        <v>83</v>
      </c>
      <c r="E396" s="1"/>
      <c r="F396" s="37"/>
      <c r="G396" s="37"/>
      <c r="H396" s="46">
        <v>46071.0</v>
      </c>
      <c r="I396" s="37" t="s">
        <v>461</v>
      </c>
      <c r="J396" s="49" t="s">
        <v>517</v>
      </c>
      <c r="K396" s="49" t="s">
        <v>919</v>
      </c>
      <c r="L396" s="37" t="s">
        <v>58</v>
      </c>
      <c r="M396" s="37" t="s">
        <v>73</v>
      </c>
      <c r="N396" s="17"/>
      <c r="O396" s="1"/>
      <c r="P396" s="15"/>
      <c r="Q396" s="67" t="s">
        <v>920</v>
      </c>
      <c r="R396" s="1"/>
      <c r="S396" s="1"/>
    </row>
    <row r="397" hidden="1" outlineLevel="1">
      <c r="A397" s="1"/>
      <c r="B397" s="3">
        <f t="shared" si="1"/>
        <v>393</v>
      </c>
      <c r="C397" s="31" t="s">
        <v>921</v>
      </c>
      <c r="D397" s="37" t="s">
        <v>83</v>
      </c>
      <c r="E397" s="1"/>
      <c r="F397" s="43" t="s">
        <v>922</v>
      </c>
      <c r="G397" s="37"/>
      <c r="H397" s="46">
        <v>46071.0</v>
      </c>
      <c r="I397" s="37" t="s">
        <v>461</v>
      </c>
      <c r="J397" s="49" t="s">
        <v>923</v>
      </c>
      <c r="K397" s="49" t="s">
        <v>924</v>
      </c>
      <c r="L397" s="37" t="s">
        <v>58</v>
      </c>
      <c r="M397" s="37" t="s">
        <v>130</v>
      </c>
      <c r="N397" s="17"/>
      <c r="O397" s="1"/>
      <c r="P397" s="15"/>
      <c r="Q397" s="67" t="s">
        <v>852</v>
      </c>
      <c r="R397" s="1"/>
      <c r="S397" s="1"/>
    </row>
    <row r="398" hidden="1" outlineLevel="1">
      <c r="A398" s="1"/>
      <c r="B398" s="3">
        <f t="shared" si="1"/>
        <v>394</v>
      </c>
      <c r="C398" s="31" t="s">
        <v>925</v>
      </c>
      <c r="D398" s="37" t="s">
        <v>218</v>
      </c>
      <c r="E398" s="1"/>
      <c r="F398" s="37"/>
      <c r="G398" s="37"/>
      <c r="H398" s="46">
        <v>46071.0</v>
      </c>
      <c r="I398" s="37" t="s">
        <v>461</v>
      </c>
      <c r="J398" s="49" t="s">
        <v>533</v>
      </c>
      <c r="K398" s="49" t="s">
        <v>621</v>
      </c>
      <c r="L398" s="37" t="s">
        <v>58</v>
      </c>
      <c r="M398" s="37" t="s">
        <v>54</v>
      </c>
      <c r="N398" s="17" t="s">
        <v>39</v>
      </c>
      <c r="O398" s="1"/>
      <c r="P398" s="15"/>
      <c r="Q398" s="67" t="s">
        <v>926</v>
      </c>
      <c r="R398" s="1"/>
      <c r="S398" s="1"/>
    </row>
    <row r="399" hidden="1" outlineLevel="1">
      <c r="A399" s="1"/>
      <c r="B399" s="3">
        <f t="shared" si="1"/>
        <v>395</v>
      </c>
      <c r="C399" s="31" t="s">
        <v>927</v>
      </c>
      <c r="D399" s="37" t="s">
        <v>112</v>
      </c>
      <c r="E399" s="1"/>
      <c r="F399" s="37"/>
      <c r="G399" s="37"/>
      <c r="H399" s="46">
        <v>46071.0</v>
      </c>
      <c r="I399" s="37" t="s">
        <v>461</v>
      </c>
      <c r="J399" s="49" t="s">
        <v>573</v>
      </c>
      <c r="K399" s="49" t="s">
        <v>928</v>
      </c>
      <c r="L399" s="37" t="s">
        <v>58</v>
      </c>
      <c r="M399" s="37" t="s">
        <v>59</v>
      </c>
      <c r="N399" s="17" t="s">
        <v>39</v>
      </c>
      <c r="O399" s="1"/>
      <c r="P399" s="15"/>
      <c r="Q399" s="15"/>
      <c r="R399" s="1"/>
      <c r="S399" s="1"/>
    </row>
    <row r="400" hidden="1" outlineLevel="1">
      <c r="A400" s="1"/>
      <c r="B400" s="3">
        <f t="shared" si="1"/>
        <v>396</v>
      </c>
      <c r="C400" s="31" t="s">
        <v>929</v>
      </c>
      <c r="D400" s="37" t="s">
        <v>159</v>
      </c>
      <c r="E400" s="1"/>
      <c r="F400" s="37"/>
      <c r="G400" s="37"/>
      <c r="H400" s="46">
        <v>46071.0</v>
      </c>
      <c r="I400" s="37" t="s">
        <v>461</v>
      </c>
      <c r="J400" s="49" t="s">
        <v>672</v>
      </c>
      <c r="K400" s="49" t="s">
        <v>930</v>
      </c>
      <c r="L400" s="37" t="s">
        <v>58</v>
      </c>
      <c r="M400" s="37"/>
      <c r="N400" s="17"/>
      <c r="O400" s="1"/>
      <c r="P400" s="15"/>
      <c r="Q400" s="15"/>
      <c r="R400" s="1"/>
      <c r="S400" s="1"/>
    </row>
    <row r="401" hidden="1" outlineLevel="1">
      <c r="A401" s="1"/>
      <c r="B401" s="3">
        <f t="shared" si="1"/>
        <v>397</v>
      </c>
      <c r="C401" s="31" t="s">
        <v>931</v>
      </c>
      <c r="D401" s="37" t="s">
        <v>83</v>
      </c>
      <c r="E401" s="1"/>
      <c r="F401" s="37"/>
      <c r="G401" s="37"/>
      <c r="H401" s="46">
        <v>46071.0</v>
      </c>
      <c r="I401" s="37" t="s">
        <v>461</v>
      </c>
      <c r="J401" s="49" t="s">
        <v>515</v>
      </c>
      <c r="K401" s="49" t="s">
        <v>662</v>
      </c>
      <c r="L401" s="37" t="s">
        <v>58</v>
      </c>
      <c r="M401" s="37" t="s">
        <v>45</v>
      </c>
      <c r="N401" s="17" t="s">
        <v>39</v>
      </c>
      <c r="O401" s="1"/>
      <c r="P401" s="15"/>
      <c r="Q401" s="67" t="s">
        <v>932</v>
      </c>
      <c r="R401" s="1"/>
      <c r="S401" s="1"/>
    </row>
    <row r="402" hidden="1" outlineLevel="1">
      <c r="A402" s="1"/>
      <c r="B402" s="3">
        <f t="shared" si="1"/>
        <v>398</v>
      </c>
      <c r="C402" s="31" t="s">
        <v>933</v>
      </c>
      <c r="D402" s="37" t="s">
        <v>49</v>
      </c>
      <c r="E402" s="1"/>
      <c r="F402" s="37"/>
      <c r="G402" s="37"/>
      <c r="H402" s="46">
        <v>46071.0</v>
      </c>
      <c r="I402" s="37" t="s">
        <v>461</v>
      </c>
      <c r="J402" s="49" t="s">
        <v>749</v>
      </c>
      <c r="K402" s="49" t="s">
        <v>533</v>
      </c>
      <c r="L402" s="37" t="s">
        <v>58</v>
      </c>
      <c r="M402" s="37" t="s">
        <v>78</v>
      </c>
      <c r="N402" s="17"/>
      <c r="O402" s="1"/>
      <c r="P402" s="15"/>
      <c r="Q402" s="15"/>
      <c r="R402" s="1"/>
      <c r="S402" s="1"/>
    </row>
    <row r="403" hidden="1" outlineLevel="1">
      <c r="A403" s="1"/>
      <c r="B403" s="3">
        <f t="shared" si="1"/>
        <v>399</v>
      </c>
      <c r="C403" s="31" t="s">
        <v>934</v>
      </c>
      <c r="D403" s="37" t="s">
        <v>49</v>
      </c>
      <c r="E403" s="1"/>
      <c r="F403" s="37"/>
      <c r="G403" s="37"/>
      <c r="H403" s="46">
        <v>46071.0</v>
      </c>
      <c r="I403" s="37" t="s">
        <v>26</v>
      </c>
      <c r="J403" s="49"/>
      <c r="K403" s="49"/>
      <c r="L403" s="37" t="s">
        <v>26</v>
      </c>
      <c r="M403" s="37"/>
      <c r="N403" s="17"/>
      <c r="O403" s="1"/>
      <c r="P403" s="15"/>
      <c r="Q403" s="15"/>
      <c r="R403" s="1"/>
      <c r="S403" s="1"/>
    </row>
    <row r="404" hidden="1" outlineLevel="1">
      <c r="A404" s="1"/>
      <c r="B404" s="3">
        <f t="shared" si="1"/>
        <v>400</v>
      </c>
      <c r="C404" s="31" t="s">
        <v>935</v>
      </c>
      <c r="D404" s="37" t="s">
        <v>83</v>
      </c>
      <c r="E404" s="1"/>
      <c r="F404" s="37"/>
      <c r="G404" s="37"/>
      <c r="H404" s="46">
        <v>46071.0</v>
      </c>
      <c r="I404" s="37" t="s">
        <v>26</v>
      </c>
      <c r="J404" s="49"/>
      <c r="K404" s="49"/>
      <c r="L404" s="37" t="s">
        <v>26</v>
      </c>
      <c r="M404" s="37"/>
      <c r="N404" s="17"/>
      <c r="O404" s="1"/>
      <c r="P404" s="15"/>
      <c r="Q404" s="15"/>
      <c r="R404" s="1"/>
      <c r="S404" s="1"/>
    </row>
    <row r="405" hidden="1" outlineLevel="1">
      <c r="A405" s="1"/>
      <c r="B405" s="3">
        <f t="shared" si="1"/>
        <v>401</v>
      </c>
      <c r="C405" s="31" t="s">
        <v>936</v>
      </c>
      <c r="D405" s="37" t="s">
        <v>49</v>
      </c>
      <c r="E405" s="1"/>
      <c r="F405" s="37"/>
      <c r="G405" s="37"/>
      <c r="H405" s="46">
        <v>46071.0</v>
      </c>
      <c r="I405" s="37" t="s">
        <v>461</v>
      </c>
      <c r="J405" s="49" t="s">
        <v>517</v>
      </c>
      <c r="K405" s="49" t="s">
        <v>662</v>
      </c>
      <c r="L405" s="37" t="s">
        <v>58</v>
      </c>
      <c r="M405" s="37" t="s">
        <v>130</v>
      </c>
      <c r="N405" s="17"/>
      <c r="O405" s="1"/>
      <c r="P405" s="15"/>
      <c r="Q405" s="15"/>
      <c r="R405" s="1"/>
      <c r="S405" s="1"/>
    </row>
    <row r="406" hidden="1" outlineLevel="1">
      <c r="A406" s="1"/>
      <c r="B406" s="3">
        <f t="shared" si="1"/>
        <v>402</v>
      </c>
      <c r="C406" s="31" t="s">
        <v>937</v>
      </c>
      <c r="D406" s="37" t="s">
        <v>497</v>
      </c>
      <c r="E406" s="1"/>
      <c r="F406" s="37"/>
      <c r="G406" s="37"/>
      <c r="H406" s="46">
        <v>46071.0</v>
      </c>
      <c r="I406" s="37" t="s">
        <v>461</v>
      </c>
      <c r="J406" s="49" t="s">
        <v>785</v>
      </c>
      <c r="K406" s="49" t="s">
        <v>571</v>
      </c>
      <c r="L406" s="37" t="s">
        <v>58</v>
      </c>
      <c r="M406" s="37" t="s">
        <v>78</v>
      </c>
      <c r="N406" s="17"/>
      <c r="O406" s="1"/>
      <c r="P406" s="15"/>
      <c r="Q406" s="15"/>
      <c r="R406" s="1"/>
      <c r="S406" s="1"/>
    </row>
    <row r="407" hidden="1" outlineLevel="1">
      <c r="A407" s="1"/>
      <c r="B407" s="3">
        <f t="shared" si="1"/>
        <v>403</v>
      </c>
      <c r="C407" s="31" t="s">
        <v>938</v>
      </c>
      <c r="D407" s="37" t="s">
        <v>44</v>
      </c>
      <c r="E407" s="1"/>
      <c r="F407" s="37"/>
      <c r="G407" s="37"/>
      <c r="H407" s="46">
        <v>46071.0</v>
      </c>
      <c r="I407" s="37" t="s">
        <v>26</v>
      </c>
      <c r="J407" s="49"/>
      <c r="K407" s="49"/>
      <c r="L407" s="37" t="s">
        <v>26</v>
      </c>
      <c r="M407" s="37"/>
      <c r="N407" s="17"/>
      <c r="O407" s="1"/>
      <c r="P407" s="15"/>
      <c r="Q407" s="15"/>
      <c r="R407" s="1"/>
      <c r="S407" s="1"/>
    </row>
    <row r="408" hidden="1" outlineLevel="1">
      <c r="A408" s="1"/>
      <c r="B408" s="3">
        <f t="shared" si="1"/>
        <v>404</v>
      </c>
      <c r="C408" s="31" t="s">
        <v>939</v>
      </c>
      <c r="D408" s="37" t="s">
        <v>116</v>
      </c>
      <c r="E408" s="1"/>
      <c r="F408" s="37"/>
      <c r="G408" s="37"/>
      <c r="H408" s="46">
        <v>46071.0</v>
      </c>
      <c r="I408" s="37" t="s">
        <v>461</v>
      </c>
      <c r="J408" s="49"/>
      <c r="K408" s="49"/>
      <c r="L408" s="37" t="s">
        <v>58</v>
      </c>
      <c r="M408" s="37" t="s">
        <v>54</v>
      </c>
      <c r="N408" s="17" t="s">
        <v>39</v>
      </c>
      <c r="O408" s="1"/>
      <c r="P408" s="15"/>
      <c r="Q408" s="15"/>
      <c r="R408" s="1"/>
      <c r="S408" s="1"/>
    </row>
    <row r="409" hidden="1" outlineLevel="1">
      <c r="A409" s="1"/>
      <c r="B409" s="3">
        <f t="shared" si="1"/>
        <v>405</v>
      </c>
      <c r="C409" s="31" t="s">
        <v>940</v>
      </c>
      <c r="D409" s="37" t="s">
        <v>44</v>
      </c>
      <c r="E409" s="1"/>
      <c r="F409" s="37"/>
      <c r="G409" s="37"/>
      <c r="H409" s="46">
        <v>46071.0</v>
      </c>
      <c r="I409" s="37" t="s">
        <v>461</v>
      </c>
      <c r="J409" s="49" t="s">
        <v>691</v>
      </c>
      <c r="K409" s="49" t="s">
        <v>917</v>
      </c>
      <c r="L409" s="37" t="s">
        <v>189</v>
      </c>
      <c r="M409" s="37"/>
      <c r="N409" s="17"/>
      <c r="O409" s="1"/>
      <c r="P409" s="15"/>
      <c r="Q409" s="67" t="s">
        <v>941</v>
      </c>
      <c r="R409" s="1"/>
      <c r="S409" s="1"/>
    </row>
    <row r="410" hidden="1" outlineLevel="1">
      <c r="A410" s="1"/>
      <c r="B410" s="3">
        <f t="shared" si="1"/>
        <v>406</v>
      </c>
      <c r="C410" s="31" t="s">
        <v>942</v>
      </c>
      <c r="D410" s="37" t="s">
        <v>83</v>
      </c>
      <c r="E410" s="1"/>
      <c r="F410" s="37"/>
      <c r="G410" s="37"/>
      <c r="H410" s="46">
        <v>46071.0</v>
      </c>
      <c r="I410" s="37" t="s">
        <v>461</v>
      </c>
      <c r="J410" s="49" t="s">
        <v>517</v>
      </c>
      <c r="K410" s="49" t="s">
        <v>749</v>
      </c>
      <c r="L410" s="37" t="s">
        <v>58</v>
      </c>
      <c r="M410" s="37" t="s">
        <v>45</v>
      </c>
      <c r="N410" s="17"/>
      <c r="O410" s="1"/>
      <c r="P410" s="15"/>
      <c r="Q410" s="67" t="s">
        <v>943</v>
      </c>
      <c r="R410" s="1"/>
      <c r="S410" s="1"/>
    </row>
    <row r="411" hidden="1" outlineLevel="1">
      <c r="A411" s="1"/>
      <c r="B411" s="3">
        <f t="shared" si="1"/>
        <v>407</v>
      </c>
      <c r="C411" s="31" t="s">
        <v>944</v>
      </c>
      <c r="D411" s="37" t="s">
        <v>49</v>
      </c>
      <c r="E411" s="1"/>
      <c r="F411" s="37"/>
      <c r="G411" s="37"/>
      <c r="H411" s="46">
        <v>46071.0</v>
      </c>
      <c r="I411" s="37" t="s">
        <v>461</v>
      </c>
      <c r="J411" s="49" t="s">
        <v>945</v>
      </c>
      <c r="K411" s="49"/>
      <c r="L411" s="37" t="s">
        <v>58</v>
      </c>
      <c r="M411" s="37"/>
      <c r="N411" s="17"/>
      <c r="O411" s="1"/>
      <c r="P411" s="15"/>
      <c r="Q411" s="67" t="s">
        <v>908</v>
      </c>
      <c r="R411" s="1"/>
      <c r="S411" s="1"/>
    </row>
    <row r="412" hidden="1" outlineLevel="1">
      <c r="A412" s="1"/>
      <c r="B412" s="3">
        <f t="shared" si="1"/>
        <v>408</v>
      </c>
      <c r="C412" s="31" t="s">
        <v>946</v>
      </c>
      <c r="D412" s="37" t="s">
        <v>218</v>
      </c>
      <c r="E412" s="1"/>
      <c r="F412" s="37"/>
      <c r="G412" s="37"/>
      <c r="H412" s="46">
        <v>46071.0</v>
      </c>
      <c r="I412" s="37" t="s">
        <v>461</v>
      </c>
      <c r="J412" s="49" t="s">
        <v>571</v>
      </c>
      <c r="K412" s="49"/>
      <c r="L412" s="37" t="s">
        <v>58</v>
      </c>
      <c r="M412" s="37" t="s">
        <v>45</v>
      </c>
      <c r="N412" s="17"/>
      <c r="O412" s="1"/>
      <c r="P412" s="15"/>
      <c r="Q412" s="15"/>
      <c r="R412" s="1"/>
      <c r="S412" s="1"/>
    </row>
    <row r="413" hidden="1" outlineLevel="1">
      <c r="A413" s="1"/>
      <c r="B413" s="3">
        <f t="shared" si="1"/>
        <v>409</v>
      </c>
      <c r="C413" s="31" t="s">
        <v>947</v>
      </c>
      <c r="D413" s="37" t="s">
        <v>44</v>
      </c>
      <c r="E413" s="1"/>
      <c r="F413" s="37"/>
      <c r="G413" s="37"/>
      <c r="H413" s="46">
        <v>46072.0</v>
      </c>
      <c r="I413" s="37" t="s">
        <v>461</v>
      </c>
      <c r="J413" s="49" t="s">
        <v>517</v>
      </c>
      <c r="K413" s="49" t="s">
        <v>945</v>
      </c>
      <c r="L413" s="37" t="s">
        <v>58</v>
      </c>
      <c r="M413" s="37" t="s">
        <v>130</v>
      </c>
      <c r="N413" s="17"/>
      <c r="O413" s="1"/>
      <c r="P413" s="15"/>
      <c r="Q413" s="15"/>
      <c r="R413" s="1"/>
      <c r="S413" s="1"/>
    </row>
    <row r="414" hidden="1" outlineLevel="1">
      <c r="A414" s="1"/>
      <c r="B414" s="3">
        <f t="shared" si="1"/>
        <v>410</v>
      </c>
      <c r="C414" s="31" t="s">
        <v>948</v>
      </c>
      <c r="D414" s="37" t="s">
        <v>159</v>
      </c>
      <c r="E414" s="1"/>
      <c r="F414" s="37"/>
      <c r="G414" s="37"/>
      <c r="H414" s="46">
        <v>46072.0</v>
      </c>
      <c r="I414" s="37" t="s">
        <v>26</v>
      </c>
      <c r="J414" s="49"/>
      <c r="K414" s="49"/>
      <c r="L414" s="37" t="s">
        <v>26</v>
      </c>
      <c r="M414" s="37"/>
      <c r="N414" s="17"/>
      <c r="O414" s="1"/>
      <c r="P414" s="15"/>
      <c r="Q414" s="15"/>
      <c r="R414" s="1"/>
      <c r="S414" s="1"/>
    </row>
    <row r="415" hidden="1" outlineLevel="1">
      <c r="A415" s="1"/>
      <c r="B415" s="3">
        <f t="shared" si="1"/>
        <v>411</v>
      </c>
      <c r="C415" s="31" t="s">
        <v>949</v>
      </c>
      <c r="D415" s="37" t="s">
        <v>218</v>
      </c>
      <c r="E415" s="1"/>
      <c r="F415" s="37"/>
      <c r="G415" s="37"/>
      <c r="H415" s="46">
        <v>46072.0</v>
      </c>
      <c r="I415" s="37" t="s">
        <v>26</v>
      </c>
      <c r="J415" s="49"/>
      <c r="K415" s="49"/>
      <c r="L415" s="37" t="s">
        <v>26</v>
      </c>
      <c r="M415" s="37"/>
      <c r="N415" s="17"/>
      <c r="O415" s="1"/>
      <c r="P415" s="15"/>
      <c r="Q415" s="15"/>
      <c r="R415" s="1"/>
      <c r="S415" s="1"/>
    </row>
    <row r="416" hidden="1" outlineLevel="1">
      <c r="A416" s="1"/>
      <c r="B416" s="3">
        <f t="shared" si="1"/>
        <v>412</v>
      </c>
      <c r="C416" s="31" t="s">
        <v>950</v>
      </c>
      <c r="D416" s="37" t="s">
        <v>38</v>
      </c>
      <c r="E416" s="1"/>
      <c r="F416" s="37"/>
      <c r="G416" s="37"/>
      <c r="H416" s="46">
        <v>46072.0</v>
      </c>
      <c r="I416" s="37" t="s">
        <v>461</v>
      </c>
      <c r="J416" s="49" t="s">
        <v>518</v>
      </c>
      <c r="K416" s="49" t="s">
        <v>517</v>
      </c>
      <c r="L416" s="37" t="s">
        <v>58</v>
      </c>
      <c r="M416" s="37" t="s">
        <v>45</v>
      </c>
      <c r="N416" s="17" t="s">
        <v>28</v>
      </c>
      <c r="O416" s="1"/>
      <c r="P416" s="15"/>
      <c r="Q416" s="67" t="s">
        <v>951</v>
      </c>
      <c r="R416" s="1"/>
      <c r="S416" s="1"/>
    </row>
    <row r="417" hidden="1" outlineLevel="1">
      <c r="A417" s="1"/>
      <c r="B417" s="3">
        <f t="shared" si="1"/>
        <v>413</v>
      </c>
      <c r="C417" s="31" t="s">
        <v>952</v>
      </c>
      <c r="D417" s="37" t="s">
        <v>497</v>
      </c>
      <c r="E417" s="1"/>
      <c r="F417" s="37"/>
      <c r="G417" s="37"/>
      <c r="H417" s="46">
        <v>46072.0</v>
      </c>
      <c r="I417" s="37" t="s">
        <v>461</v>
      </c>
      <c r="J417" s="49" t="s">
        <v>749</v>
      </c>
      <c r="K417" s="49" t="s">
        <v>518</v>
      </c>
      <c r="L417" s="37" t="s">
        <v>58</v>
      </c>
      <c r="M417" s="37"/>
      <c r="N417" s="17"/>
      <c r="O417" s="1"/>
      <c r="P417" s="15"/>
      <c r="Q417" s="15"/>
      <c r="R417" s="1"/>
      <c r="S417" s="1"/>
    </row>
    <row r="418" hidden="1" outlineLevel="1">
      <c r="A418" s="1"/>
      <c r="B418" s="3">
        <f t="shared" si="1"/>
        <v>414</v>
      </c>
      <c r="C418" s="31" t="s">
        <v>953</v>
      </c>
      <c r="D418" s="37" t="s">
        <v>44</v>
      </c>
      <c r="E418" s="1"/>
      <c r="F418" s="37"/>
      <c r="G418" s="37"/>
      <c r="H418" s="46">
        <v>46072.0</v>
      </c>
      <c r="I418" s="37" t="s">
        <v>461</v>
      </c>
      <c r="J418" s="49" t="s">
        <v>529</v>
      </c>
      <c r="K418" s="49" t="s">
        <v>954</v>
      </c>
      <c r="L418" s="37" t="s">
        <v>58</v>
      </c>
      <c r="M418" s="37" t="s">
        <v>45</v>
      </c>
      <c r="N418" s="17"/>
      <c r="O418" s="1"/>
      <c r="P418" s="15"/>
      <c r="Q418" s="15"/>
      <c r="R418" s="1"/>
      <c r="S418" s="1"/>
    </row>
    <row r="419" hidden="1" outlineLevel="1">
      <c r="A419" s="1"/>
      <c r="B419" s="3">
        <f t="shared" si="1"/>
        <v>415</v>
      </c>
      <c r="C419" s="31" t="s">
        <v>955</v>
      </c>
      <c r="D419" s="37" t="s">
        <v>44</v>
      </c>
      <c r="E419" s="1"/>
      <c r="F419" s="1"/>
      <c r="G419" s="37"/>
      <c r="H419" s="46">
        <v>46077.0</v>
      </c>
      <c r="I419" s="37" t="s">
        <v>413</v>
      </c>
      <c r="J419" s="49">
        <v>0.0</v>
      </c>
      <c r="K419" s="49">
        <v>250.0</v>
      </c>
      <c r="L419" s="37" t="s">
        <v>58</v>
      </c>
      <c r="M419" s="37" t="s">
        <v>57</v>
      </c>
      <c r="N419" s="17" t="s">
        <v>28</v>
      </c>
      <c r="O419" s="1"/>
      <c r="P419" s="15"/>
      <c r="Q419" s="15"/>
      <c r="R419" s="1"/>
      <c r="S419" s="1"/>
    </row>
    <row r="420" hidden="1" outlineLevel="1">
      <c r="A420" s="1"/>
      <c r="B420" s="3">
        <f t="shared" si="1"/>
        <v>416</v>
      </c>
      <c r="C420" s="31" t="s">
        <v>956</v>
      </c>
      <c r="D420" s="37" t="s">
        <v>218</v>
      </c>
      <c r="E420" s="1"/>
      <c r="F420" s="1"/>
      <c r="G420" s="37"/>
      <c r="H420" s="46">
        <v>46077.0</v>
      </c>
      <c r="I420" s="37" t="s">
        <v>461</v>
      </c>
      <c r="J420" s="49">
        <v>0.0</v>
      </c>
      <c r="K420" s="49" t="s">
        <v>957</v>
      </c>
      <c r="L420" s="37" t="s">
        <v>189</v>
      </c>
      <c r="M420" s="37"/>
      <c r="N420" s="17"/>
      <c r="O420" s="1"/>
      <c r="P420" s="15"/>
      <c r="Q420" s="15"/>
      <c r="R420" s="1"/>
      <c r="S420" s="1"/>
    </row>
    <row r="421" hidden="1" outlineLevel="1">
      <c r="A421" s="1"/>
      <c r="B421" s="3">
        <f t="shared" si="1"/>
        <v>417</v>
      </c>
      <c r="C421" s="31" t="s">
        <v>958</v>
      </c>
      <c r="D421" s="37" t="s">
        <v>38</v>
      </c>
      <c r="E421" s="1"/>
      <c r="F421" s="1"/>
      <c r="G421" s="37"/>
      <c r="H421" s="46">
        <v>46077.0</v>
      </c>
      <c r="I421" s="37" t="s">
        <v>77</v>
      </c>
      <c r="J421" s="49">
        <v>0.0</v>
      </c>
      <c r="K421" s="49"/>
      <c r="L421" s="37" t="s">
        <v>189</v>
      </c>
      <c r="M421" s="37"/>
      <c r="N421" s="17"/>
      <c r="O421" s="1"/>
      <c r="P421" s="15"/>
      <c r="Q421" s="67" t="s">
        <v>959</v>
      </c>
      <c r="R421" s="1"/>
      <c r="S421" s="1"/>
    </row>
    <row r="422" hidden="1" outlineLevel="1">
      <c r="A422" s="1"/>
      <c r="B422" s="3">
        <f t="shared" si="1"/>
        <v>418</v>
      </c>
      <c r="C422" s="31" t="s">
        <v>960</v>
      </c>
      <c r="D422" s="37" t="s">
        <v>44</v>
      </c>
      <c r="E422" s="1"/>
      <c r="F422" s="1"/>
      <c r="G422" s="37"/>
      <c r="H422" s="46">
        <v>46077.0</v>
      </c>
      <c r="I422" s="37" t="s">
        <v>461</v>
      </c>
      <c r="J422" s="49" t="s">
        <v>961</v>
      </c>
      <c r="K422" s="49" t="s">
        <v>533</v>
      </c>
      <c r="L422" s="37" t="s">
        <v>189</v>
      </c>
      <c r="M422" s="37"/>
      <c r="N422" s="17"/>
      <c r="O422" s="1"/>
      <c r="P422" s="15"/>
      <c r="Q422" s="67" t="s">
        <v>962</v>
      </c>
      <c r="R422" s="1"/>
      <c r="S422" s="1"/>
    </row>
    <row r="423" hidden="1" outlineLevel="1">
      <c r="A423" s="1"/>
      <c r="B423" s="3">
        <f t="shared" si="1"/>
        <v>419</v>
      </c>
      <c r="C423" s="31" t="s">
        <v>963</v>
      </c>
      <c r="D423" s="37" t="s">
        <v>83</v>
      </c>
      <c r="E423" s="1"/>
      <c r="F423" s="1"/>
      <c r="G423" s="37"/>
      <c r="H423" s="46">
        <v>46077.0</v>
      </c>
      <c r="I423" s="37" t="s">
        <v>461</v>
      </c>
      <c r="J423" s="49" t="s">
        <v>540</v>
      </c>
      <c r="K423" s="49" t="s">
        <v>517</v>
      </c>
      <c r="L423" s="37" t="s">
        <v>58</v>
      </c>
      <c r="M423" s="37" t="s">
        <v>45</v>
      </c>
      <c r="N423" s="17"/>
      <c r="O423" s="1"/>
      <c r="P423" s="15"/>
      <c r="Q423" s="15"/>
      <c r="R423" s="1"/>
      <c r="S423" s="1"/>
    </row>
    <row r="424" hidden="1" outlineLevel="1">
      <c r="A424" s="1"/>
      <c r="B424" s="3">
        <f t="shared" si="1"/>
        <v>420</v>
      </c>
      <c r="C424" s="31" t="s">
        <v>964</v>
      </c>
      <c r="D424" s="37" t="s">
        <v>83</v>
      </c>
      <c r="E424" s="1"/>
      <c r="F424" s="43" t="s">
        <v>965</v>
      </c>
      <c r="G424" s="37"/>
      <c r="H424" s="46">
        <v>46077.0</v>
      </c>
      <c r="I424" s="37" t="s">
        <v>461</v>
      </c>
      <c r="J424" s="49" t="s">
        <v>571</v>
      </c>
      <c r="K424" s="49" t="s">
        <v>518</v>
      </c>
      <c r="L424" s="37" t="s">
        <v>58</v>
      </c>
      <c r="M424" s="37" t="s">
        <v>68</v>
      </c>
      <c r="N424" s="17"/>
      <c r="O424" s="1"/>
      <c r="P424" s="15"/>
      <c r="Q424" s="67" t="s">
        <v>966</v>
      </c>
      <c r="R424" s="1"/>
      <c r="S424" s="1"/>
    </row>
    <row r="425" hidden="1" outlineLevel="1">
      <c r="A425" s="1"/>
      <c r="B425" s="3">
        <f t="shared" si="1"/>
        <v>421</v>
      </c>
      <c r="C425" s="31" t="s">
        <v>967</v>
      </c>
      <c r="D425" s="37" t="s">
        <v>44</v>
      </c>
      <c r="E425" s="1"/>
      <c r="F425" s="1"/>
      <c r="G425" s="37"/>
      <c r="H425" s="46">
        <v>46077.0</v>
      </c>
      <c r="I425" s="37" t="s">
        <v>461</v>
      </c>
      <c r="J425" s="49" t="s">
        <v>644</v>
      </c>
      <c r="K425" s="49" t="s">
        <v>644</v>
      </c>
      <c r="L425" s="37" t="s">
        <v>189</v>
      </c>
      <c r="M425" s="37"/>
      <c r="N425" s="17"/>
      <c r="O425" s="1"/>
      <c r="P425" s="15"/>
      <c r="Q425" s="67" t="s">
        <v>962</v>
      </c>
      <c r="R425" s="1"/>
      <c r="S425" s="1"/>
    </row>
    <row r="426" hidden="1" outlineLevel="1">
      <c r="A426" s="1"/>
      <c r="B426" s="3">
        <f t="shared" si="1"/>
        <v>422</v>
      </c>
      <c r="C426" s="31" t="s">
        <v>968</v>
      </c>
      <c r="D426" s="37" t="s">
        <v>38</v>
      </c>
      <c r="E426" s="1"/>
      <c r="F426" s="1"/>
      <c r="G426" s="37"/>
      <c r="H426" s="46">
        <v>46077.0</v>
      </c>
      <c r="I426" s="37" t="s">
        <v>461</v>
      </c>
      <c r="J426" s="49">
        <v>0.0</v>
      </c>
      <c r="K426" s="49" t="s">
        <v>969</v>
      </c>
      <c r="L426" s="37" t="s">
        <v>58</v>
      </c>
      <c r="M426" s="37" t="s">
        <v>45</v>
      </c>
      <c r="N426" s="17"/>
      <c r="O426" s="1"/>
      <c r="P426" s="15"/>
      <c r="Q426" s="15"/>
      <c r="R426" s="1"/>
      <c r="S426" s="1"/>
    </row>
    <row r="427" hidden="1" outlineLevel="1">
      <c r="A427" s="1"/>
      <c r="B427" s="3">
        <f t="shared" si="1"/>
        <v>423</v>
      </c>
      <c r="C427" s="31" t="s">
        <v>970</v>
      </c>
      <c r="D427" s="37" t="s">
        <v>56</v>
      </c>
      <c r="E427" s="1"/>
      <c r="F427" s="1"/>
      <c r="G427" s="37"/>
      <c r="H427" s="46">
        <v>46077.0</v>
      </c>
      <c r="I427" s="37" t="s">
        <v>452</v>
      </c>
      <c r="J427" s="49">
        <v>0.0</v>
      </c>
      <c r="K427" s="49">
        <v>350.0</v>
      </c>
      <c r="L427" s="37" t="s">
        <v>58</v>
      </c>
      <c r="M427" s="37" t="s">
        <v>78</v>
      </c>
      <c r="N427" s="17" t="s">
        <v>28</v>
      </c>
      <c r="O427" s="1"/>
      <c r="P427" s="15"/>
      <c r="Q427" s="15"/>
      <c r="R427" s="1"/>
      <c r="S427" s="1"/>
    </row>
    <row r="428" hidden="1" outlineLevel="1">
      <c r="A428" s="1"/>
      <c r="B428" s="3">
        <f t="shared" si="1"/>
        <v>424</v>
      </c>
      <c r="C428" s="31" t="s">
        <v>971</v>
      </c>
      <c r="D428" s="37" t="s">
        <v>116</v>
      </c>
      <c r="E428" s="1"/>
      <c r="F428" s="1"/>
      <c r="G428" s="37"/>
      <c r="H428" s="46">
        <v>46077.0</v>
      </c>
      <c r="I428" s="37" t="s">
        <v>413</v>
      </c>
      <c r="J428" s="49">
        <v>0.0</v>
      </c>
      <c r="K428" s="49" t="s">
        <v>972</v>
      </c>
      <c r="L428" s="37" t="s">
        <v>58</v>
      </c>
      <c r="M428" s="37" t="s">
        <v>130</v>
      </c>
      <c r="N428" s="17"/>
      <c r="O428" s="1"/>
      <c r="P428" s="15"/>
      <c r="Q428" s="15"/>
      <c r="R428" s="1"/>
      <c r="S428" s="1"/>
    </row>
    <row r="429" hidden="1" outlineLevel="1">
      <c r="A429" s="1"/>
      <c r="B429" s="3">
        <f t="shared" si="1"/>
        <v>425</v>
      </c>
      <c r="C429" s="31" t="s">
        <v>973</v>
      </c>
      <c r="D429" s="37" t="s">
        <v>44</v>
      </c>
      <c r="E429" s="1"/>
      <c r="F429" s="1"/>
      <c r="G429" s="37"/>
      <c r="H429" s="46">
        <v>46077.0</v>
      </c>
      <c r="I429" s="37" t="s">
        <v>461</v>
      </c>
      <c r="J429" s="49" t="s">
        <v>529</v>
      </c>
      <c r="K429" s="49" t="s">
        <v>517</v>
      </c>
      <c r="L429" s="37" t="s">
        <v>58</v>
      </c>
      <c r="M429" s="37" t="s">
        <v>45</v>
      </c>
      <c r="N429" s="17" t="s">
        <v>28</v>
      </c>
      <c r="O429" s="1"/>
      <c r="P429" s="15"/>
      <c r="Q429" s="67" t="s">
        <v>974</v>
      </c>
      <c r="R429" s="1"/>
      <c r="S429" s="1"/>
    </row>
    <row r="430" hidden="1" outlineLevel="1">
      <c r="A430" s="1"/>
      <c r="B430" s="3">
        <f t="shared" si="1"/>
        <v>426</v>
      </c>
      <c r="C430" s="31" t="s">
        <v>975</v>
      </c>
      <c r="D430" s="37" t="s">
        <v>218</v>
      </c>
      <c r="E430" s="1"/>
      <c r="F430" s="1"/>
      <c r="G430" s="37"/>
      <c r="H430" s="46">
        <v>46077.0</v>
      </c>
      <c r="I430" s="37" t="s">
        <v>461</v>
      </c>
      <c r="J430" s="49" t="s">
        <v>976</v>
      </c>
      <c r="K430" s="49" t="s">
        <v>976</v>
      </c>
      <c r="L430" s="37" t="s">
        <v>58</v>
      </c>
      <c r="M430" s="37" t="s">
        <v>130</v>
      </c>
      <c r="N430" s="17"/>
      <c r="O430" s="1"/>
      <c r="P430" s="15"/>
      <c r="Q430" s="15"/>
      <c r="R430" s="1"/>
      <c r="S430" s="1"/>
    </row>
    <row r="431" hidden="1" outlineLevel="1">
      <c r="A431" s="1"/>
      <c r="B431" s="3">
        <f t="shared" si="1"/>
        <v>427</v>
      </c>
      <c r="C431" s="31" t="s">
        <v>977</v>
      </c>
      <c r="D431" s="37" t="s">
        <v>218</v>
      </c>
      <c r="E431" s="1"/>
      <c r="F431" s="1"/>
      <c r="G431" s="37"/>
      <c r="H431" s="46">
        <v>46077.0</v>
      </c>
      <c r="I431" s="37" t="s">
        <v>461</v>
      </c>
      <c r="J431" s="49" t="s">
        <v>557</v>
      </c>
      <c r="K431" s="49" t="s">
        <v>648</v>
      </c>
      <c r="L431" s="37" t="s">
        <v>58</v>
      </c>
      <c r="M431" s="37" t="s">
        <v>45</v>
      </c>
      <c r="N431" s="17"/>
      <c r="O431" s="1"/>
      <c r="P431" s="15"/>
      <c r="Q431" s="15"/>
      <c r="R431" s="1"/>
      <c r="S431" s="1"/>
    </row>
    <row r="432" hidden="1" outlineLevel="1">
      <c r="A432" s="1"/>
      <c r="B432" s="3">
        <f t="shared" si="1"/>
        <v>428</v>
      </c>
      <c r="C432" s="31" t="s">
        <v>978</v>
      </c>
      <c r="D432" s="37" t="s">
        <v>96</v>
      </c>
      <c r="E432" s="1"/>
      <c r="F432" s="1"/>
      <c r="G432" s="37"/>
      <c r="H432" s="46">
        <v>46077.0</v>
      </c>
      <c r="I432" s="37" t="s">
        <v>413</v>
      </c>
      <c r="J432" s="49" t="s">
        <v>605</v>
      </c>
      <c r="K432" s="49" t="s">
        <v>662</v>
      </c>
      <c r="L432" s="37" t="s">
        <v>58</v>
      </c>
      <c r="M432" s="37" t="s">
        <v>65</v>
      </c>
      <c r="N432" s="17"/>
      <c r="O432" s="1"/>
      <c r="P432" s="15"/>
      <c r="Q432" s="15"/>
      <c r="R432" s="1"/>
      <c r="S432" s="1"/>
    </row>
    <row r="433" hidden="1" outlineLevel="1">
      <c r="A433" s="1"/>
      <c r="B433" s="3">
        <f t="shared" si="1"/>
        <v>429</v>
      </c>
      <c r="C433" s="31" t="s">
        <v>979</v>
      </c>
      <c r="D433" s="37" t="s">
        <v>497</v>
      </c>
      <c r="E433" s="1"/>
      <c r="F433" s="1"/>
      <c r="G433" s="37"/>
      <c r="H433" s="46">
        <v>46077.0</v>
      </c>
      <c r="I433" s="37" t="s">
        <v>461</v>
      </c>
      <c r="J433" s="49" t="s">
        <v>980</v>
      </c>
      <c r="K433" s="49" t="s">
        <v>648</v>
      </c>
      <c r="L433" s="37" t="s">
        <v>58</v>
      </c>
      <c r="M433" s="37" t="s">
        <v>45</v>
      </c>
      <c r="N433" s="17"/>
      <c r="O433" s="1"/>
      <c r="P433" s="15"/>
      <c r="Q433" s="67" t="s">
        <v>981</v>
      </c>
      <c r="R433" s="1"/>
      <c r="S433" s="1"/>
    </row>
    <row r="434" hidden="1" outlineLevel="1">
      <c r="A434" s="1"/>
      <c r="B434" s="3">
        <f t="shared" si="1"/>
        <v>430</v>
      </c>
      <c r="C434" s="31" t="s">
        <v>982</v>
      </c>
      <c r="D434" s="37" t="s">
        <v>497</v>
      </c>
      <c r="E434" s="1"/>
      <c r="F434" s="43" t="s">
        <v>983</v>
      </c>
      <c r="G434" s="37"/>
      <c r="H434" s="46">
        <v>46077.0</v>
      </c>
      <c r="I434" s="37" t="s">
        <v>461</v>
      </c>
      <c r="J434" s="49" t="s">
        <v>571</v>
      </c>
      <c r="K434" s="49" t="s">
        <v>984</v>
      </c>
      <c r="L434" s="37" t="s">
        <v>58</v>
      </c>
      <c r="M434" s="37" t="s">
        <v>130</v>
      </c>
      <c r="N434" s="17"/>
      <c r="O434" s="1"/>
      <c r="P434" s="15"/>
      <c r="Q434" s="67" t="s">
        <v>985</v>
      </c>
      <c r="R434" s="1"/>
      <c r="S434" s="1"/>
    </row>
    <row r="435" hidden="1" outlineLevel="1">
      <c r="A435" s="1"/>
      <c r="B435" s="3">
        <f t="shared" si="1"/>
        <v>431</v>
      </c>
      <c r="C435" s="31" t="s">
        <v>986</v>
      </c>
      <c r="D435" s="37" t="s">
        <v>497</v>
      </c>
      <c r="E435" s="1"/>
      <c r="F435" s="1"/>
      <c r="G435" s="37"/>
      <c r="H435" s="46">
        <v>46077.0</v>
      </c>
      <c r="I435" s="37" t="s">
        <v>452</v>
      </c>
      <c r="J435" s="49" t="s">
        <v>571</v>
      </c>
      <c r="K435" s="49"/>
      <c r="L435" s="37" t="s">
        <v>58</v>
      </c>
      <c r="M435" s="37" t="s">
        <v>45</v>
      </c>
      <c r="N435" s="17"/>
      <c r="O435" s="1"/>
      <c r="P435" s="15"/>
      <c r="Q435" s="15"/>
      <c r="R435" s="1"/>
      <c r="S435" s="1"/>
    </row>
    <row r="436" hidden="1" outlineLevel="1">
      <c r="A436" s="1"/>
      <c r="B436" s="3">
        <f t="shared" si="1"/>
        <v>432</v>
      </c>
      <c r="C436" s="31" t="s">
        <v>987</v>
      </c>
      <c r="D436" s="37" t="s">
        <v>218</v>
      </c>
      <c r="E436" s="1"/>
      <c r="F436" s="1"/>
      <c r="G436" s="37"/>
      <c r="H436" s="46">
        <v>46077.0</v>
      </c>
      <c r="I436" s="37" t="s">
        <v>461</v>
      </c>
      <c r="J436" s="49" t="s">
        <v>988</v>
      </c>
      <c r="K436" s="49" t="s">
        <v>648</v>
      </c>
      <c r="L436" s="37" t="s">
        <v>189</v>
      </c>
      <c r="M436" s="37"/>
      <c r="N436" s="17"/>
      <c r="O436" s="1"/>
      <c r="P436" s="15"/>
      <c r="Q436" s="15"/>
      <c r="R436" s="1"/>
      <c r="S436" s="1"/>
    </row>
    <row r="437" hidden="1" outlineLevel="1">
      <c r="A437" s="1"/>
      <c r="B437" s="3">
        <f t="shared" si="1"/>
        <v>433</v>
      </c>
      <c r="C437" s="31" t="s">
        <v>989</v>
      </c>
      <c r="D437" s="37" t="s">
        <v>56</v>
      </c>
      <c r="E437" s="1"/>
      <c r="F437" s="1"/>
      <c r="G437" s="37"/>
      <c r="H437" s="46">
        <v>46077.0</v>
      </c>
      <c r="I437" s="37" t="s">
        <v>461</v>
      </c>
      <c r="J437" s="49"/>
      <c r="K437" s="49" t="s">
        <v>517</v>
      </c>
      <c r="L437" s="37" t="s">
        <v>189</v>
      </c>
      <c r="M437" s="37"/>
      <c r="N437" s="17"/>
      <c r="O437" s="1"/>
      <c r="P437" s="15"/>
      <c r="Q437" s="15"/>
      <c r="R437" s="1"/>
      <c r="S437" s="1"/>
    </row>
    <row r="438" hidden="1" outlineLevel="1">
      <c r="A438" s="1"/>
      <c r="B438" s="3">
        <f t="shared" si="1"/>
        <v>434</v>
      </c>
      <c r="C438" s="31" t="s">
        <v>990</v>
      </c>
      <c r="D438" s="37" t="s">
        <v>186</v>
      </c>
      <c r="E438" s="1"/>
      <c r="F438" s="1"/>
      <c r="G438" s="37"/>
      <c r="H438" s="46">
        <v>46078.0</v>
      </c>
      <c r="I438" s="37" t="s">
        <v>461</v>
      </c>
      <c r="J438" s="49" t="s">
        <v>672</v>
      </c>
      <c r="K438" s="49" t="s">
        <v>677</v>
      </c>
      <c r="L438" s="37" t="s">
        <v>58</v>
      </c>
      <c r="M438" s="37" t="s">
        <v>130</v>
      </c>
      <c r="N438" s="17"/>
      <c r="O438" s="1"/>
      <c r="P438" s="15"/>
      <c r="Q438" s="15"/>
      <c r="R438" s="1"/>
      <c r="S438" s="1"/>
    </row>
    <row r="439" hidden="1" outlineLevel="1">
      <c r="A439" s="1"/>
      <c r="B439" s="3">
        <f t="shared" si="1"/>
        <v>435</v>
      </c>
      <c r="C439" s="31" t="s">
        <v>991</v>
      </c>
      <c r="D439" s="37" t="s">
        <v>497</v>
      </c>
      <c r="E439" s="1"/>
      <c r="F439" s="1"/>
      <c r="G439" s="37"/>
      <c r="H439" s="46">
        <v>46078.0</v>
      </c>
      <c r="I439" s="37" t="s">
        <v>461</v>
      </c>
      <c r="J439" s="49" t="s">
        <v>557</v>
      </c>
      <c r="K439" s="49" t="s">
        <v>992</v>
      </c>
      <c r="L439" s="37" t="s">
        <v>58</v>
      </c>
      <c r="M439" s="37" t="s">
        <v>130</v>
      </c>
      <c r="N439" s="17"/>
      <c r="O439" s="1"/>
      <c r="P439" s="15"/>
      <c r="Q439" s="15"/>
      <c r="R439" s="1"/>
      <c r="S439" s="1"/>
    </row>
    <row r="440" hidden="1" outlineLevel="1">
      <c r="A440" s="1"/>
      <c r="B440" s="3">
        <f t="shared" si="1"/>
        <v>436</v>
      </c>
      <c r="C440" s="31" t="s">
        <v>993</v>
      </c>
      <c r="D440" s="37" t="s">
        <v>44</v>
      </c>
      <c r="E440" s="1"/>
      <c r="F440" s="1"/>
      <c r="G440" s="37"/>
      <c r="H440" s="46">
        <v>46078.0</v>
      </c>
      <c r="I440" s="37" t="s">
        <v>461</v>
      </c>
      <c r="J440" s="49" t="s">
        <v>994</v>
      </c>
      <c r="K440" s="49" t="s">
        <v>571</v>
      </c>
      <c r="L440" s="37" t="s">
        <v>189</v>
      </c>
      <c r="M440" s="37"/>
      <c r="N440" s="17"/>
      <c r="O440" s="1"/>
      <c r="P440" s="15"/>
      <c r="Q440" s="15"/>
      <c r="R440" s="1"/>
      <c r="S440" s="1"/>
    </row>
    <row r="441" hidden="1" outlineLevel="1">
      <c r="A441" s="1"/>
      <c r="B441" s="3">
        <f t="shared" si="1"/>
        <v>437</v>
      </c>
      <c r="C441" s="31" t="s">
        <v>995</v>
      </c>
      <c r="D441" s="37" t="s">
        <v>38</v>
      </c>
      <c r="E441" s="1"/>
      <c r="F441" s="1"/>
      <c r="G441" s="37"/>
      <c r="H441" s="46">
        <v>46078.0</v>
      </c>
      <c r="I441" s="37" t="s">
        <v>461</v>
      </c>
      <c r="J441" s="49" t="s">
        <v>529</v>
      </c>
      <c r="K441" s="49" t="s">
        <v>569</v>
      </c>
      <c r="L441" s="37" t="s">
        <v>58</v>
      </c>
      <c r="M441" s="37" t="s">
        <v>130</v>
      </c>
      <c r="N441" s="17"/>
      <c r="O441" s="1"/>
      <c r="P441" s="15"/>
      <c r="Q441" s="15"/>
      <c r="R441" s="1"/>
      <c r="S441" s="1"/>
    </row>
    <row r="442" hidden="1" outlineLevel="1">
      <c r="A442" s="1"/>
      <c r="B442" s="3">
        <f t="shared" si="1"/>
        <v>438</v>
      </c>
      <c r="C442" s="31" t="s">
        <v>996</v>
      </c>
      <c r="D442" s="37" t="s">
        <v>159</v>
      </c>
      <c r="E442" s="1"/>
      <c r="F442" s="1"/>
      <c r="G442" s="37"/>
      <c r="H442" s="46">
        <v>46078.0</v>
      </c>
      <c r="I442" s="37" t="s">
        <v>461</v>
      </c>
      <c r="J442" s="49"/>
      <c r="K442" s="49" t="s">
        <v>997</v>
      </c>
      <c r="L442" s="37" t="s">
        <v>189</v>
      </c>
      <c r="M442" s="37"/>
      <c r="N442" s="17"/>
      <c r="O442" s="1"/>
      <c r="P442" s="15"/>
      <c r="Q442" s="15"/>
      <c r="R442" s="1"/>
      <c r="S442" s="1"/>
    </row>
    <row r="443" hidden="1" outlineLevel="1">
      <c r="A443" s="1"/>
      <c r="B443" s="3">
        <f t="shared" si="1"/>
        <v>439</v>
      </c>
      <c r="C443" s="31" t="s">
        <v>998</v>
      </c>
      <c r="D443" s="37" t="s">
        <v>44</v>
      </c>
      <c r="E443" s="1"/>
      <c r="F443" s="1"/>
      <c r="G443" s="37"/>
      <c r="H443" s="46">
        <v>46078.0</v>
      </c>
      <c r="I443" s="37" t="s">
        <v>461</v>
      </c>
      <c r="J443" s="49" t="s">
        <v>691</v>
      </c>
      <c r="K443" s="49" t="s">
        <v>765</v>
      </c>
      <c r="L443" s="37" t="s">
        <v>58</v>
      </c>
      <c r="M443" s="37" t="s">
        <v>130</v>
      </c>
      <c r="N443" s="17"/>
      <c r="O443" s="1"/>
      <c r="P443" s="15"/>
      <c r="Q443" s="15"/>
      <c r="R443" s="1"/>
      <c r="S443" s="1"/>
    </row>
    <row r="444" hidden="1" outlineLevel="1">
      <c r="A444" s="1"/>
      <c r="B444" s="3">
        <f t="shared" si="1"/>
        <v>440</v>
      </c>
      <c r="C444" s="31" t="s">
        <v>999</v>
      </c>
      <c r="D444" s="37" t="s">
        <v>112</v>
      </c>
      <c r="E444" s="1"/>
      <c r="F444" s="1"/>
      <c r="G444" s="37"/>
      <c r="H444" s="46">
        <v>46078.0</v>
      </c>
      <c r="I444" s="37" t="s">
        <v>461</v>
      </c>
      <c r="J444" s="49"/>
      <c r="K444" s="49"/>
      <c r="L444" s="37" t="s">
        <v>58</v>
      </c>
      <c r="M444" s="37"/>
      <c r="N444" s="17"/>
      <c r="O444" s="1"/>
      <c r="P444" s="15"/>
      <c r="Q444" s="67" t="s">
        <v>1000</v>
      </c>
      <c r="R444" s="1"/>
      <c r="S444" s="1"/>
    </row>
    <row r="445" hidden="1" outlineLevel="1">
      <c r="A445" s="1"/>
      <c r="B445" s="3">
        <f t="shared" si="1"/>
        <v>441</v>
      </c>
      <c r="C445" s="31" t="s">
        <v>1001</v>
      </c>
      <c r="D445" s="37" t="s">
        <v>49</v>
      </c>
      <c r="E445" s="1"/>
      <c r="F445" s="1"/>
      <c r="G445" s="37"/>
      <c r="H445" s="46">
        <v>46078.0</v>
      </c>
      <c r="I445" s="37" t="s">
        <v>452</v>
      </c>
      <c r="J445" s="49" t="s">
        <v>571</v>
      </c>
      <c r="K445" s="49" t="s">
        <v>709</v>
      </c>
      <c r="L445" s="37" t="s">
        <v>58</v>
      </c>
      <c r="M445" s="37" t="s">
        <v>130</v>
      </c>
      <c r="N445" s="17"/>
      <c r="O445" s="1"/>
      <c r="P445" s="15"/>
      <c r="Q445" s="15"/>
      <c r="R445" s="1"/>
      <c r="S445" s="1"/>
    </row>
    <row r="446" hidden="1" outlineLevel="1">
      <c r="A446" s="1"/>
      <c r="B446" s="3">
        <f t="shared" si="1"/>
        <v>442</v>
      </c>
      <c r="C446" s="31" t="s">
        <v>1002</v>
      </c>
      <c r="D446" s="37" t="s">
        <v>44</v>
      </c>
      <c r="E446" s="1"/>
      <c r="F446" s="1"/>
      <c r="G446" s="37"/>
      <c r="H446" s="46">
        <v>46078.0</v>
      </c>
      <c r="I446" s="37" t="s">
        <v>461</v>
      </c>
      <c r="J446" s="49" t="s">
        <v>573</v>
      </c>
      <c r="K446" s="49" t="s">
        <v>574</v>
      </c>
      <c r="L446" s="37" t="s">
        <v>58</v>
      </c>
      <c r="M446" s="37" t="s">
        <v>130</v>
      </c>
      <c r="N446" s="17"/>
      <c r="O446" s="1"/>
      <c r="P446" s="15"/>
      <c r="Q446" s="15"/>
      <c r="R446" s="1"/>
      <c r="S446" s="1"/>
    </row>
    <row r="447" hidden="1" outlineLevel="1">
      <c r="A447" s="1"/>
      <c r="B447" s="3">
        <f t="shared" si="1"/>
        <v>443</v>
      </c>
      <c r="C447" s="31" t="s">
        <v>1003</v>
      </c>
      <c r="D447" s="37" t="s">
        <v>44</v>
      </c>
      <c r="E447" s="1"/>
      <c r="F447" s="1"/>
      <c r="G447" s="37"/>
      <c r="H447" s="46">
        <v>46078.0</v>
      </c>
      <c r="I447" s="37" t="s">
        <v>413</v>
      </c>
      <c r="J447" s="49" t="s">
        <v>529</v>
      </c>
      <c r="K447" s="49" t="s">
        <v>517</v>
      </c>
      <c r="L447" s="37" t="s">
        <v>58</v>
      </c>
      <c r="M447" s="37" t="s">
        <v>130</v>
      </c>
      <c r="N447" s="17"/>
      <c r="O447" s="1"/>
      <c r="P447" s="15"/>
      <c r="Q447" s="15"/>
      <c r="R447" s="1"/>
      <c r="S447" s="1"/>
    </row>
    <row r="448" hidden="1" outlineLevel="1">
      <c r="A448" s="1"/>
      <c r="B448" s="3">
        <f t="shared" si="1"/>
        <v>444</v>
      </c>
      <c r="C448" s="31" t="s">
        <v>1004</v>
      </c>
      <c r="D448" s="37" t="s">
        <v>56</v>
      </c>
      <c r="E448" s="1"/>
      <c r="F448" s="1"/>
      <c r="G448" s="37"/>
      <c r="H448" s="46">
        <v>46078.0</v>
      </c>
      <c r="I448" s="37" t="s">
        <v>413</v>
      </c>
      <c r="J448" s="49" t="s">
        <v>573</v>
      </c>
      <c r="K448" s="49" t="s">
        <v>574</v>
      </c>
      <c r="L448" s="37" t="s">
        <v>189</v>
      </c>
      <c r="M448" s="37"/>
      <c r="N448" s="17"/>
      <c r="O448" s="1"/>
      <c r="P448" s="15"/>
      <c r="Q448" s="15"/>
      <c r="R448" s="1"/>
      <c r="S448" s="1"/>
    </row>
    <row r="449" hidden="1" outlineLevel="1">
      <c r="A449" s="1"/>
      <c r="B449" s="3">
        <f t="shared" si="1"/>
        <v>445</v>
      </c>
      <c r="C449" s="31" t="s">
        <v>1005</v>
      </c>
      <c r="D449" s="37" t="s">
        <v>83</v>
      </c>
      <c r="E449" s="1"/>
      <c r="F449" s="1"/>
      <c r="G449" s="37"/>
      <c r="H449" s="46">
        <v>46078.0</v>
      </c>
      <c r="I449" s="37" t="s">
        <v>461</v>
      </c>
      <c r="J449" s="49" t="s">
        <v>605</v>
      </c>
      <c r="K449" s="49" t="s">
        <v>533</v>
      </c>
      <c r="L449" s="37" t="s">
        <v>189</v>
      </c>
      <c r="M449" s="37"/>
      <c r="N449" s="17"/>
      <c r="O449" s="1"/>
      <c r="P449" s="15"/>
      <c r="Q449" s="67" t="s">
        <v>1006</v>
      </c>
      <c r="R449" s="1"/>
      <c r="S449" s="1"/>
    </row>
    <row r="450" hidden="1" outlineLevel="1">
      <c r="A450" s="1"/>
      <c r="B450" s="3">
        <f t="shared" si="1"/>
        <v>446</v>
      </c>
      <c r="C450" s="31" t="s">
        <v>1007</v>
      </c>
      <c r="D450" s="37" t="s">
        <v>116</v>
      </c>
      <c r="E450" s="1"/>
      <c r="F450" s="1"/>
      <c r="G450" s="37"/>
      <c r="H450" s="46">
        <v>46078.0</v>
      </c>
      <c r="I450" s="37" t="s">
        <v>413</v>
      </c>
      <c r="J450" s="49"/>
      <c r="K450" s="49"/>
      <c r="L450" s="37" t="s">
        <v>58</v>
      </c>
      <c r="M450" s="37" t="s">
        <v>57</v>
      </c>
      <c r="N450" s="17"/>
      <c r="O450" s="1"/>
      <c r="P450" s="15"/>
      <c r="Q450" s="15"/>
      <c r="R450" s="1"/>
      <c r="S450" s="1"/>
    </row>
    <row r="451" hidden="1" outlineLevel="1">
      <c r="A451" s="1"/>
      <c r="B451" s="3">
        <f t="shared" si="1"/>
        <v>447</v>
      </c>
      <c r="C451" s="31" t="s">
        <v>1008</v>
      </c>
      <c r="D451" s="37" t="s">
        <v>44</v>
      </c>
      <c r="E451" s="1"/>
      <c r="F451" s="1"/>
      <c r="G451" s="37"/>
      <c r="H451" s="46">
        <v>46078.0</v>
      </c>
      <c r="I451" s="37" t="s">
        <v>461</v>
      </c>
      <c r="J451" s="49" t="s">
        <v>515</v>
      </c>
      <c r="K451" s="49" t="s">
        <v>515</v>
      </c>
      <c r="L451" s="37" t="s">
        <v>189</v>
      </c>
      <c r="M451" s="37"/>
      <c r="N451" s="17"/>
      <c r="O451" s="1"/>
      <c r="P451" s="15"/>
      <c r="Q451" s="67" t="s">
        <v>1009</v>
      </c>
      <c r="R451" s="1"/>
      <c r="S451" s="1"/>
    </row>
    <row r="452" hidden="1" outlineLevel="1">
      <c r="A452" s="1"/>
      <c r="B452" s="3">
        <f t="shared" si="1"/>
        <v>448</v>
      </c>
      <c r="C452" s="31" t="s">
        <v>1010</v>
      </c>
      <c r="D452" s="37" t="s">
        <v>96</v>
      </c>
      <c r="E452" s="37"/>
      <c r="F452" s="1"/>
      <c r="G452" s="37"/>
      <c r="H452" s="46">
        <v>46078.0</v>
      </c>
      <c r="I452" s="37" t="s">
        <v>461</v>
      </c>
      <c r="J452" s="49" t="s">
        <v>515</v>
      </c>
      <c r="K452" s="49" t="s">
        <v>923</v>
      </c>
      <c r="L452" s="37" t="s">
        <v>58</v>
      </c>
      <c r="M452" s="37" t="s">
        <v>65</v>
      </c>
      <c r="N452" s="17" t="s">
        <v>28</v>
      </c>
      <c r="O452" s="37" t="s">
        <v>16</v>
      </c>
      <c r="P452" s="67" t="s">
        <v>1011</v>
      </c>
      <c r="Q452" s="15"/>
      <c r="R452" s="1"/>
      <c r="S452" s="1"/>
    </row>
    <row r="453" hidden="1" outlineLevel="1">
      <c r="A453" s="1"/>
      <c r="B453" s="3">
        <f t="shared" si="1"/>
        <v>449</v>
      </c>
      <c r="C453" s="31" t="s">
        <v>1012</v>
      </c>
      <c r="D453" s="37" t="s">
        <v>49</v>
      </c>
      <c r="E453" s="1"/>
      <c r="F453" s="1"/>
      <c r="G453" s="37"/>
      <c r="H453" s="46">
        <v>46078.0</v>
      </c>
      <c r="I453" s="37" t="s">
        <v>461</v>
      </c>
      <c r="J453" s="49" t="s">
        <v>648</v>
      </c>
      <c r="K453" s="49" t="s">
        <v>515</v>
      </c>
      <c r="L453" s="37" t="s">
        <v>58</v>
      </c>
      <c r="M453" s="37"/>
      <c r="N453" s="17"/>
      <c r="O453" s="1"/>
      <c r="P453" s="15"/>
      <c r="Q453" s="67" t="s">
        <v>1013</v>
      </c>
      <c r="R453" s="1"/>
      <c r="S453" s="1"/>
    </row>
    <row r="454" hidden="1" outlineLevel="1">
      <c r="A454" s="1"/>
      <c r="B454" s="3">
        <f t="shared" si="1"/>
        <v>450</v>
      </c>
      <c r="C454" s="31" t="s">
        <v>1014</v>
      </c>
      <c r="D454" s="37" t="s">
        <v>218</v>
      </c>
      <c r="E454" s="1"/>
      <c r="F454" s="1"/>
      <c r="G454" s="37"/>
      <c r="H454" s="46">
        <v>46078.0</v>
      </c>
      <c r="I454" s="37" t="s">
        <v>461</v>
      </c>
      <c r="J454" s="49" t="s">
        <v>677</v>
      </c>
      <c r="K454" s="49" t="s">
        <v>1015</v>
      </c>
      <c r="L454" s="37" t="s">
        <v>58</v>
      </c>
      <c r="M454" s="37" t="s">
        <v>130</v>
      </c>
      <c r="N454" s="17"/>
      <c r="O454" s="1"/>
      <c r="P454" s="15"/>
      <c r="Q454" s="15"/>
      <c r="R454" s="1"/>
      <c r="S454" s="1"/>
    </row>
    <row r="455" hidden="1" outlineLevel="1">
      <c r="A455" s="1"/>
      <c r="B455" s="3">
        <f t="shared" si="1"/>
        <v>451</v>
      </c>
      <c r="C455" s="31" t="s">
        <v>1016</v>
      </c>
      <c r="D455" s="37" t="s">
        <v>218</v>
      </c>
      <c r="E455" s="1"/>
      <c r="F455" s="1"/>
      <c r="G455" s="37"/>
      <c r="H455" s="46">
        <v>46078.0</v>
      </c>
      <c r="I455" s="37" t="s">
        <v>461</v>
      </c>
      <c r="J455" s="49" t="s">
        <v>1017</v>
      </c>
      <c r="K455" s="49" t="s">
        <v>763</v>
      </c>
      <c r="L455" s="37" t="s">
        <v>58</v>
      </c>
      <c r="M455" s="37" t="s">
        <v>130</v>
      </c>
      <c r="N455" s="17"/>
      <c r="O455" s="1"/>
      <c r="P455" s="15"/>
      <c r="Q455" s="15"/>
      <c r="R455" s="1"/>
      <c r="S455" s="1"/>
    </row>
    <row r="456" hidden="1" outlineLevel="1">
      <c r="A456" s="1"/>
      <c r="B456" s="3">
        <f t="shared" si="1"/>
        <v>452</v>
      </c>
      <c r="C456" s="31" t="s">
        <v>1018</v>
      </c>
      <c r="D456" s="37" t="s">
        <v>44</v>
      </c>
      <c r="E456" s="1"/>
      <c r="F456" s="1"/>
      <c r="G456" s="37"/>
      <c r="H456" s="46">
        <v>46078.0</v>
      </c>
      <c r="I456" s="37" t="s">
        <v>461</v>
      </c>
      <c r="J456" s="49" t="s">
        <v>769</v>
      </c>
      <c r="K456" s="49" t="s">
        <v>517</v>
      </c>
      <c r="L456" s="37" t="s">
        <v>58</v>
      </c>
      <c r="M456" s="37" t="s">
        <v>45</v>
      </c>
      <c r="N456" s="17"/>
      <c r="O456" s="1"/>
      <c r="P456" s="15"/>
      <c r="Q456" s="67" t="s">
        <v>1019</v>
      </c>
      <c r="R456" s="1"/>
      <c r="S456" s="1"/>
    </row>
    <row r="457" hidden="1" outlineLevel="1">
      <c r="A457" s="1"/>
      <c r="B457" s="3">
        <f t="shared" si="1"/>
        <v>453</v>
      </c>
      <c r="C457" s="31" t="s">
        <v>986</v>
      </c>
      <c r="D457" s="37" t="s">
        <v>49</v>
      </c>
      <c r="E457" s="1"/>
      <c r="F457" s="1"/>
      <c r="G457" s="37"/>
      <c r="H457" s="46">
        <v>46078.0</v>
      </c>
      <c r="I457" s="37" t="s">
        <v>452</v>
      </c>
      <c r="J457" s="49" t="s">
        <v>571</v>
      </c>
      <c r="K457" s="49" t="s">
        <v>984</v>
      </c>
      <c r="L457" s="37" t="s">
        <v>58</v>
      </c>
      <c r="M457" s="37" t="s">
        <v>45</v>
      </c>
      <c r="N457" s="17"/>
      <c r="O457" s="1"/>
      <c r="P457" s="15"/>
      <c r="Q457" s="15"/>
      <c r="R457" s="1"/>
      <c r="S457" s="1"/>
    </row>
    <row r="458" hidden="1" outlineLevel="1">
      <c r="A458" s="1"/>
      <c r="B458" s="3">
        <f t="shared" si="1"/>
        <v>454</v>
      </c>
      <c r="C458" s="31" t="s">
        <v>1020</v>
      </c>
      <c r="D458" s="37" t="s">
        <v>116</v>
      </c>
      <c r="E458" s="1"/>
      <c r="F458" s="1"/>
      <c r="G458" s="37"/>
      <c r="H458" s="46">
        <v>46078.0</v>
      </c>
      <c r="I458" s="37" t="s">
        <v>413</v>
      </c>
      <c r="J458" s="49" t="s">
        <v>571</v>
      </c>
      <c r="K458" s="49" t="s">
        <v>571</v>
      </c>
      <c r="L458" s="37" t="s">
        <v>58</v>
      </c>
      <c r="M458" s="37" t="s">
        <v>130</v>
      </c>
      <c r="N458" s="17"/>
      <c r="O458" s="1"/>
      <c r="P458" s="15"/>
      <c r="Q458" s="15"/>
      <c r="R458" s="1"/>
      <c r="S458" s="1"/>
    </row>
    <row r="459" hidden="1" outlineLevel="1">
      <c r="A459" s="1"/>
      <c r="B459" s="3">
        <f t="shared" si="1"/>
        <v>455</v>
      </c>
      <c r="C459" s="31" t="s">
        <v>1021</v>
      </c>
      <c r="D459" s="37" t="s">
        <v>56</v>
      </c>
      <c r="E459" s="1"/>
      <c r="F459" s="1"/>
      <c r="G459" s="37"/>
      <c r="H459" s="46">
        <v>46078.0</v>
      </c>
      <c r="I459" s="37" t="s">
        <v>413</v>
      </c>
      <c r="J459" s="49" t="s">
        <v>518</v>
      </c>
      <c r="K459" s="49" t="s">
        <v>571</v>
      </c>
      <c r="L459" s="37" t="s">
        <v>58</v>
      </c>
      <c r="M459" s="37" t="s">
        <v>130</v>
      </c>
      <c r="N459" s="17"/>
      <c r="O459" s="1"/>
      <c r="P459" s="15"/>
      <c r="Q459" s="15"/>
      <c r="R459" s="1"/>
      <c r="S459" s="1"/>
    </row>
    <row r="460" hidden="1" outlineLevel="1">
      <c r="A460" s="1"/>
      <c r="B460" s="3">
        <f t="shared" si="1"/>
        <v>456</v>
      </c>
      <c r="C460" s="31" t="s">
        <v>1022</v>
      </c>
      <c r="D460" s="37" t="s">
        <v>497</v>
      </c>
      <c r="E460" s="1"/>
      <c r="F460" s="1"/>
      <c r="G460" s="37"/>
      <c r="H460" s="46">
        <v>46078.0</v>
      </c>
      <c r="I460" s="37" t="s">
        <v>452</v>
      </c>
      <c r="J460" s="49" t="s">
        <v>517</v>
      </c>
      <c r="K460" s="49" t="s">
        <v>540</v>
      </c>
      <c r="L460" s="37" t="s">
        <v>189</v>
      </c>
      <c r="M460" s="37"/>
      <c r="N460" s="17"/>
      <c r="O460" s="1"/>
      <c r="P460" s="15"/>
      <c r="Q460" s="15"/>
      <c r="R460" s="1"/>
      <c r="S460" s="1"/>
    </row>
    <row r="461" hidden="1" outlineLevel="1">
      <c r="A461" s="1"/>
      <c r="B461" s="3">
        <f t="shared" si="1"/>
        <v>457</v>
      </c>
      <c r="C461" s="31" t="s">
        <v>1023</v>
      </c>
      <c r="D461" s="37" t="s">
        <v>112</v>
      </c>
      <c r="E461" s="1"/>
      <c r="F461" s="1"/>
      <c r="G461" s="37"/>
      <c r="H461" s="46">
        <v>46078.0</v>
      </c>
      <c r="I461" s="37" t="s">
        <v>413</v>
      </c>
      <c r="J461" s="49" t="s">
        <v>1024</v>
      </c>
      <c r="K461" s="49" t="s">
        <v>569</v>
      </c>
      <c r="L461" s="37" t="s">
        <v>58</v>
      </c>
      <c r="M461" s="37" t="s">
        <v>130</v>
      </c>
      <c r="N461" s="17"/>
      <c r="O461" s="1"/>
      <c r="P461" s="15"/>
      <c r="Q461" s="15"/>
      <c r="R461" s="1"/>
      <c r="S461" s="1"/>
    </row>
    <row r="462" hidden="1" outlineLevel="1">
      <c r="A462" s="1"/>
      <c r="B462" s="3">
        <f t="shared" si="1"/>
        <v>458</v>
      </c>
      <c r="C462" s="31" t="s">
        <v>1025</v>
      </c>
      <c r="D462" s="37" t="s">
        <v>159</v>
      </c>
      <c r="E462" s="1"/>
      <c r="F462" s="1"/>
      <c r="G462" s="37"/>
      <c r="H462" s="46">
        <v>46078.0</v>
      </c>
      <c r="I462" s="37" t="s">
        <v>413</v>
      </c>
      <c r="J462" s="49" t="s">
        <v>648</v>
      </c>
      <c r="K462" s="49" t="s">
        <v>477</v>
      </c>
      <c r="L462" s="37" t="s">
        <v>58</v>
      </c>
      <c r="M462" s="37" t="s">
        <v>130</v>
      </c>
      <c r="N462" s="17"/>
      <c r="O462" s="1"/>
      <c r="P462" s="15"/>
      <c r="Q462" s="15"/>
      <c r="R462" s="1"/>
      <c r="S462" s="1"/>
    </row>
    <row r="463" hidden="1" outlineLevel="1">
      <c r="A463" s="1"/>
      <c r="B463" s="3">
        <f t="shared" si="1"/>
        <v>459</v>
      </c>
      <c r="C463" s="31" t="s">
        <v>1026</v>
      </c>
      <c r="D463" s="37" t="s">
        <v>116</v>
      </c>
      <c r="E463" s="1"/>
      <c r="F463" s="1"/>
      <c r="G463" s="37"/>
      <c r="H463" s="46">
        <v>46078.0</v>
      </c>
      <c r="I463" s="37" t="s">
        <v>461</v>
      </c>
      <c r="J463" s="49"/>
      <c r="K463" s="49"/>
      <c r="L463" s="37" t="s">
        <v>58</v>
      </c>
      <c r="M463" s="37" t="s">
        <v>130</v>
      </c>
      <c r="N463" s="17"/>
      <c r="O463" s="1"/>
      <c r="P463" s="15"/>
      <c r="Q463" s="15"/>
      <c r="R463" s="1"/>
      <c r="S463" s="1"/>
    </row>
    <row r="464" hidden="1" outlineLevel="1">
      <c r="A464" s="1"/>
      <c r="B464" s="3">
        <f t="shared" si="1"/>
        <v>460</v>
      </c>
      <c r="C464" s="31" t="s">
        <v>1027</v>
      </c>
      <c r="D464" s="37" t="s">
        <v>186</v>
      </c>
      <c r="E464" s="1"/>
      <c r="F464" s="1"/>
      <c r="G464" s="37"/>
      <c r="H464" s="46">
        <v>46078.0</v>
      </c>
      <c r="I464" s="37" t="s">
        <v>461</v>
      </c>
      <c r="J464" s="49" t="s">
        <v>1028</v>
      </c>
      <c r="K464" s="49" t="s">
        <v>557</v>
      </c>
      <c r="L464" s="37" t="s">
        <v>58</v>
      </c>
      <c r="M464" s="37" t="s">
        <v>130</v>
      </c>
      <c r="N464" s="17"/>
      <c r="O464" s="1"/>
      <c r="P464" s="15"/>
      <c r="Q464" s="15"/>
      <c r="R464" s="1"/>
      <c r="S464" s="1"/>
    </row>
    <row r="465" hidden="1" outlineLevel="1">
      <c r="A465" s="1"/>
      <c r="B465" s="3">
        <f t="shared" si="1"/>
        <v>461</v>
      </c>
      <c r="C465" s="31" t="s">
        <v>1029</v>
      </c>
      <c r="D465" s="37" t="s">
        <v>96</v>
      </c>
      <c r="E465" s="1"/>
      <c r="F465" s="1"/>
      <c r="G465" s="37"/>
      <c r="H465" s="46">
        <v>46078.0</v>
      </c>
      <c r="I465" s="37" t="s">
        <v>461</v>
      </c>
      <c r="J465" s="49" t="s">
        <v>517</v>
      </c>
      <c r="K465" s="49" t="s">
        <v>571</v>
      </c>
      <c r="L465" s="37" t="s">
        <v>189</v>
      </c>
      <c r="M465" s="37"/>
      <c r="N465" s="17"/>
      <c r="O465" s="1"/>
      <c r="P465" s="15"/>
      <c r="Q465" s="15"/>
      <c r="R465" s="1"/>
      <c r="S465" s="1"/>
    </row>
    <row r="466" hidden="1" outlineLevel="1">
      <c r="A466" s="1"/>
      <c r="B466" s="3">
        <f t="shared" si="1"/>
        <v>462</v>
      </c>
      <c r="C466" s="31" t="s">
        <v>1030</v>
      </c>
      <c r="D466" s="37" t="s">
        <v>44</v>
      </c>
      <c r="E466" s="1"/>
      <c r="F466" s="1"/>
      <c r="G466" s="37"/>
      <c r="H466" s="46">
        <v>46078.0</v>
      </c>
      <c r="I466" s="37" t="s">
        <v>461</v>
      </c>
      <c r="J466" s="49" t="s">
        <v>768</v>
      </c>
      <c r="K466" s="49" t="s">
        <v>517</v>
      </c>
      <c r="L466" s="37" t="s">
        <v>189</v>
      </c>
      <c r="M466" s="37"/>
      <c r="N466" s="17"/>
      <c r="O466" s="1"/>
      <c r="P466" s="15"/>
      <c r="Q466" s="15"/>
      <c r="R466" s="1"/>
      <c r="S466" s="1"/>
    </row>
    <row r="467" hidden="1" outlineLevel="1">
      <c r="A467" s="1"/>
      <c r="B467" s="3">
        <f t="shared" si="1"/>
        <v>463</v>
      </c>
      <c r="C467" s="31" t="s">
        <v>1031</v>
      </c>
      <c r="D467" s="37" t="s">
        <v>218</v>
      </c>
      <c r="E467" s="1"/>
      <c r="F467" s="1"/>
      <c r="G467" s="37"/>
      <c r="H467" s="46">
        <v>46078.0</v>
      </c>
      <c r="I467" s="37" t="s">
        <v>461</v>
      </c>
      <c r="J467" s="49" t="s">
        <v>518</v>
      </c>
      <c r="K467" s="49" t="s">
        <v>571</v>
      </c>
      <c r="L467" s="37" t="s">
        <v>189</v>
      </c>
      <c r="M467" s="37"/>
      <c r="N467" s="17"/>
      <c r="O467" s="1"/>
      <c r="P467" s="15"/>
      <c r="Q467" s="15"/>
      <c r="R467" s="1"/>
      <c r="S467" s="1"/>
    </row>
    <row r="468" hidden="1" outlineLevel="1">
      <c r="A468" s="1"/>
      <c r="B468" s="3">
        <f t="shared" si="1"/>
        <v>464</v>
      </c>
      <c r="C468" s="31" t="s">
        <v>1032</v>
      </c>
      <c r="D468" s="37" t="s">
        <v>116</v>
      </c>
      <c r="E468" s="1"/>
      <c r="F468" s="1"/>
      <c r="G468" s="37"/>
      <c r="H468" s="46">
        <v>46078.0</v>
      </c>
      <c r="I468" s="37" t="s">
        <v>461</v>
      </c>
      <c r="J468" s="49" t="s">
        <v>517</v>
      </c>
      <c r="K468" s="49"/>
      <c r="L468" s="37" t="s">
        <v>58</v>
      </c>
      <c r="M468" s="37" t="s">
        <v>130</v>
      </c>
      <c r="N468" s="17"/>
      <c r="O468" s="1"/>
      <c r="P468" s="15"/>
      <c r="Q468" s="15"/>
      <c r="R468" s="1"/>
      <c r="S468" s="1"/>
    </row>
    <row r="469" hidden="1" outlineLevel="1">
      <c r="A469" s="1"/>
      <c r="B469" s="3">
        <f t="shared" si="1"/>
        <v>465</v>
      </c>
      <c r="C469" s="31" t="s">
        <v>1033</v>
      </c>
      <c r="D469" s="37" t="s">
        <v>112</v>
      </c>
      <c r="E469" s="1"/>
      <c r="F469" s="1"/>
      <c r="G469" s="37"/>
      <c r="H469" s="46">
        <v>46078.0</v>
      </c>
      <c r="I469" s="37" t="s">
        <v>461</v>
      </c>
      <c r="J469" s="49"/>
      <c r="K469" s="49" t="s">
        <v>1034</v>
      </c>
      <c r="L469" s="37" t="s">
        <v>189</v>
      </c>
      <c r="M469" s="37"/>
      <c r="N469" s="17"/>
      <c r="O469" s="1"/>
      <c r="P469" s="15"/>
      <c r="Q469" s="15"/>
      <c r="R469" s="1"/>
      <c r="S469" s="1"/>
    </row>
    <row r="470" hidden="1" outlineLevel="1">
      <c r="A470" s="1"/>
      <c r="B470" s="3">
        <f t="shared" si="1"/>
        <v>466</v>
      </c>
      <c r="C470" s="31" t="s">
        <v>1035</v>
      </c>
      <c r="D470" s="37" t="s">
        <v>44</v>
      </c>
      <c r="E470" s="1"/>
      <c r="F470" s="1"/>
      <c r="G470" s="37"/>
      <c r="H470" s="46">
        <v>46078.0</v>
      </c>
      <c r="I470" s="37" t="s">
        <v>461</v>
      </c>
      <c r="J470" s="49"/>
      <c r="K470" s="49" t="s">
        <v>691</v>
      </c>
      <c r="L470" s="37" t="s">
        <v>189</v>
      </c>
      <c r="M470" s="37"/>
      <c r="N470" s="17"/>
      <c r="O470" s="1"/>
      <c r="P470" s="15"/>
      <c r="Q470" s="15"/>
      <c r="R470" s="1"/>
      <c r="S470" s="1"/>
    </row>
    <row r="471" hidden="1" outlineLevel="1">
      <c r="A471" s="1"/>
      <c r="B471" s="3">
        <f t="shared" si="1"/>
        <v>467</v>
      </c>
      <c r="C471" s="31" t="s">
        <v>1036</v>
      </c>
      <c r="D471" s="37" t="s">
        <v>116</v>
      </c>
      <c r="E471" s="1"/>
      <c r="F471" s="1"/>
      <c r="G471" s="37"/>
      <c r="H471" s="46">
        <v>46078.0</v>
      </c>
      <c r="I471" s="37" t="s">
        <v>461</v>
      </c>
      <c r="J471" s="49" t="s">
        <v>691</v>
      </c>
      <c r="K471" s="49"/>
      <c r="L471" s="37" t="s">
        <v>58</v>
      </c>
      <c r="M471" s="37" t="s">
        <v>45</v>
      </c>
      <c r="N471" s="17"/>
      <c r="O471" s="1"/>
      <c r="P471" s="15"/>
      <c r="Q471" s="15"/>
      <c r="R471" s="1"/>
      <c r="S471" s="1"/>
    </row>
    <row r="472" hidden="1" outlineLevel="1">
      <c r="A472" s="1"/>
      <c r="B472" s="3">
        <f t="shared" si="1"/>
        <v>468</v>
      </c>
      <c r="C472" s="31" t="s">
        <v>1037</v>
      </c>
      <c r="D472" s="37" t="s">
        <v>96</v>
      </c>
      <c r="E472" s="1"/>
      <c r="F472" s="1"/>
      <c r="G472" s="37"/>
      <c r="H472" s="46">
        <v>46078.0</v>
      </c>
      <c r="I472" s="37" t="s">
        <v>461</v>
      </c>
      <c r="J472" s="49" t="s">
        <v>605</v>
      </c>
      <c r="K472" s="49" t="s">
        <v>763</v>
      </c>
      <c r="L472" s="37" t="s">
        <v>58</v>
      </c>
      <c r="M472" s="37" t="s">
        <v>130</v>
      </c>
      <c r="N472" s="17"/>
      <c r="O472" s="1"/>
      <c r="P472" s="15"/>
      <c r="Q472" s="15"/>
      <c r="R472" s="1"/>
      <c r="S472" s="1"/>
    </row>
    <row r="473" hidden="1" outlineLevel="1">
      <c r="A473" s="1"/>
      <c r="B473" s="3">
        <f t="shared" si="1"/>
        <v>469</v>
      </c>
      <c r="C473" s="31" t="s">
        <v>1038</v>
      </c>
      <c r="D473" s="37" t="s">
        <v>38</v>
      </c>
      <c r="E473" s="1"/>
      <c r="F473" s="1"/>
      <c r="G473" s="37"/>
      <c r="H473" s="46">
        <v>46078.0</v>
      </c>
      <c r="I473" s="37" t="s">
        <v>461</v>
      </c>
      <c r="J473" s="49"/>
      <c r="K473" s="49" t="s">
        <v>569</v>
      </c>
      <c r="L473" s="37" t="s">
        <v>58</v>
      </c>
      <c r="M473" s="37" t="s">
        <v>53</v>
      </c>
      <c r="N473" s="17"/>
      <c r="O473" s="1"/>
      <c r="P473" s="15"/>
      <c r="Q473" s="15"/>
      <c r="R473" s="1"/>
      <c r="S473" s="1"/>
    </row>
    <row r="474" hidden="1" outlineLevel="1">
      <c r="A474" s="1"/>
      <c r="B474" s="3">
        <f t="shared" si="1"/>
        <v>470</v>
      </c>
      <c r="C474" s="31" t="s">
        <v>1039</v>
      </c>
      <c r="D474" s="37" t="s">
        <v>44</v>
      </c>
      <c r="E474" s="1"/>
      <c r="F474" s="1"/>
      <c r="G474" s="37"/>
      <c r="H474" s="46">
        <v>46078.0</v>
      </c>
      <c r="I474" s="37" t="s">
        <v>461</v>
      </c>
      <c r="J474" s="49" t="s">
        <v>769</v>
      </c>
      <c r="K474" s="49" t="s">
        <v>1040</v>
      </c>
      <c r="L474" s="37" t="s">
        <v>58</v>
      </c>
      <c r="M474" s="37" t="s">
        <v>130</v>
      </c>
      <c r="N474" s="17"/>
      <c r="O474" s="1"/>
      <c r="P474" s="15"/>
      <c r="Q474" s="15"/>
      <c r="R474" s="1"/>
      <c r="S474" s="1"/>
    </row>
    <row r="475" hidden="1" outlineLevel="1">
      <c r="A475" s="1"/>
      <c r="B475" s="3">
        <f t="shared" si="1"/>
        <v>471</v>
      </c>
      <c r="C475" s="31" t="s">
        <v>1041</v>
      </c>
      <c r="D475" s="37" t="s">
        <v>49</v>
      </c>
      <c r="E475" s="1"/>
      <c r="F475" s="1"/>
      <c r="G475" s="37"/>
      <c r="H475" s="46">
        <v>46078.0</v>
      </c>
      <c r="I475" s="37" t="s">
        <v>461</v>
      </c>
      <c r="J475" s="49"/>
      <c r="K475" s="49" t="s">
        <v>648</v>
      </c>
      <c r="L475" s="37" t="s">
        <v>58</v>
      </c>
      <c r="M475" s="37" t="s">
        <v>130</v>
      </c>
      <c r="N475" s="17"/>
      <c r="O475" s="1"/>
      <c r="P475" s="15"/>
      <c r="Q475" s="15"/>
      <c r="R475" s="1"/>
      <c r="S475" s="1"/>
    </row>
    <row r="476" hidden="1" outlineLevel="1">
      <c r="A476" s="1"/>
      <c r="B476" s="3">
        <f t="shared" si="1"/>
        <v>472</v>
      </c>
      <c r="C476" s="31" t="s">
        <v>1042</v>
      </c>
      <c r="D476" s="37" t="s">
        <v>44</v>
      </c>
      <c r="E476" s="1"/>
      <c r="F476" s="1"/>
      <c r="G476" s="37"/>
      <c r="H476" s="46">
        <v>46078.0</v>
      </c>
      <c r="I476" s="37" t="s">
        <v>77</v>
      </c>
      <c r="J476" s="49" t="s">
        <v>517</v>
      </c>
      <c r="K476" s="49" t="s">
        <v>571</v>
      </c>
      <c r="L476" s="37" t="s">
        <v>189</v>
      </c>
      <c r="M476" s="37"/>
      <c r="N476" s="17"/>
      <c r="O476" s="1"/>
      <c r="P476" s="15"/>
      <c r="Q476" s="15"/>
      <c r="R476" s="1"/>
      <c r="S476" s="1"/>
    </row>
    <row r="477" hidden="1" outlineLevel="1">
      <c r="A477" s="1"/>
      <c r="B477" s="3">
        <f t="shared" si="1"/>
        <v>473</v>
      </c>
      <c r="C477" s="31" t="s">
        <v>1043</v>
      </c>
      <c r="D477" s="37" t="s">
        <v>47</v>
      </c>
      <c r="E477" s="1"/>
      <c r="F477" s="37"/>
      <c r="G477" s="37"/>
      <c r="H477" s="46">
        <v>46084.0</v>
      </c>
      <c r="I477" s="37" t="s">
        <v>77</v>
      </c>
      <c r="J477" s="49" t="s">
        <v>517</v>
      </c>
      <c r="K477" s="49" t="s">
        <v>709</v>
      </c>
      <c r="L477" s="37" t="s">
        <v>58</v>
      </c>
      <c r="M477" s="37" t="s">
        <v>54</v>
      </c>
      <c r="N477" s="17"/>
      <c r="O477" s="1"/>
      <c r="P477" s="15"/>
      <c r="Q477" s="15"/>
      <c r="R477" s="1"/>
      <c r="S477" s="1"/>
    </row>
    <row r="478" hidden="1" outlineLevel="1">
      <c r="A478" s="1"/>
      <c r="B478" s="3">
        <f t="shared" si="1"/>
        <v>474</v>
      </c>
      <c r="C478" s="31" t="s">
        <v>1044</v>
      </c>
      <c r="D478" s="37" t="s">
        <v>47</v>
      </c>
      <c r="E478" s="1"/>
      <c r="F478" s="37"/>
      <c r="G478" s="37"/>
      <c r="H478" s="46">
        <v>46084.0</v>
      </c>
      <c r="I478" s="37" t="s">
        <v>461</v>
      </c>
      <c r="J478" s="49" t="s">
        <v>533</v>
      </c>
      <c r="K478" s="49" t="s">
        <v>662</v>
      </c>
      <c r="L478" s="37" t="s">
        <v>58</v>
      </c>
      <c r="M478" s="37" t="s">
        <v>54</v>
      </c>
      <c r="N478" s="17"/>
      <c r="O478" s="1"/>
      <c r="P478" s="15"/>
      <c r="Q478" s="15"/>
      <c r="R478" s="1"/>
      <c r="S478" s="1"/>
    </row>
    <row r="479" hidden="1" outlineLevel="1">
      <c r="A479" s="1"/>
      <c r="B479" s="3">
        <f t="shared" si="1"/>
        <v>475</v>
      </c>
      <c r="C479" s="31" t="s">
        <v>1045</v>
      </c>
      <c r="D479" s="37" t="s">
        <v>47</v>
      </c>
      <c r="E479" s="1"/>
      <c r="F479" s="37"/>
      <c r="G479" s="37"/>
      <c r="H479" s="46">
        <v>46084.0</v>
      </c>
      <c r="I479" s="37" t="s">
        <v>77</v>
      </c>
      <c r="J479" s="49" t="s">
        <v>540</v>
      </c>
      <c r="K479" s="49" t="s">
        <v>709</v>
      </c>
      <c r="L479" s="37" t="s">
        <v>58</v>
      </c>
      <c r="M479" s="37" t="s">
        <v>54</v>
      </c>
      <c r="N479" s="17"/>
      <c r="O479" s="1"/>
      <c r="P479" s="15"/>
      <c r="Q479" s="15"/>
      <c r="R479" s="1"/>
      <c r="S479" s="1"/>
    </row>
    <row r="480" hidden="1" outlineLevel="1">
      <c r="A480" s="1"/>
      <c r="B480" s="3">
        <f t="shared" si="1"/>
        <v>476</v>
      </c>
      <c r="C480" s="121" t="s">
        <v>1046</v>
      </c>
      <c r="D480" s="122" t="s">
        <v>38</v>
      </c>
      <c r="E480" s="1"/>
      <c r="F480" s="122"/>
      <c r="G480" s="37"/>
      <c r="H480" s="13">
        <v>46084.0</v>
      </c>
      <c r="I480" s="122" t="s">
        <v>461</v>
      </c>
      <c r="J480" s="123" t="s">
        <v>605</v>
      </c>
      <c r="K480" s="123" t="s">
        <v>571</v>
      </c>
      <c r="L480" s="37" t="s">
        <v>58</v>
      </c>
      <c r="M480" s="122" t="s">
        <v>53</v>
      </c>
      <c r="N480" s="124" t="s">
        <v>28</v>
      </c>
      <c r="O480" s="1"/>
      <c r="P480" s="15"/>
      <c r="Q480" s="15"/>
      <c r="R480" s="1"/>
      <c r="S480" s="1"/>
    </row>
    <row r="481" hidden="1" outlineLevel="1">
      <c r="A481" s="1"/>
      <c r="B481" s="3">
        <f t="shared" si="1"/>
        <v>477</v>
      </c>
      <c r="C481" s="121" t="s">
        <v>1047</v>
      </c>
      <c r="D481" s="122" t="s">
        <v>38</v>
      </c>
      <c r="E481" s="1"/>
      <c r="F481" s="122"/>
      <c r="G481" s="37"/>
      <c r="H481" s="13">
        <v>46084.0</v>
      </c>
      <c r="I481" s="122" t="s">
        <v>413</v>
      </c>
      <c r="J481" s="123" t="s">
        <v>765</v>
      </c>
      <c r="K481" s="123" t="s">
        <v>569</v>
      </c>
      <c r="L481" s="37" t="s">
        <v>58</v>
      </c>
      <c r="M481" s="122" t="s">
        <v>53</v>
      </c>
      <c r="N481" s="124"/>
      <c r="O481" s="1"/>
      <c r="P481" s="15"/>
      <c r="Q481" s="15"/>
      <c r="R481" s="1"/>
      <c r="S481" s="1"/>
    </row>
    <row r="482" hidden="1" outlineLevel="1">
      <c r="A482" s="1"/>
      <c r="B482" s="3">
        <f t="shared" si="1"/>
        <v>478</v>
      </c>
      <c r="C482" s="31" t="s">
        <v>1048</v>
      </c>
      <c r="D482" s="37" t="s">
        <v>44</v>
      </c>
      <c r="E482" s="1"/>
      <c r="F482" s="37"/>
      <c r="G482" s="37"/>
      <c r="H482" s="46">
        <v>46084.0</v>
      </c>
      <c r="I482" s="37" t="s">
        <v>461</v>
      </c>
      <c r="J482" s="49" t="s">
        <v>1049</v>
      </c>
      <c r="K482" s="49"/>
      <c r="L482" s="37" t="s">
        <v>58</v>
      </c>
      <c r="M482" s="37" t="s">
        <v>1050</v>
      </c>
      <c r="N482" s="17"/>
      <c r="O482" s="1"/>
      <c r="P482" s="15"/>
      <c r="Q482" s="15"/>
      <c r="R482" s="1"/>
      <c r="S482" s="1"/>
    </row>
    <row r="483" hidden="1" outlineLevel="1">
      <c r="A483" s="1"/>
      <c r="B483" s="3">
        <f t="shared" si="1"/>
        <v>479</v>
      </c>
      <c r="C483" s="31" t="s">
        <v>1051</v>
      </c>
      <c r="D483" s="37" t="s">
        <v>83</v>
      </c>
      <c r="E483" s="1"/>
      <c r="F483" s="37"/>
      <c r="G483" s="37"/>
      <c r="H483" s="46">
        <v>46084.0</v>
      </c>
      <c r="I483" s="37" t="s">
        <v>1052</v>
      </c>
      <c r="J483" s="49" t="s">
        <v>573</v>
      </c>
      <c r="K483" s="49" t="s">
        <v>517</v>
      </c>
      <c r="L483" s="37" t="s">
        <v>58</v>
      </c>
      <c r="M483" s="37" t="s">
        <v>45</v>
      </c>
      <c r="N483" s="17"/>
      <c r="O483" s="1"/>
      <c r="P483" s="15"/>
      <c r="Q483" s="15"/>
      <c r="R483" s="1"/>
      <c r="S483" s="1"/>
    </row>
    <row r="484" hidden="1" outlineLevel="1">
      <c r="A484" s="1"/>
      <c r="B484" s="3">
        <f t="shared" si="1"/>
        <v>480</v>
      </c>
      <c r="C484" s="31" t="s">
        <v>1053</v>
      </c>
      <c r="D484" s="37" t="s">
        <v>56</v>
      </c>
      <c r="E484" s="1"/>
      <c r="F484" s="37"/>
      <c r="G484" s="37"/>
      <c r="H484" s="46">
        <v>46084.0</v>
      </c>
      <c r="I484" s="37" t="s">
        <v>77</v>
      </c>
      <c r="J484" s="49" t="s">
        <v>517</v>
      </c>
      <c r="K484" s="49" t="s">
        <v>1054</v>
      </c>
      <c r="L484" s="37" t="s">
        <v>58</v>
      </c>
      <c r="M484" s="37" t="s">
        <v>53</v>
      </c>
      <c r="N484" s="17"/>
      <c r="O484" s="1"/>
      <c r="P484" s="15"/>
      <c r="Q484" s="15"/>
      <c r="R484" s="1"/>
      <c r="S484" s="1"/>
    </row>
    <row r="485" hidden="1" outlineLevel="1">
      <c r="A485" s="1"/>
      <c r="B485" s="3">
        <f t="shared" si="1"/>
        <v>481</v>
      </c>
      <c r="C485" s="31" t="s">
        <v>1055</v>
      </c>
      <c r="D485" s="37" t="s">
        <v>497</v>
      </c>
      <c r="E485" s="1"/>
      <c r="F485" s="37"/>
      <c r="G485" s="37"/>
      <c r="H485" s="46">
        <v>46084.0</v>
      </c>
      <c r="I485" s="37" t="s">
        <v>452</v>
      </c>
      <c r="J485" s="49"/>
      <c r="K485" s="49" t="s">
        <v>571</v>
      </c>
      <c r="L485" s="37" t="s">
        <v>58</v>
      </c>
      <c r="M485" s="37" t="s">
        <v>78</v>
      </c>
      <c r="N485" s="17" t="s">
        <v>28</v>
      </c>
      <c r="O485" s="1"/>
      <c r="P485" s="15"/>
      <c r="Q485" s="15"/>
      <c r="R485" s="1"/>
      <c r="S485" s="1"/>
    </row>
    <row r="486" hidden="1" outlineLevel="1">
      <c r="A486" s="1"/>
      <c r="B486" s="3">
        <f t="shared" si="1"/>
        <v>482</v>
      </c>
      <c r="C486" s="31" t="s">
        <v>1056</v>
      </c>
      <c r="D486" s="37" t="s">
        <v>56</v>
      </c>
      <c r="E486" s="1"/>
      <c r="F486" s="37"/>
      <c r="G486" s="37"/>
      <c r="H486" s="46">
        <v>46084.0</v>
      </c>
      <c r="I486" s="37" t="s">
        <v>461</v>
      </c>
      <c r="J486" s="49" t="s">
        <v>830</v>
      </c>
      <c r="K486" s="49" t="s">
        <v>517</v>
      </c>
      <c r="L486" s="37" t="s">
        <v>58</v>
      </c>
      <c r="M486" s="37" t="s">
        <v>53</v>
      </c>
      <c r="N486" s="17"/>
      <c r="O486" s="1"/>
      <c r="P486" s="15"/>
      <c r="Q486" s="15"/>
      <c r="R486" s="1"/>
      <c r="S486" s="1"/>
    </row>
    <row r="487" hidden="1" outlineLevel="1">
      <c r="A487" s="1"/>
      <c r="B487" s="3">
        <f t="shared" si="1"/>
        <v>483</v>
      </c>
      <c r="C487" s="31" t="s">
        <v>1057</v>
      </c>
      <c r="D487" s="37" t="s">
        <v>497</v>
      </c>
      <c r="E487" s="1"/>
      <c r="F487" s="37"/>
      <c r="G487" s="37"/>
      <c r="H487" s="46">
        <v>46084.0</v>
      </c>
      <c r="I487" s="37" t="s">
        <v>461</v>
      </c>
      <c r="J487" s="49" t="s">
        <v>1058</v>
      </c>
      <c r="K487" s="49" t="s">
        <v>571</v>
      </c>
      <c r="L487" s="37" t="s">
        <v>58</v>
      </c>
      <c r="M487" s="37" t="s">
        <v>45</v>
      </c>
      <c r="N487" s="17" t="s">
        <v>28</v>
      </c>
      <c r="O487" s="1"/>
      <c r="P487" s="15"/>
      <c r="Q487" s="15"/>
      <c r="R487" s="1"/>
      <c r="S487" s="1"/>
    </row>
    <row r="488" hidden="1" outlineLevel="1">
      <c r="A488" s="1"/>
      <c r="B488" s="3">
        <f t="shared" si="1"/>
        <v>484</v>
      </c>
      <c r="C488" s="31" t="s">
        <v>1059</v>
      </c>
      <c r="D488" s="37" t="s">
        <v>47</v>
      </c>
      <c r="E488" s="37"/>
      <c r="F488" s="37"/>
      <c r="G488" s="37"/>
      <c r="H488" s="46">
        <v>46084.0</v>
      </c>
      <c r="I488" s="37" t="s">
        <v>77</v>
      </c>
      <c r="J488" s="49"/>
      <c r="K488" s="49" t="s">
        <v>571</v>
      </c>
      <c r="L488" s="37" t="s">
        <v>58</v>
      </c>
      <c r="M488" s="37" t="s">
        <v>54</v>
      </c>
      <c r="N488" s="17" t="s">
        <v>28</v>
      </c>
      <c r="O488" s="37" t="s">
        <v>16</v>
      </c>
      <c r="P488" s="67" t="s">
        <v>1060</v>
      </c>
      <c r="Q488" s="15"/>
      <c r="R488" s="1"/>
      <c r="S488" s="1"/>
    </row>
    <row r="489" hidden="1" outlineLevel="1">
      <c r="A489" s="1"/>
      <c r="B489" s="3">
        <f t="shared" si="1"/>
        <v>485</v>
      </c>
      <c r="C489" s="31" t="s">
        <v>1061</v>
      </c>
      <c r="D489" s="37" t="s">
        <v>186</v>
      </c>
      <c r="E489" s="1"/>
      <c r="F489" s="37"/>
      <c r="G489" s="37"/>
      <c r="H489" s="46">
        <v>46084.0</v>
      </c>
      <c r="I489" s="37" t="s">
        <v>461</v>
      </c>
      <c r="J489" s="49"/>
      <c r="K489" s="49"/>
      <c r="L489" s="37" t="s">
        <v>58</v>
      </c>
      <c r="M489" s="37" t="s">
        <v>130</v>
      </c>
      <c r="N489" s="17"/>
      <c r="O489" s="1"/>
      <c r="P489" s="15"/>
      <c r="Q489" s="15"/>
      <c r="R489" s="1"/>
      <c r="S489" s="1"/>
    </row>
    <row r="490" hidden="1" outlineLevel="1">
      <c r="A490" s="1"/>
      <c r="B490" s="3">
        <f t="shared" si="1"/>
        <v>486</v>
      </c>
      <c r="C490" s="31" t="s">
        <v>1062</v>
      </c>
      <c r="D490" s="37" t="s">
        <v>96</v>
      </c>
      <c r="E490" s="1"/>
      <c r="F490" s="37"/>
      <c r="G490" s="37"/>
      <c r="H490" s="46">
        <v>46084.0</v>
      </c>
      <c r="I490" s="37" t="s">
        <v>77</v>
      </c>
      <c r="J490" s="49"/>
      <c r="K490" s="49" t="s">
        <v>477</v>
      </c>
      <c r="L490" s="37" t="s">
        <v>58</v>
      </c>
      <c r="M490" s="37" t="s">
        <v>1050</v>
      </c>
      <c r="N490" s="17"/>
      <c r="O490" s="1"/>
      <c r="P490" s="15"/>
      <c r="Q490" s="15"/>
      <c r="R490" s="1"/>
      <c r="S490" s="1"/>
    </row>
    <row r="491" hidden="1" outlineLevel="1">
      <c r="A491" s="1"/>
      <c r="B491" s="3">
        <f t="shared" si="1"/>
        <v>487</v>
      </c>
      <c r="C491" s="31" t="s">
        <v>1063</v>
      </c>
      <c r="D491" s="37" t="s">
        <v>112</v>
      </c>
      <c r="E491" s="1"/>
      <c r="F491" s="37"/>
      <c r="G491" s="37"/>
      <c r="H491" s="46">
        <v>46084.0</v>
      </c>
      <c r="I491" s="37" t="s">
        <v>77</v>
      </c>
      <c r="J491" s="49" t="s">
        <v>571</v>
      </c>
      <c r="K491" s="49" t="s">
        <v>571</v>
      </c>
      <c r="L491" s="37" t="s">
        <v>189</v>
      </c>
      <c r="M491" s="37"/>
      <c r="N491" s="17"/>
      <c r="O491" s="1"/>
      <c r="P491" s="15"/>
      <c r="Q491" s="67" t="s">
        <v>1064</v>
      </c>
      <c r="R491" s="1"/>
      <c r="S491" s="1"/>
    </row>
    <row r="492" hidden="1" outlineLevel="1">
      <c r="A492" s="1"/>
      <c r="B492" s="3">
        <f t="shared" si="1"/>
        <v>488</v>
      </c>
      <c r="C492" s="31" t="s">
        <v>1065</v>
      </c>
      <c r="D492" s="37" t="s">
        <v>116</v>
      </c>
      <c r="E492" s="1"/>
      <c r="F492" s="37"/>
      <c r="G492" s="37"/>
      <c r="H492" s="46">
        <v>46084.0</v>
      </c>
      <c r="I492" s="37" t="s">
        <v>461</v>
      </c>
      <c r="J492" s="49" t="s">
        <v>518</v>
      </c>
      <c r="K492" s="49" t="s">
        <v>571</v>
      </c>
      <c r="L492" s="37" t="s">
        <v>189</v>
      </c>
      <c r="M492" s="37"/>
      <c r="N492" s="17"/>
      <c r="O492" s="1"/>
      <c r="P492" s="15"/>
      <c r="Q492" s="67" t="s">
        <v>1066</v>
      </c>
      <c r="R492" s="1"/>
      <c r="S492" s="1"/>
    </row>
    <row r="493" hidden="1" outlineLevel="1">
      <c r="A493" s="1"/>
      <c r="B493" s="3">
        <f t="shared" si="1"/>
        <v>489</v>
      </c>
      <c r="C493" s="31" t="s">
        <v>1067</v>
      </c>
      <c r="D493" s="37" t="s">
        <v>83</v>
      </c>
      <c r="E493" s="1"/>
      <c r="F493" s="37"/>
      <c r="G493" s="37"/>
      <c r="H493" s="46">
        <v>46084.0</v>
      </c>
      <c r="I493" s="37" t="s">
        <v>461</v>
      </c>
      <c r="J493" s="49"/>
      <c r="K493" s="49" t="s">
        <v>1024</v>
      </c>
      <c r="L493" s="37" t="s">
        <v>189</v>
      </c>
      <c r="M493" s="37"/>
      <c r="N493" s="17"/>
      <c r="O493" s="1"/>
      <c r="P493" s="15"/>
      <c r="Q493" s="67"/>
      <c r="R493" s="1"/>
      <c r="S493" s="1"/>
    </row>
    <row r="494" hidden="1" outlineLevel="1">
      <c r="A494" s="1"/>
      <c r="B494" s="3">
        <f t="shared" si="1"/>
        <v>490</v>
      </c>
      <c r="C494" s="31" t="s">
        <v>1068</v>
      </c>
      <c r="D494" s="37" t="s">
        <v>96</v>
      </c>
      <c r="E494" s="1"/>
      <c r="F494" s="37"/>
      <c r="G494" s="37"/>
      <c r="H494" s="46">
        <v>46084.0</v>
      </c>
      <c r="I494" s="37" t="s">
        <v>461</v>
      </c>
      <c r="J494" s="49" t="s">
        <v>529</v>
      </c>
      <c r="K494" s="49" t="s">
        <v>648</v>
      </c>
      <c r="L494" s="37" t="s">
        <v>189</v>
      </c>
      <c r="M494" s="37"/>
      <c r="N494" s="17"/>
      <c r="O494" s="1"/>
      <c r="P494" s="15"/>
      <c r="Q494" s="67" t="s">
        <v>1069</v>
      </c>
      <c r="R494" s="1"/>
      <c r="S494" s="1"/>
    </row>
    <row r="495" hidden="1" outlineLevel="1">
      <c r="A495" s="1"/>
      <c r="B495" s="3">
        <f t="shared" si="1"/>
        <v>491</v>
      </c>
      <c r="C495" s="31" t="s">
        <v>1070</v>
      </c>
      <c r="D495" s="37" t="s">
        <v>116</v>
      </c>
      <c r="E495" s="1"/>
      <c r="F495" s="37"/>
      <c r="G495" s="37"/>
      <c r="H495" s="46">
        <v>46085.0</v>
      </c>
      <c r="I495" s="37" t="s">
        <v>461</v>
      </c>
      <c r="J495" s="49"/>
      <c r="K495" s="49"/>
      <c r="L495" s="37" t="s">
        <v>58</v>
      </c>
      <c r="M495" s="37" t="s">
        <v>57</v>
      </c>
      <c r="N495" s="17" t="s">
        <v>28</v>
      </c>
      <c r="O495" s="1"/>
      <c r="P495" s="15"/>
      <c r="Q495" s="15"/>
      <c r="R495" s="1"/>
      <c r="S495" s="1"/>
    </row>
    <row r="496" hidden="1" outlineLevel="1">
      <c r="A496" s="1"/>
      <c r="B496" s="3">
        <f t="shared" si="1"/>
        <v>492</v>
      </c>
      <c r="C496" s="31" t="s">
        <v>1071</v>
      </c>
      <c r="D496" s="37" t="s">
        <v>83</v>
      </c>
      <c r="E496" s="1"/>
      <c r="F496" s="37"/>
      <c r="G496" s="37"/>
      <c r="H496" s="46">
        <v>46085.0</v>
      </c>
      <c r="I496" s="37" t="s">
        <v>461</v>
      </c>
      <c r="J496" s="49" t="s">
        <v>765</v>
      </c>
      <c r="K496" s="49" t="s">
        <v>571</v>
      </c>
      <c r="L496" s="37" t="s">
        <v>58</v>
      </c>
      <c r="M496" s="37" t="s">
        <v>74</v>
      </c>
      <c r="N496" s="17"/>
      <c r="O496" s="1"/>
      <c r="P496" s="15"/>
      <c r="Q496" s="15"/>
      <c r="R496" s="1"/>
      <c r="S496" s="1"/>
    </row>
    <row r="497" hidden="1" outlineLevel="1">
      <c r="A497" s="1"/>
      <c r="B497" s="3">
        <f t="shared" si="1"/>
        <v>493</v>
      </c>
      <c r="C497" s="31" t="s">
        <v>1072</v>
      </c>
      <c r="D497" s="37" t="s">
        <v>56</v>
      </c>
      <c r="E497" s="1"/>
      <c r="F497" s="37"/>
      <c r="G497" s="37"/>
      <c r="H497" s="46">
        <v>46085.0</v>
      </c>
      <c r="I497" s="37" t="s">
        <v>461</v>
      </c>
      <c r="J497" s="49">
        <v>0.0</v>
      </c>
      <c r="K497" s="49" t="s">
        <v>517</v>
      </c>
      <c r="L497" s="37" t="s">
        <v>189</v>
      </c>
      <c r="M497" s="37"/>
      <c r="N497" s="17"/>
      <c r="O497" s="1"/>
      <c r="P497" s="15"/>
      <c r="Q497" s="67" t="s">
        <v>1073</v>
      </c>
      <c r="R497" s="1"/>
      <c r="S497" s="1"/>
    </row>
    <row r="498" hidden="1" outlineLevel="1">
      <c r="A498" s="1"/>
      <c r="B498" s="3">
        <f t="shared" si="1"/>
        <v>494</v>
      </c>
      <c r="C498" s="31" t="s">
        <v>1074</v>
      </c>
      <c r="D498" s="37" t="s">
        <v>218</v>
      </c>
      <c r="E498" s="1"/>
      <c r="F498" s="37"/>
      <c r="G498" s="37"/>
      <c r="H498" s="46">
        <v>46085.0</v>
      </c>
      <c r="I498" s="37" t="s">
        <v>461</v>
      </c>
      <c r="J498" s="49" t="s">
        <v>571</v>
      </c>
      <c r="K498" s="49" t="s">
        <v>571</v>
      </c>
      <c r="L498" s="37" t="s">
        <v>189</v>
      </c>
      <c r="M498" s="37"/>
      <c r="N498" s="17"/>
      <c r="O498" s="1"/>
      <c r="P498" s="15"/>
      <c r="Q498" s="67" t="s">
        <v>1075</v>
      </c>
      <c r="R498" s="1"/>
      <c r="S498" s="1"/>
    </row>
    <row r="499" hidden="1" outlineLevel="1">
      <c r="A499" s="1"/>
      <c r="B499" s="3">
        <f t="shared" si="1"/>
        <v>495</v>
      </c>
      <c r="C499" s="31" t="s">
        <v>1076</v>
      </c>
      <c r="D499" s="37" t="s">
        <v>112</v>
      </c>
      <c r="E499" s="1"/>
      <c r="F499" s="37"/>
      <c r="G499" s="37"/>
      <c r="H499" s="46">
        <v>46085.0</v>
      </c>
      <c r="I499" s="37" t="s">
        <v>461</v>
      </c>
      <c r="J499" s="49" t="s">
        <v>691</v>
      </c>
      <c r="K499" s="49" t="s">
        <v>691</v>
      </c>
      <c r="L499" s="37" t="s">
        <v>58</v>
      </c>
      <c r="M499" s="37" t="s">
        <v>63</v>
      </c>
      <c r="N499" s="17"/>
      <c r="O499" s="1"/>
      <c r="P499" s="15"/>
      <c r="Q499" s="15"/>
      <c r="R499" s="1"/>
      <c r="S499" s="1"/>
    </row>
    <row r="500" hidden="1" outlineLevel="1">
      <c r="A500" s="1"/>
      <c r="B500" s="3">
        <f t="shared" si="1"/>
        <v>496</v>
      </c>
      <c r="C500" s="31" t="s">
        <v>1077</v>
      </c>
      <c r="D500" s="37" t="s">
        <v>497</v>
      </c>
      <c r="E500" s="1"/>
      <c r="F500" s="37"/>
      <c r="G500" s="37"/>
      <c r="H500" s="46">
        <v>46085.0</v>
      </c>
      <c r="I500" s="37" t="s">
        <v>461</v>
      </c>
      <c r="J500" s="49" t="s">
        <v>1024</v>
      </c>
      <c r="K500" s="49" t="s">
        <v>1024</v>
      </c>
      <c r="L500" s="37" t="s">
        <v>58</v>
      </c>
      <c r="M500" s="37" t="s">
        <v>78</v>
      </c>
      <c r="N500" s="17"/>
      <c r="O500" s="1"/>
      <c r="P500" s="15"/>
      <c r="Q500" s="15"/>
      <c r="R500" s="1"/>
      <c r="S500" s="1"/>
    </row>
    <row r="501" hidden="1" outlineLevel="1">
      <c r="A501" s="1"/>
      <c r="B501" s="3">
        <f t="shared" si="1"/>
        <v>497</v>
      </c>
      <c r="C501" s="31" t="s">
        <v>1078</v>
      </c>
      <c r="D501" s="37" t="s">
        <v>96</v>
      </c>
      <c r="E501" s="1"/>
      <c r="F501" s="37"/>
      <c r="G501" s="37"/>
      <c r="H501" s="46">
        <v>46085.0</v>
      </c>
      <c r="I501" s="37" t="s">
        <v>461</v>
      </c>
      <c r="J501" s="49"/>
      <c r="K501" s="49" t="s">
        <v>1079</v>
      </c>
      <c r="L501" s="37" t="s">
        <v>58</v>
      </c>
      <c r="M501" s="37" t="s">
        <v>130</v>
      </c>
      <c r="N501" s="17"/>
      <c r="O501" s="1"/>
      <c r="P501" s="15"/>
      <c r="Q501" s="15"/>
      <c r="R501" s="1"/>
      <c r="S501" s="1"/>
    </row>
    <row r="502" hidden="1" outlineLevel="1">
      <c r="A502" s="1"/>
      <c r="B502" s="3">
        <f t="shared" si="1"/>
        <v>498</v>
      </c>
      <c r="C502" s="31" t="s">
        <v>1080</v>
      </c>
      <c r="D502" s="37" t="s">
        <v>96</v>
      </c>
      <c r="E502" s="1"/>
      <c r="F502" s="43" t="s">
        <v>1081</v>
      </c>
      <c r="G502" s="37"/>
      <c r="H502" s="46">
        <v>46085.0</v>
      </c>
      <c r="I502" s="37" t="s">
        <v>461</v>
      </c>
      <c r="J502" s="49" t="s">
        <v>593</v>
      </c>
      <c r="K502" s="49" t="s">
        <v>557</v>
      </c>
      <c r="L502" s="37" t="s">
        <v>58</v>
      </c>
      <c r="M502" s="37" t="s">
        <v>45</v>
      </c>
      <c r="N502" s="17"/>
      <c r="O502" s="1"/>
      <c r="P502" s="15"/>
      <c r="Q502" s="67" t="s">
        <v>1082</v>
      </c>
      <c r="R502" s="1"/>
      <c r="S502" s="1"/>
    </row>
    <row r="503" hidden="1" outlineLevel="1">
      <c r="A503" s="1"/>
      <c r="B503" s="3">
        <f t="shared" si="1"/>
        <v>499</v>
      </c>
      <c r="C503" s="31" t="s">
        <v>1083</v>
      </c>
      <c r="D503" s="37" t="s">
        <v>96</v>
      </c>
      <c r="E503" s="1"/>
      <c r="F503" s="37"/>
      <c r="G503" s="37"/>
      <c r="H503" s="46">
        <v>46085.0</v>
      </c>
      <c r="I503" s="37" t="s">
        <v>461</v>
      </c>
      <c r="J503" s="49" t="s">
        <v>557</v>
      </c>
      <c r="K503" s="49" t="s">
        <v>1084</v>
      </c>
      <c r="L503" s="37" t="s">
        <v>189</v>
      </c>
      <c r="M503" s="37"/>
      <c r="N503" s="17"/>
      <c r="O503" s="1"/>
      <c r="P503" s="15"/>
      <c r="Q503" s="67" t="s">
        <v>1085</v>
      </c>
      <c r="R503" s="1"/>
      <c r="S503" s="1"/>
    </row>
    <row r="504" hidden="1" outlineLevel="1">
      <c r="A504" s="1"/>
      <c r="B504" s="3">
        <f t="shared" si="1"/>
        <v>500</v>
      </c>
      <c r="C504" s="31" t="s">
        <v>1086</v>
      </c>
      <c r="D504" s="37" t="s">
        <v>49</v>
      </c>
      <c r="E504" s="1"/>
      <c r="F504" s="37"/>
      <c r="G504" s="37"/>
      <c r="H504" s="46">
        <v>46085.0</v>
      </c>
      <c r="I504" s="37" t="s">
        <v>461</v>
      </c>
      <c r="J504" s="49" t="s">
        <v>1087</v>
      </c>
      <c r="K504" s="49" t="s">
        <v>671</v>
      </c>
      <c r="L504" s="37" t="s">
        <v>58</v>
      </c>
      <c r="M504" s="37" t="s">
        <v>130</v>
      </c>
      <c r="N504" s="17"/>
      <c r="O504" s="1"/>
      <c r="P504" s="15"/>
      <c r="Q504" s="15"/>
      <c r="R504" s="1"/>
      <c r="S504" s="1"/>
    </row>
    <row r="505" hidden="1" outlineLevel="1">
      <c r="A505" s="1"/>
      <c r="B505" s="3">
        <f t="shared" si="1"/>
        <v>501</v>
      </c>
      <c r="C505" s="31" t="s">
        <v>1088</v>
      </c>
      <c r="D505" s="37" t="s">
        <v>49</v>
      </c>
      <c r="E505" s="1"/>
      <c r="F505" s="37"/>
      <c r="G505" s="37"/>
      <c r="H505" s="46">
        <v>46085.0</v>
      </c>
      <c r="I505" s="37" t="s">
        <v>461</v>
      </c>
      <c r="J505" s="49"/>
      <c r="K505" s="49" t="s">
        <v>533</v>
      </c>
      <c r="L505" s="37" t="s">
        <v>189</v>
      </c>
      <c r="M505" s="37"/>
      <c r="N505" s="17"/>
      <c r="O505" s="1"/>
      <c r="P505" s="15"/>
      <c r="Q505" s="67" t="s">
        <v>1089</v>
      </c>
      <c r="R505" s="1"/>
      <c r="S505" s="1"/>
    </row>
    <row r="506" hidden="1" outlineLevel="1">
      <c r="A506" s="1"/>
      <c r="B506" s="3">
        <f t="shared" si="1"/>
        <v>502</v>
      </c>
      <c r="C506" s="31" t="s">
        <v>1090</v>
      </c>
      <c r="D506" s="37" t="s">
        <v>116</v>
      </c>
      <c r="E506" s="1"/>
      <c r="F506" s="37"/>
      <c r="G506" s="37"/>
      <c r="H506" s="46">
        <v>46085.0</v>
      </c>
      <c r="I506" s="37" t="s">
        <v>461</v>
      </c>
      <c r="J506" s="49"/>
      <c r="K506" s="49"/>
      <c r="L506" s="37" t="s">
        <v>58</v>
      </c>
      <c r="M506" s="37" t="s">
        <v>57</v>
      </c>
      <c r="N506" s="17"/>
      <c r="O506" s="1"/>
      <c r="P506" s="15"/>
      <c r="Q506" s="15"/>
      <c r="R506" s="1"/>
      <c r="S506" s="1"/>
    </row>
    <row r="507" hidden="1" outlineLevel="1">
      <c r="A507" s="1"/>
      <c r="B507" s="3">
        <f t="shared" si="1"/>
        <v>503</v>
      </c>
      <c r="C507" s="31" t="s">
        <v>1091</v>
      </c>
      <c r="D507" s="37" t="s">
        <v>56</v>
      </c>
      <c r="E507" s="1"/>
      <c r="F507" s="37"/>
      <c r="G507" s="37"/>
      <c r="H507" s="46">
        <v>46085.0</v>
      </c>
      <c r="I507" s="37" t="s">
        <v>461</v>
      </c>
      <c r="J507" s="49" t="s">
        <v>765</v>
      </c>
      <c r="K507" s="49" t="s">
        <v>765</v>
      </c>
      <c r="L507" s="37" t="s">
        <v>58</v>
      </c>
      <c r="M507" s="37" t="s">
        <v>57</v>
      </c>
      <c r="N507" s="17"/>
      <c r="O507" s="1"/>
      <c r="P507" s="15"/>
      <c r="Q507" s="15"/>
      <c r="R507" s="1"/>
      <c r="S507" s="1"/>
    </row>
    <row r="508" hidden="1" outlineLevel="1">
      <c r="A508" s="1"/>
      <c r="B508" s="3">
        <f t="shared" si="1"/>
        <v>504</v>
      </c>
      <c r="C508" s="31" t="s">
        <v>1092</v>
      </c>
      <c r="D508" s="37" t="s">
        <v>96</v>
      </c>
      <c r="E508" s="1"/>
      <c r="F508" s="37"/>
      <c r="G508" s="37"/>
      <c r="H508" s="46">
        <v>46085.0</v>
      </c>
      <c r="I508" s="37" t="s">
        <v>461</v>
      </c>
      <c r="J508" s="49" t="s">
        <v>914</v>
      </c>
      <c r="K508" s="49" t="s">
        <v>662</v>
      </c>
      <c r="L508" s="37" t="s">
        <v>58</v>
      </c>
      <c r="M508" s="37" t="s">
        <v>130</v>
      </c>
      <c r="N508" s="17"/>
      <c r="O508" s="1"/>
      <c r="P508" s="15"/>
      <c r="Q508" s="15"/>
      <c r="R508" s="1"/>
      <c r="S508" s="1"/>
    </row>
    <row r="509" hidden="1" outlineLevel="1">
      <c r="A509" s="1"/>
      <c r="B509" s="3">
        <f t="shared" si="1"/>
        <v>505</v>
      </c>
      <c r="C509" s="31" t="s">
        <v>1093</v>
      </c>
      <c r="D509" s="37" t="s">
        <v>96</v>
      </c>
      <c r="E509" s="1"/>
      <c r="F509" s="37"/>
      <c r="G509" s="37"/>
      <c r="H509" s="46">
        <v>46085.0</v>
      </c>
      <c r="I509" s="37" t="s">
        <v>461</v>
      </c>
      <c r="J509" s="49"/>
      <c r="K509" s="49" t="s">
        <v>648</v>
      </c>
      <c r="L509" s="37" t="s">
        <v>58</v>
      </c>
      <c r="M509" s="37" t="s">
        <v>130</v>
      </c>
      <c r="N509" s="17"/>
      <c r="O509" s="1"/>
      <c r="P509" s="15"/>
      <c r="Q509" s="15"/>
      <c r="R509" s="1"/>
      <c r="S509" s="1"/>
    </row>
    <row r="510" hidden="1" outlineLevel="1">
      <c r="A510" s="1"/>
      <c r="B510" s="3">
        <f t="shared" si="1"/>
        <v>506</v>
      </c>
      <c r="C510" s="31" t="s">
        <v>1094</v>
      </c>
      <c r="D510" s="37" t="s">
        <v>44</v>
      </c>
      <c r="E510" s="1"/>
      <c r="F510" s="37"/>
      <c r="G510" s="37"/>
      <c r="H510" s="46">
        <v>46085.0</v>
      </c>
      <c r="I510" s="37" t="s">
        <v>461</v>
      </c>
      <c r="J510" s="49" t="s">
        <v>1095</v>
      </c>
      <c r="K510" s="49" t="s">
        <v>571</v>
      </c>
      <c r="L510" s="37" t="s">
        <v>58</v>
      </c>
      <c r="M510" s="37" t="s">
        <v>130</v>
      </c>
      <c r="N510" s="17"/>
      <c r="O510" s="1"/>
      <c r="P510" s="15"/>
      <c r="Q510" s="15"/>
      <c r="R510" s="1"/>
      <c r="S510" s="1"/>
    </row>
    <row r="511" hidden="1" outlineLevel="1">
      <c r="A511" s="1"/>
      <c r="B511" s="3">
        <f t="shared" si="1"/>
        <v>507</v>
      </c>
      <c r="C511" s="31" t="s">
        <v>1096</v>
      </c>
      <c r="D511" s="37" t="s">
        <v>49</v>
      </c>
      <c r="E511" s="1"/>
      <c r="F511" s="43" t="s">
        <v>1097</v>
      </c>
      <c r="G511" s="37"/>
      <c r="H511" s="46">
        <v>46085.0</v>
      </c>
      <c r="I511" s="37" t="s">
        <v>461</v>
      </c>
      <c r="J511" s="49" t="s">
        <v>1098</v>
      </c>
      <c r="K511" s="49" t="s">
        <v>749</v>
      </c>
      <c r="L511" s="37" t="s">
        <v>58</v>
      </c>
      <c r="M511" s="37" t="s">
        <v>78</v>
      </c>
      <c r="N511" s="17"/>
      <c r="O511" s="1"/>
      <c r="P511" s="15"/>
      <c r="Q511" s="15"/>
      <c r="R511" s="1"/>
      <c r="S511" s="1"/>
    </row>
    <row r="512" hidden="1" outlineLevel="1">
      <c r="A512" s="1"/>
      <c r="B512" s="3">
        <f t="shared" si="1"/>
        <v>508</v>
      </c>
      <c r="C512" s="31" t="s">
        <v>1099</v>
      </c>
      <c r="D512" s="37" t="s">
        <v>218</v>
      </c>
      <c r="E512" s="1"/>
      <c r="F512" s="37"/>
      <c r="G512" s="37"/>
      <c r="H512" s="46">
        <v>46085.0</v>
      </c>
      <c r="I512" s="37" t="s">
        <v>461</v>
      </c>
      <c r="J512" s="49" t="s">
        <v>571</v>
      </c>
      <c r="K512" s="49" t="s">
        <v>571</v>
      </c>
      <c r="L512" s="37" t="s">
        <v>58</v>
      </c>
      <c r="M512" s="37" t="s">
        <v>130</v>
      </c>
      <c r="N512" s="17"/>
      <c r="O512" s="1"/>
      <c r="P512" s="15"/>
      <c r="Q512" s="15"/>
      <c r="R512" s="1"/>
      <c r="S512" s="1"/>
    </row>
    <row r="513" hidden="1" outlineLevel="1">
      <c r="A513" s="1"/>
      <c r="B513" s="3">
        <f t="shared" si="1"/>
        <v>509</v>
      </c>
      <c r="C513" s="31" t="s">
        <v>1100</v>
      </c>
      <c r="D513" s="37" t="s">
        <v>112</v>
      </c>
      <c r="E513" s="1"/>
      <c r="F513" s="37"/>
      <c r="G513" s="37"/>
      <c r="H513" s="46">
        <v>46085.0</v>
      </c>
      <c r="I513" s="37" t="s">
        <v>461</v>
      </c>
      <c r="J513" s="49"/>
      <c r="K513" s="49" t="s">
        <v>749</v>
      </c>
      <c r="L513" s="37" t="s">
        <v>189</v>
      </c>
      <c r="M513" s="37"/>
      <c r="N513" s="17"/>
      <c r="O513" s="1"/>
      <c r="P513" s="15"/>
      <c r="Q513" s="15"/>
      <c r="R513" s="1"/>
      <c r="S513" s="1"/>
    </row>
    <row r="514" hidden="1" outlineLevel="1">
      <c r="A514" s="1"/>
      <c r="B514" s="3">
        <f t="shared" si="1"/>
        <v>510</v>
      </c>
      <c r="C514" s="31" t="s">
        <v>1101</v>
      </c>
      <c r="D514" s="37" t="s">
        <v>497</v>
      </c>
      <c r="E514" s="1"/>
      <c r="F514" s="43" t="s">
        <v>1102</v>
      </c>
      <c r="G514" s="37"/>
      <c r="H514" s="46">
        <v>46085.0</v>
      </c>
      <c r="I514" s="37" t="s">
        <v>461</v>
      </c>
      <c r="J514" s="49"/>
      <c r="K514" s="49" t="s">
        <v>517</v>
      </c>
      <c r="L514" s="37" t="s">
        <v>58</v>
      </c>
      <c r="M514" s="37" t="s">
        <v>130</v>
      </c>
      <c r="N514" s="17"/>
      <c r="O514" s="1"/>
      <c r="P514" s="15"/>
      <c r="Q514" s="15"/>
      <c r="R514" s="1"/>
      <c r="S514" s="1"/>
    </row>
    <row r="515" hidden="1" outlineLevel="1">
      <c r="A515" s="1"/>
      <c r="B515" s="3">
        <f t="shared" si="1"/>
        <v>511</v>
      </c>
      <c r="C515" s="31" t="s">
        <v>1103</v>
      </c>
      <c r="D515" s="37" t="s">
        <v>112</v>
      </c>
      <c r="E515" s="1"/>
      <c r="F515" s="37"/>
      <c r="G515" s="37"/>
      <c r="H515" s="46">
        <v>46085.0</v>
      </c>
      <c r="I515" s="37" t="s">
        <v>461</v>
      </c>
      <c r="J515" s="49"/>
      <c r="K515" s="49" t="s">
        <v>1104</v>
      </c>
      <c r="L515" s="37" t="s">
        <v>58</v>
      </c>
      <c r="M515" s="37" t="s">
        <v>130</v>
      </c>
      <c r="N515" s="17"/>
      <c r="O515" s="1"/>
      <c r="P515" s="15"/>
      <c r="Q515" s="15"/>
      <c r="R515" s="1"/>
      <c r="S515" s="1"/>
    </row>
    <row r="516" hidden="1" outlineLevel="1">
      <c r="A516" s="1"/>
      <c r="B516" s="3">
        <f t="shared" si="1"/>
        <v>512</v>
      </c>
      <c r="C516" s="31" t="s">
        <v>1105</v>
      </c>
      <c r="D516" s="37" t="s">
        <v>96</v>
      </c>
      <c r="E516" s="1"/>
      <c r="F516" s="37"/>
      <c r="G516" s="37"/>
      <c r="H516" s="46">
        <v>46085.0</v>
      </c>
      <c r="I516" s="37" t="s">
        <v>461</v>
      </c>
      <c r="J516" s="49" t="s">
        <v>691</v>
      </c>
      <c r="K516" s="49" t="s">
        <v>691</v>
      </c>
      <c r="L516" s="37" t="s">
        <v>58</v>
      </c>
      <c r="M516" s="37" t="s">
        <v>130</v>
      </c>
      <c r="N516" s="17"/>
      <c r="O516" s="1"/>
      <c r="P516" s="15"/>
      <c r="Q516" s="15"/>
      <c r="R516" s="1"/>
      <c r="S516" s="1"/>
    </row>
    <row r="517" hidden="1" outlineLevel="1">
      <c r="A517" s="1"/>
      <c r="B517" s="3">
        <f t="shared" si="1"/>
        <v>513</v>
      </c>
      <c r="C517" s="31" t="s">
        <v>1106</v>
      </c>
      <c r="D517" s="37" t="s">
        <v>44</v>
      </c>
      <c r="E517" s="1"/>
      <c r="F517" s="37"/>
      <c r="G517" s="37"/>
      <c r="H517" s="46">
        <v>46085.0</v>
      </c>
      <c r="I517" s="37" t="s">
        <v>461</v>
      </c>
      <c r="J517" s="49" t="s">
        <v>648</v>
      </c>
      <c r="K517" s="49" t="s">
        <v>648</v>
      </c>
      <c r="L517" s="37" t="s">
        <v>189</v>
      </c>
      <c r="M517" s="37"/>
      <c r="N517" s="17"/>
      <c r="O517" s="1"/>
      <c r="P517" s="15"/>
      <c r="Q517" s="67" t="s">
        <v>1107</v>
      </c>
      <c r="R517" s="1"/>
      <c r="S517" s="1"/>
    </row>
    <row r="518" hidden="1" outlineLevel="1">
      <c r="A518" s="1"/>
      <c r="B518" s="3">
        <f t="shared" si="1"/>
        <v>514</v>
      </c>
      <c r="C518" s="31" t="s">
        <v>1108</v>
      </c>
      <c r="D518" s="37" t="s">
        <v>83</v>
      </c>
      <c r="E518" s="1"/>
      <c r="F518" s="37"/>
      <c r="G518" s="37"/>
      <c r="H518" s="46">
        <v>46085.0</v>
      </c>
      <c r="I518" s="37" t="s">
        <v>461</v>
      </c>
      <c r="J518" s="49" t="s">
        <v>571</v>
      </c>
      <c r="K518" s="49" t="s">
        <v>554</v>
      </c>
      <c r="L518" s="37" t="s">
        <v>58</v>
      </c>
      <c r="M518" s="37" t="s">
        <v>74</v>
      </c>
      <c r="N518" s="17"/>
      <c r="O518" s="1"/>
      <c r="P518" s="15"/>
      <c r="Q518" s="15"/>
      <c r="R518" s="1"/>
      <c r="S518" s="1"/>
    </row>
    <row r="519" hidden="1" outlineLevel="1">
      <c r="A519" s="1"/>
      <c r="B519" s="3">
        <f t="shared" si="1"/>
        <v>515</v>
      </c>
      <c r="C519" s="31" t="s">
        <v>1109</v>
      </c>
      <c r="D519" s="37" t="s">
        <v>112</v>
      </c>
      <c r="E519" s="1"/>
      <c r="F519" s="37"/>
      <c r="G519" s="37"/>
      <c r="H519" s="46">
        <v>46085.0</v>
      </c>
      <c r="I519" s="37" t="s">
        <v>461</v>
      </c>
      <c r="J519" s="49" t="s">
        <v>571</v>
      </c>
      <c r="K519" s="49" t="s">
        <v>518</v>
      </c>
      <c r="L519" s="37" t="s">
        <v>58</v>
      </c>
      <c r="M519" s="37" t="s">
        <v>130</v>
      </c>
      <c r="N519" s="17"/>
      <c r="O519" s="1"/>
      <c r="P519" s="15"/>
      <c r="Q519" s="15"/>
      <c r="R519" s="1"/>
      <c r="S519" s="1"/>
    </row>
    <row r="520" hidden="1" outlineLevel="1">
      <c r="A520" s="1"/>
      <c r="B520" s="3">
        <f t="shared" si="1"/>
        <v>516</v>
      </c>
      <c r="C520" s="31" t="s">
        <v>1110</v>
      </c>
      <c r="D520" s="37" t="s">
        <v>497</v>
      </c>
      <c r="E520" s="1"/>
      <c r="F520" s="37"/>
      <c r="G520" s="37"/>
      <c r="H520" s="46">
        <v>46085.0</v>
      </c>
      <c r="I520" s="37" t="s">
        <v>461</v>
      </c>
      <c r="J520" s="49" t="s">
        <v>644</v>
      </c>
      <c r="K520" s="49" t="s">
        <v>644</v>
      </c>
      <c r="L520" s="37" t="s">
        <v>58</v>
      </c>
      <c r="M520" s="37" t="s">
        <v>130</v>
      </c>
      <c r="N520" s="17"/>
      <c r="O520" s="1"/>
      <c r="P520" s="15"/>
      <c r="Q520" s="15"/>
      <c r="R520" s="1"/>
      <c r="S520" s="1"/>
    </row>
    <row r="521" hidden="1" outlineLevel="1">
      <c r="A521" s="1"/>
      <c r="B521" s="3">
        <f t="shared" si="1"/>
        <v>517</v>
      </c>
      <c r="C521" s="31" t="s">
        <v>1111</v>
      </c>
      <c r="D521" s="37" t="s">
        <v>116</v>
      </c>
      <c r="E521" s="1"/>
      <c r="F521" s="37"/>
      <c r="G521" s="37"/>
      <c r="H521" s="46">
        <v>46085.0</v>
      </c>
      <c r="I521" s="37" t="s">
        <v>461</v>
      </c>
      <c r="J521" s="49"/>
      <c r="K521" s="49"/>
      <c r="L521" s="37" t="s">
        <v>58</v>
      </c>
      <c r="M521" s="37" t="s">
        <v>130</v>
      </c>
      <c r="N521" s="17"/>
      <c r="O521" s="1"/>
      <c r="P521" s="15"/>
      <c r="Q521" s="15"/>
      <c r="R521" s="1"/>
      <c r="S521" s="1"/>
    </row>
    <row r="522" hidden="1" outlineLevel="1">
      <c r="A522" s="1"/>
      <c r="B522" s="3">
        <f t="shared" si="1"/>
        <v>518</v>
      </c>
      <c r="C522" s="31" t="s">
        <v>1112</v>
      </c>
      <c r="D522" s="37" t="s">
        <v>49</v>
      </c>
      <c r="E522" s="1"/>
      <c r="F522" s="37"/>
      <c r="G522" s="37"/>
      <c r="H522" s="46">
        <v>46085.0</v>
      </c>
      <c r="I522" s="37" t="s">
        <v>461</v>
      </c>
      <c r="J522" s="49" t="s">
        <v>672</v>
      </c>
      <c r="K522" s="49" t="s">
        <v>605</v>
      </c>
      <c r="L522" s="37" t="s">
        <v>58</v>
      </c>
      <c r="M522" s="37" t="s">
        <v>130</v>
      </c>
      <c r="N522" s="17"/>
      <c r="O522" s="1"/>
      <c r="P522" s="15"/>
      <c r="Q522" s="15"/>
      <c r="R522" s="1"/>
      <c r="S522" s="1"/>
    </row>
    <row r="523" hidden="1" outlineLevel="1">
      <c r="A523" s="1"/>
      <c r="B523" s="3">
        <f t="shared" si="1"/>
        <v>519</v>
      </c>
      <c r="C523" s="31" t="s">
        <v>1113</v>
      </c>
      <c r="D523" s="37" t="s">
        <v>497</v>
      </c>
      <c r="E523" s="1"/>
      <c r="F523" s="43" t="s">
        <v>1114</v>
      </c>
      <c r="G523" s="37"/>
      <c r="H523" s="46">
        <v>46085.0</v>
      </c>
      <c r="I523" s="37" t="s">
        <v>461</v>
      </c>
      <c r="J523" s="49" t="s">
        <v>855</v>
      </c>
      <c r="K523" s="49" t="s">
        <v>648</v>
      </c>
      <c r="L523" s="37" t="s">
        <v>58</v>
      </c>
      <c r="M523" s="37" t="s">
        <v>130</v>
      </c>
      <c r="N523" s="17"/>
      <c r="O523" s="1"/>
      <c r="P523" s="15"/>
      <c r="Q523" s="15"/>
      <c r="R523" s="1"/>
      <c r="S523" s="1"/>
    </row>
    <row r="524" hidden="1" outlineLevel="1">
      <c r="A524" s="1"/>
      <c r="B524" s="3">
        <f t="shared" si="1"/>
        <v>520</v>
      </c>
      <c r="C524" s="31" t="s">
        <v>1115</v>
      </c>
      <c r="D524" s="37" t="s">
        <v>56</v>
      </c>
      <c r="E524" s="1"/>
      <c r="F524" s="37"/>
      <c r="G524" s="37"/>
      <c r="H524" s="46">
        <v>46085.0</v>
      </c>
      <c r="I524" s="37" t="s">
        <v>461</v>
      </c>
      <c r="J524" s="49"/>
      <c r="K524" s="49" t="s">
        <v>571</v>
      </c>
      <c r="L524" s="37" t="s">
        <v>58</v>
      </c>
      <c r="M524" s="37" t="s">
        <v>130</v>
      </c>
      <c r="N524" s="17"/>
      <c r="O524" s="1"/>
      <c r="P524" s="15"/>
      <c r="Q524" s="67" t="s">
        <v>879</v>
      </c>
      <c r="R524" s="1"/>
      <c r="S524" s="1"/>
    </row>
    <row r="525" hidden="1" outlineLevel="1">
      <c r="A525" s="1"/>
      <c r="B525" s="3">
        <f t="shared" si="1"/>
        <v>521</v>
      </c>
      <c r="C525" s="31" t="s">
        <v>1116</v>
      </c>
      <c r="D525" s="37" t="s">
        <v>44</v>
      </c>
      <c r="E525" s="1"/>
      <c r="F525" s="37"/>
      <c r="G525" s="37"/>
      <c r="H525" s="46">
        <v>46085.0</v>
      </c>
      <c r="I525" s="37" t="s">
        <v>461</v>
      </c>
      <c r="J525" s="49"/>
      <c r="K525" s="49" t="s">
        <v>1104</v>
      </c>
      <c r="L525" s="37" t="s">
        <v>58</v>
      </c>
      <c r="M525" s="37" t="s">
        <v>130</v>
      </c>
      <c r="N525" s="17"/>
      <c r="O525" s="1"/>
      <c r="P525" s="15"/>
      <c r="Q525" s="15"/>
      <c r="R525" s="1"/>
      <c r="S525" s="1"/>
    </row>
    <row r="526" hidden="1" outlineLevel="1">
      <c r="A526" s="1"/>
      <c r="B526" s="3">
        <f t="shared" si="1"/>
        <v>522</v>
      </c>
      <c r="C526" s="31" t="s">
        <v>1117</v>
      </c>
      <c r="D526" s="37" t="s">
        <v>218</v>
      </c>
      <c r="E526" s="1"/>
      <c r="F526" s="37"/>
      <c r="G526" s="37"/>
      <c r="H526" s="46">
        <v>46085.0</v>
      </c>
      <c r="I526" s="37" t="s">
        <v>461</v>
      </c>
      <c r="J526" s="49" t="s">
        <v>648</v>
      </c>
      <c r="K526" s="49" t="s">
        <v>533</v>
      </c>
      <c r="L526" s="37" t="s">
        <v>58</v>
      </c>
      <c r="M526" s="37" t="s">
        <v>130</v>
      </c>
      <c r="N526" s="17"/>
      <c r="O526" s="1"/>
      <c r="P526" s="15"/>
      <c r="Q526" s="15"/>
      <c r="R526" s="1"/>
      <c r="S526" s="1"/>
    </row>
    <row r="527" hidden="1" outlineLevel="1">
      <c r="A527" s="1"/>
      <c r="B527" s="3">
        <f t="shared" si="1"/>
        <v>523</v>
      </c>
      <c r="C527" s="31" t="s">
        <v>1118</v>
      </c>
      <c r="D527" s="37" t="s">
        <v>56</v>
      </c>
      <c r="E527" s="1"/>
      <c r="F527" s="37"/>
      <c r="G527" s="37"/>
      <c r="H527" s="46">
        <v>46085.0</v>
      </c>
      <c r="I527" s="37" t="s">
        <v>461</v>
      </c>
      <c r="J527" s="49"/>
      <c r="K527" s="49" t="s">
        <v>1104</v>
      </c>
      <c r="L527" s="37" t="s">
        <v>58</v>
      </c>
      <c r="M527" s="37" t="s">
        <v>130</v>
      </c>
      <c r="N527" s="17"/>
      <c r="O527" s="1"/>
      <c r="P527" s="15"/>
      <c r="Q527" s="15"/>
      <c r="R527" s="1"/>
      <c r="S527" s="1"/>
    </row>
    <row r="528" hidden="1" outlineLevel="1">
      <c r="A528" s="1"/>
      <c r="B528" s="3">
        <f t="shared" si="1"/>
        <v>524</v>
      </c>
      <c r="C528" s="31" t="s">
        <v>1119</v>
      </c>
      <c r="D528" s="37" t="s">
        <v>218</v>
      </c>
      <c r="E528" s="1"/>
      <c r="F528" s="37"/>
      <c r="G528" s="37"/>
      <c r="H528" s="46">
        <v>46085.0</v>
      </c>
      <c r="I528" s="37" t="s">
        <v>461</v>
      </c>
      <c r="J528" s="49" t="s">
        <v>679</v>
      </c>
      <c r="K528" s="49" t="s">
        <v>571</v>
      </c>
      <c r="L528" s="37" t="s">
        <v>58</v>
      </c>
      <c r="M528" s="37" t="s">
        <v>130</v>
      </c>
      <c r="N528" s="17"/>
      <c r="O528" s="1"/>
      <c r="P528" s="15"/>
      <c r="Q528" s="15"/>
      <c r="R528" s="1"/>
      <c r="S528" s="1"/>
    </row>
    <row r="529" hidden="1" outlineLevel="1">
      <c r="A529" s="1"/>
      <c r="B529" s="3">
        <f t="shared" si="1"/>
        <v>525</v>
      </c>
      <c r="C529" s="31" t="s">
        <v>1120</v>
      </c>
      <c r="D529" s="37" t="s">
        <v>112</v>
      </c>
      <c r="E529" s="1"/>
      <c r="F529" s="37"/>
      <c r="G529" s="37"/>
      <c r="H529" s="46">
        <v>46085.0</v>
      </c>
      <c r="I529" s="37" t="s">
        <v>461</v>
      </c>
      <c r="J529" s="49" t="s">
        <v>517</v>
      </c>
      <c r="K529" s="49" t="s">
        <v>518</v>
      </c>
      <c r="L529" s="37" t="s">
        <v>58</v>
      </c>
      <c r="M529" s="37" t="s">
        <v>63</v>
      </c>
      <c r="N529" s="17" t="s">
        <v>28</v>
      </c>
      <c r="O529" s="37" t="s">
        <v>16</v>
      </c>
      <c r="P529" s="15"/>
      <c r="Q529" s="15"/>
      <c r="R529" s="1"/>
      <c r="S529" s="1"/>
    </row>
    <row r="530" hidden="1" outlineLevel="1">
      <c r="A530" s="1"/>
      <c r="B530" s="3">
        <f t="shared" si="1"/>
        <v>526</v>
      </c>
      <c r="C530" s="31" t="s">
        <v>1121</v>
      </c>
      <c r="D530" s="37" t="s">
        <v>56</v>
      </c>
      <c r="E530" s="1"/>
      <c r="F530" s="37"/>
      <c r="G530" s="37"/>
      <c r="H530" s="46">
        <v>46085.0</v>
      </c>
      <c r="I530" s="37" t="s">
        <v>461</v>
      </c>
      <c r="J530" s="49"/>
      <c r="K530" s="49" t="s">
        <v>517</v>
      </c>
      <c r="L530" s="37" t="s">
        <v>58</v>
      </c>
      <c r="M530" s="37" t="s">
        <v>130</v>
      </c>
      <c r="N530" s="17"/>
      <c r="O530" s="1"/>
      <c r="P530" s="15"/>
      <c r="Q530" s="15"/>
      <c r="R530" s="1"/>
      <c r="S530" s="1"/>
    </row>
    <row r="531" hidden="1" outlineLevel="1">
      <c r="A531" s="1"/>
      <c r="B531" s="3">
        <f t="shared" si="1"/>
        <v>527</v>
      </c>
      <c r="C531" s="31" t="s">
        <v>1122</v>
      </c>
      <c r="D531" s="37" t="s">
        <v>218</v>
      </c>
      <c r="E531" s="1"/>
      <c r="F531" s="37"/>
      <c r="G531" s="37"/>
      <c r="H531" s="46">
        <v>46085.0</v>
      </c>
      <c r="I531" s="37" t="s">
        <v>461</v>
      </c>
      <c r="J531" s="49"/>
      <c r="K531" s="49" t="s">
        <v>641</v>
      </c>
      <c r="L531" s="37" t="s">
        <v>58</v>
      </c>
      <c r="M531" s="37" t="s">
        <v>130</v>
      </c>
      <c r="N531" s="17"/>
      <c r="O531" s="1"/>
      <c r="P531" s="15"/>
      <c r="Q531" s="15"/>
      <c r="R531" s="1"/>
      <c r="S531" s="1"/>
    </row>
    <row r="532" hidden="1" outlineLevel="1">
      <c r="A532" s="1"/>
      <c r="B532" s="3">
        <f t="shared" si="1"/>
        <v>528</v>
      </c>
      <c r="C532" s="31" t="s">
        <v>1123</v>
      </c>
      <c r="D532" s="37" t="s">
        <v>96</v>
      </c>
      <c r="E532" s="1"/>
      <c r="F532" s="37"/>
      <c r="G532" s="37"/>
      <c r="H532" s="46">
        <v>46085.0</v>
      </c>
      <c r="I532" s="37" t="s">
        <v>461</v>
      </c>
      <c r="J532" s="49" t="s">
        <v>648</v>
      </c>
      <c r="K532" s="49" t="s">
        <v>648</v>
      </c>
      <c r="L532" s="37" t="s">
        <v>58</v>
      </c>
      <c r="M532" s="37" t="s">
        <v>130</v>
      </c>
      <c r="N532" s="17"/>
      <c r="O532" s="1"/>
      <c r="P532" s="15"/>
      <c r="Q532" s="15"/>
      <c r="R532" s="1"/>
      <c r="S532" s="1"/>
    </row>
    <row r="533" hidden="1" outlineLevel="1">
      <c r="A533" s="1"/>
      <c r="B533" s="3">
        <f t="shared" si="1"/>
        <v>529</v>
      </c>
      <c r="C533" s="31" t="s">
        <v>1124</v>
      </c>
      <c r="D533" s="37" t="s">
        <v>96</v>
      </c>
      <c r="E533" s="1"/>
      <c r="F533" s="37"/>
      <c r="G533" s="37"/>
      <c r="H533" s="46">
        <v>46085.0</v>
      </c>
      <c r="I533" s="37" t="s">
        <v>461</v>
      </c>
      <c r="J533" s="49"/>
      <c r="K533" s="49" t="s">
        <v>648</v>
      </c>
      <c r="L533" s="37" t="s">
        <v>58</v>
      </c>
      <c r="M533" s="37" t="s">
        <v>130</v>
      </c>
      <c r="N533" s="17"/>
      <c r="O533" s="1"/>
      <c r="P533" s="15"/>
      <c r="Q533" s="15"/>
      <c r="R533" s="1"/>
      <c r="S533" s="1"/>
    </row>
    <row r="534" hidden="1" outlineLevel="1">
      <c r="A534" s="1"/>
      <c r="B534" s="3">
        <f t="shared" si="1"/>
        <v>530</v>
      </c>
      <c r="C534" s="31" t="s">
        <v>1125</v>
      </c>
      <c r="D534" s="37" t="s">
        <v>56</v>
      </c>
      <c r="E534" s="1"/>
      <c r="F534" s="37"/>
      <c r="G534" s="37"/>
      <c r="H534" s="46">
        <v>46085.0</v>
      </c>
      <c r="I534" s="37" t="s">
        <v>461</v>
      </c>
      <c r="J534" s="49" t="s">
        <v>1058</v>
      </c>
      <c r="K534" s="49" t="s">
        <v>571</v>
      </c>
      <c r="L534" s="37" t="s">
        <v>58</v>
      </c>
      <c r="M534" s="37" t="s">
        <v>130</v>
      </c>
      <c r="N534" s="17"/>
      <c r="O534" s="1"/>
      <c r="P534" s="15"/>
      <c r="Q534" s="15"/>
      <c r="R534" s="1"/>
      <c r="S534" s="1"/>
    </row>
    <row r="535" hidden="1" outlineLevel="1">
      <c r="A535" s="1"/>
      <c r="B535" s="3">
        <f t="shared" si="1"/>
        <v>531</v>
      </c>
      <c r="C535" s="31" t="s">
        <v>1126</v>
      </c>
      <c r="D535" s="37" t="s">
        <v>497</v>
      </c>
      <c r="E535" s="1"/>
      <c r="F535" s="37"/>
      <c r="G535" s="37"/>
      <c r="H535" s="46">
        <v>46085.0</v>
      </c>
      <c r="I535" s="37" t="s">
        <v>461</v>
      </c>
      <c r="J535" s="49"/>
      <c r="K535" s="49" t="s">
        <v>518</v>
      </c>
      <c r="L535" s="37" t="s">
        <v>189</v>
      </c>
      <c r="M535" s="37"/>
      <c r="N535" s="17"/>
      <c r="O535" s="1"/>
      <c r="P535" s="15"/>
      <c r="Q535" s="67" t="s">
        <v>1127</v>
      </c>
      <c r="R535" s="1"/>
      <c r="S535" s="1"/>
    </row>
    <row r="536" hidden="1" outlineLevel="1">
      <c r="A536" s="1"/>
      <c r="B536" s="3">
        <f t="shared" si="1"/>
        <v>532</v>
      </c>
      <c r="C536" s="31" t="s">
        <v>1128</v>
      </c>
      <c r="D536" s="37" t="s">
        <v>83</v>
      </c>
      <c r="E536" s="1"/>
      <c r="F536" s="37"/>
      <c r="G536" s="37"/>
      <c r="H536" s="46">
        <v>46085.0</v>
      </c>
      <c r="I536" s="37" t="s">
        <v>461</v>
      </c>
      <c r="J536" s="49"/>
      <c r="K536" s="49" t="s">
        <v>518</v>
      </c>
      <c r="L536" s="37" t="s">
        <v>58</v>
      </c>
      <c r="M536" s="37" t="s">
        <v>78</v>
      </c>
      <c r="N536" s="17" t="s">
        <v>28</v>
      </c>
      <c r="O536" s="37" t="s">
        <v>16</v>
      </c>
      <c r="P536" s="15"/>
      <c r="Q536" s="15"/>
      <c r="R536" s="1"/>
      <c r="S536" s="1"/>
    </row>
    <row r="537" hidden="1" outlineLevel="1">
      <c r="A537" s="1"/>
      <c r="B537" s="3">
        <f t="shared" si="1"/>
        <v>533</v>
      </c>
      <c r="C537" s="31" t="s">
        <v>1129</v>
      </c>
      <c r="D537" s="37" t="s">
        <v>668</v>
      </c>
      <c r="E537" s="1"/>
      <c r="F537" s="1"/>
      <c r="G537" s="37"/>
      <c r="H537" s="46">
        <v>46087.0</v>
      </c>
      <c r="I537" s="37" t="s">
        <v>461</v>
      </c>
      <c r="J537" s="49"/>
      <c r="K537" s="49"/>
      <c r="L537" s="37" t="s">
        <v>189</v>
      </c>
      <c r="M537" s="37"/>
      <c r="N537" s="17"/>
      <c r="O537" s="1"/>
      <c r="P537" s="15"/>
      <c r="Q537" s="67" t="s">
        <v>1130</v>
      </c>
      <c r="R537" s="1"/>
      <c r="S537" s="1"/>
    </row>
    <row r="538" hidden="1" outlineLevel="1">
      <c r="A538" s="1"/>
      <c r="B538" s="3">
        <f t="shared" si="1"/>
        <v>534</v>
      </c>
      <c r="C538" s="31" t="s">
        <v>1131</v>
      </c>
      <c r="D538" s="37" t="s">
        <v>668</v>
      </c>
      <c r="E538" s="1"/>
      <c r="F538" s="1"/>
      <c r="G538" s="37"/>
      <c r="H538" s="46">
        <v>46087.0</v>
      </c>
      <c r="I538" s="37" t="s">
        <v>461</v>
      </c>
      <c r="J538" s="49"/>
      <c r="K538" s="49" t="s">
        <v>1132</v>
      </c>
      <c r="L538" s="37" t="s">
        <v>58</v>
      </c>
      <c r="M538" s="37"/>
      <c r="N538" s="17"/>
      <c r="O538" s="1"/>
      <c r="P538" s="15"/>
      <c r="Q538" s="15"/>
      <c r="R538" s="1"/>
      <c r="S538" s="1"/>
    </row>
    <row r="539" hidden="1" outlineLevel="1">
      <c r="A539" s="1"/>
      <c r="B539" s="3">
        <f t="shared" si="1"/>
        <v>535</v>
      </c>
      <c r="C539" s="31" t="s">
        <v>1133</v>
      </c>
      <c r="D539" s="37" t="s">
        <v>668</v>
      </c>
      <c r="E539" s="1"/>
      <c r="F539" s="1"/>
      <c r="G539" s="37"/>
      <c r="H539" s="46">
        <v>46087.0</v>
      </c>
      <c r="I539" s="37" t="s">
        <v>461</v>
      </c>
      <c r="J539" s="49"/>
      <c r="K539" s="49" t="s">
        <v>1134</v>
      </c>
      <c r="L539" s="37" t="s">
        <v>189</v>
      </c>
      <c r="M539" s="37"/>
      <c r="N539" s="17"/>
      <c r="O539" s="1"/>
      <c r="P539" s="15"/>
      <c r="Q539" s="67" t="s">
        <v>1135</v>
      </c>
      <c r="R539" s="1"/>
      <c r="S539" s="1"/>
    </row>
    <row r="540" hidden="1" outlineLevel="1">
      <c r="A540" s="1"/>
      <c r="B540" s="3">
        <f t="shared" si="1"/>
        <v>536</v>
      </c>
      <c r="C540" s="31" t="s">
        <v>1136</v>
      </c>
      <c r="D540" s="37" t="s">
        <v>44</v>
      </c>
      <c r="E540" s="1"/>
      <c r="F540" s="1"/>
      <c r="G540" s="37"/>
      <c r="H540" s="46">
        <v>46091.0</v>
      </c>
      <c r="I540" s="37" t="s">
        <v>461</v>
      </c>
      <c r="J540" s="49" t="s">
        <v>571</v>
      </c>
      <c r="K540" s="49" t="s">
        <v>540</v>
      </c>
      <c r="L540" s="37" t="s">
        <v>189</v>
      </c>
      <c r="M540" s="37"/>
      <c r="N540" s="17"/>
      <c r="O540" s="1"/>
      <c r="P540" s="15"/>
      <c r="Q540" s="67" t="s">
        <v>1137</v>
      </c>
      <c r="R540" s="1"/>
      <c r="S540" s="1"/>
    </row>
    <row r="541" hidden="1" outlineLevel="1">
      <c r="A541" s="1"/>
      <c r="B541" s="3">
        <f t="shared" si="1"/>
        <v>537</v>
      </c>
      <c r="C541" s="31" t="s">
        <v>1138</v>
      </c>
      <c r="D541" s="37" t="s">
        <v>668</v>
      </c>
      <c r="E541" s="1"/>
      <c r="F541" s="1"/>
      <c r="G541" s="37"/>
      <c r="H541" s="46">
        <v>46091.0</v>
      </c>
      <c r="I541" s="37" t="s">
        <v>461</v>
      </c>
      <c r="J541" s="49"/>
      <c r="K541" s="49" t="s">
        <v>763</v>
      </c>
      <c r="L541" s="37" t="s">
        <v>189</v>
      </c>
      <c r="M541" s="37"/>
      <c r="N541" s="17"/>
      <c r="O541" s="1"/>
      <c r="P541" s="15"/>
      <c r="Q541" s="67" t="s">
        <v>1139</v>
      </c>
      <c r="R541" s="1"/>
      <c r="S541" s="1"/>
    </row>
    <row r="542" hidden="1" outlineLevel="1">
      <c r="A542" s="1"/>
      <c r="B542" s="3">
        <f t="shared" si="1"/>
        <v>538</v>
      </c>
      <c r="C542" s="31" t="s">
        <v>1140</v>
      </c>
      <c r="D542" s="37" t="s">
        <v>668</v>
      </c>
      <c r="E542" s="1"/>
      <c r="F542" s="1"/>
      <c r="G542" s="37"/>
      <c r="H542" s="46">
        <v>46091.0</v>
      </c>
      <c r="I542" s="37" t="s">
        <v>461</v>
      </c>
      <c r="J542" s="49"/>
      <c r="K542" s="49" t="s">
        <v>1141</v>
      </c>
      <c r="L542" s="37" t="s">
        <v>189</v>
      </c>
      <c r="M542" s="37"/>
      <c r="N542" s="17"/>
      <c r="O542" s="1"/>
      <c r="P542" s="15"/>
      <c r="Q542" s="67" t="s">
        <v>1142</v>
      </c>
      <c r="R542" s="1"/>
      <c r="S542" s="1"/>
    </row>
    <row r="543" hidden="1" outlineLevel="1">
      <c r="A543" s="1"/>
      <c r="B543" s="3">
        <f t="shared" si="1"/>
        <v>539</v>
      </c>
      <c r="C543" s="31" t="s">
        <v>1143</v>
      </c>
      <c r="D543" s="37" t="s">
        <v>497</v>
      </c>
      <c r="E543" s="1"/>
      <c r="F543" s="1"/>
      <c r="G543" s="37"/>
      <c r="H543" s="46">
        <v>46091.0</v>
      </c>
      <c r="I543" s="37" t="s">
        <v>461</v>
      </c>
      <c r="J543" s="49" t="s">
        <v>517</v>
      </c>
      <c r="K543" s="49" t="s">
        <v>769</v>
      </c>
      <c r="L543" s="37" t="s">
        <v>189</v>
      </c>
      <c r="M543" s="37"/>
      <c r="N543" s="17"/>
      <c r="O543" s="1"/>
      <c r="P543" s="15"/>
      <c r="Q543" s="15"/>
      <c r="R543" s="1"/>
      <c r="S543" s="1"/>
    </row>
    <row r="544" hidden="1" outlineLevel="1">
      <c r="A544" s="1"/>
      <c r="B544" s="3">
        <f t="shared" si="1"/>
        <v>540</v>
      </c>
      <c r="C544" s="31" t="s">
        <v>1144</v>
      </c>
      <c r="D544" s="37" t="s">
        <v>497</v>
      </c>
      <c r="E544" s="1"/>
      <c r="F544" s="1"/>
      <c r="G544" s="37"/>
      <c r="H544" s="46">
        <v>46091.0</v>
      </c>
      <c r="I544" s="37" t="s">
        <v>461</v>
      </c>
      <c r="J544" s="49" t="s">
        <v>677</v>
      </c>
      <c r="K544" s="49" t="s">
        <v>515</v>
      </c>
      <c r="L544" s="37" t="s">
        <v>189</v>
      </c>
      <c r="M544" s="37"/>
      <c r="N544" s="17"/>
      <c r="O544" s="1"/>
      <c r="P544" s="15"/>
      <c r="Q544" s="15"/>
      <c r="R544" s="1"/>
      <c r="S544" s="1"/>
    </row>
    <row r="545" hidden="1" outlineLevel="1">
      <c r="A545" s="1"/>
      <c r="B545" s="3">
        <f t="shared" si="1"/>
        <v>541</v>
      </c>
      <c r="C545" s="31" t="s">
        <v>1145</v>
      </c>
      <c r="D545" s="37" t="s">
        <v>497</v>
      </c>
      <c r="E545" s="1"/>
      <c r="F545" s="1"/>
      <c r="G545" s="37"/>
      <c r="H545" s="46">
        <v>46091.0</v>
      </c>
      <c r="I545" s="37" t="s">
        <v>461</v>
      </c>
      <c r="J545" s="49" t="s">
        <v>722</v>
      </c>
      <c r="K545" s="49" t="s">
        <v>1146</v>
      </c>
      <c r="L545" s="37" t="s">
        <v>189</v>
      </c>
      <c r="M545" s="37"/>
      <c r="N545" s="17"/>
      <c r="O545" s="1"/>
      <c r="P545" s="15"/>
      <c r="Q545" s="67" t="s">
        <v>1147</v>
      </c>
      <c r="R545" s="1"/>
      <c r="S545" s="1"/>
    </row>
    <row r="546" hidden="1" outlineLevel="1">
      <c r="A546" s="1"/>
      <c r="B546" s="3">
        <f t="shared" si="1"/>
        <v>542</v>
      </c>
      <c r="C546" s="31" t="s">
        <v>1148</v>
      </c>
      <c r="D546" s="37" t="s">
        <v>159</v>
      </c>
      <c r="E546" s="1"/>
      <c r="F546" s="1"/>
      <c r="G546" s="37"/>
      <c r="H546" s="46">
        <v>46091.0</v>
      </c>
      <c r="I546" s="37" t="s">
        <v>461</v>
      </c>
      <c r="J546" s="49" t="s">
        <v>477</v>
      </c>
      <c r="K546" s="49" t="s">
        <v>785</v>
      </c>
      <c r="L546" s="37" t="s">
        <v>189</v>
      </c>
      <c r="M546" s="37"/>
      <c r="N546" s="17"/>
      <c r="O546" s="1"/>
      <c r="P546" s="15"/>
      <c r="Q546" s="67" t="s">
        <v>1149</v>
      </c>
      <c r="R546" s="1"/>
      <c r="S546" s="1"/>
    </row>
    <row r="547" hidden="1" outlineLevel="1">
      <c r="A547" s="1"/>
      <c r="B547" s="3">
        <f t="shared" si="1"/>
        <v>543</v>
      </c>
      <c r="C547" s="31" t="s">
        <v>1150</v>
      </c>
      <c r="D547" s="37" t="s">
        <v>44</v>
      </c>
      <c r="E547" s="1"/>
      <c r="F547" s="1"/>
      <c r="G547" s="37"/>
      <c r="H547" s="46">
        <v>46091.0</v>
      </c>
      <c r="I547" s="37" t="s">
        <v>461</v>
      </c>
      <c r="J547" s="49" t="s">
        <v>540</v>
      </c>
      <c r="K547" s="49" t="s">
        <v>540</v>
      </c>
      <c r="L547" s="37" t="s">
        <v>58</v>
      </c>
      <c r="M547" s="37"/>
      <c r="N547" s="17"/>
      <c r="O547" s="1"/>
      <c r="P547" s="15"/>
      <c r="Q547" s="15"/>
      <c r="R547" s="1"/>
      <c r="S547" s="1"/>
    </row>
    <row r="548" hidden="1" outlineLevel="1">
      <c r="A548" s="1"/>
      <c r="B548" s="3">
        <f t="shared" si="1"/>
        <v>544</v>
      </c>
      <c r="C548" s="31" t="s">
        <v>1151</v>
      </c>
      <c r="D548" s="37" t="s">
        <v>497</v>
      </c>
      <c r="E548" s="1"/>
      <c r="F548" s="1"/>
      <c r="G548" s="37"/>
      <c r="H548" s="46">
        <v>46091.0</v>
      </c>
      <c r="I548" s="37" t="s">
        <v>461</v>
      </c>
      <c r="J548" s="49" t="s">
        <v>722</v>
      </c>
      <c r="K548" s="49" t="s">
        <v>614</v>
      </c>
      <c r="L548" s="37" t="s">
        <v>189</v>
      </c>
      <c r="M548" s="37"/>
      <c r="N548" s="17"/>
      <c r="O548" s="1"/>
      <c r="P548" s="15"/>
      <c r="Q548" s="15"/>
      <c r="R548" s="1"/>
      <c r="S548" s="1"/>
    </row>
    <row r="549" hidden="1" outlineLevel="1">
      <c r="A549" s="1"/>
      <c r="B549" s="3">
        <f t="shared" si="1"/>
        <v>545</v>
      </c>
      <c r="C549" s="31" t="s">
        <v>1152</v>
      </c>
      <c r="D549" s="37" t="s">
        <v>218</v>
      </c>
      <c r="E549" s="1"/>
      <c r="F549" s="1"/>
      <c r="G549" s="37"/>
      <c r="H549" s="46">
        <v>46091.0</v>
      </c>
      <c r="I549" s="37" t="s">
        <v>461</v>
      </c>
      <c r="J549" s="49" t="s">
        <v>662</v>
      </c>
      <c r="K549" s="49" t="s">
        <v>763</v>
      </c>
      <c r="L549" s="37" t="s">
        <v>58</v>
      </c>
      <c r="M549" s="37" t="s">
        <v>78</v>
      </c>
      <c r="N549" s="17"/>
      <c r="O549" s="1"/>
      <c r="P549" s="15"/>
      <c r="Q549" s="15"/>
      <c r="R549" s="1"/>
      <c r="S549" s="1"/>
    </row>
    <row r="550" hidden="1" outlineLevel="1">
      <c r="A550" s="1"/>
      <c r="B550" s="3">
        <f t="shared" si="1"/>
        <v>546</v>
      </c>
      <c r="C550" s="31" t="s">
        <v>1153</v>
      </c>
      <c r="D550" s="37" t="s">
        <v>49</v>
      </c>
      <c r="E550" s="1"/>
      <c r="F550" s="1"/>
      <c r="G550" s="37"/>
      <c r="H550" s="46">
        <v>46091.0</v>
      </c>
      <c r="I550" s="37" t="s">
        <v>461</v>
      </c>
      <c r="J550" s="49" t="s">
        <v>1154</v>
      </c>
      <c r="K550" s="49" t="s">
        <v>1155</v>
      </c>
      <c r="L550" s="37" t="s">
        <v>189</v>
      </c>
      <c r="M550" s="37"/>
      <c r="N550" s="17"/>
      <c r="O550" s="1"/>
      <c r="P550" s="15"/>
      <c r="Q550" s="67" t="s">
        <v>1156</v>
      </c>
      <c r="R550" s="1"/>
      <c r="S550" s="1"/>
    </row>
    <row r="551">
      <c r="A551" s="1"/>
      <c r="B551" s="3">
        <f t="shared" si="1"/>
        <v>547</v>
      </c>
      <c r="C551" s="31" t="s">
        <v>1157</v>
      </c>
      <c r="D551" s="37" t="s">
        <v>116</v>
      </c>
      <c r="E551" s="1"/>
      <c r="F551" s="1"/>
      <c r="G551" s="37"/>
      <c r="H551" s="46">
        <v>46098.0</v>
      </c>
      <c r="I551" s="37" t="s">
        <v>452</v>
      </c>
      <c r="J551" s="49">
        <v>400.0</v>
      </c>
      <c r="K551" s="49">
        <v>400.0</v>
      </c>
      <c r="L551" s="37" t="s">
        <v>189</v>
      </c>
      <c r="M551" s="37"/>
      <c r="N551" s="17"/>
      <c r="O551" s="1"/>
      <c r="P551" s="15"/>
      <c r="Q551" s="15"/>
      <c r="R551" s="1"/>
      <c r="S551" s="1"/>
    </row>
    <row r="552">
      <c r="A552" s="1"/>
      <c r="B552" s="3">
        <f t="shared" si="1"/>
        <v>548</v>
      </c>
      <c r="C552" s="31" t="s">
        <v>1158</v>
      </c>
      <c r="D552" s="37" t="s">
        <v>49</v>
      </c>
      <c r="E552" s="1"/>
      <c r="F552" s="1"/>
      <c r="G552" s="37"/>
      <c r="H552" s="46">
        <v>46098.0</v>
      </c>
      <c r="I552" s="37" t="s">
        <v>452</v>
      </c>
      <c r="J552" s="49">
        <v>280.0</v>
      </c>
      <c r="K552" s="49" t="s">
        <v>1159</v>
      </c>
      <c r="L552" s="37" t="s">
        <v>58</v>
      </c>
      <c r="M552" s="37" t="s">
        <v>130</v>
      </c>
      <c r="N552" s="17"/>
      <c r="O552" s="1"/>
      <c r="P552" s="15"/>
      <c r="Q552" s="15"/>
      <c r="R552" s="1"/>
      <c r="S552" s="1"/>
    </row>
    <row r="553">
      <c r="A553" s="1"/>
      <c r="B553" s="3">
        <f t="shared" si="1"/>
        <v>549</v>
      </c>
      <c r="C553" s="31" t="s">
        <v>1158</v>
      </c>
      <c r="D553" s="37" t="s">
        <v>47</v>
      </c>
      <c r="E553" s="1"/>
      <c r="F553" s="1"/>
      <c r="G553" s="37"/>
      <c r="H553" s="46">
        <v>46098.0</v>
      </c>
      <c r="I553" s="37" t="s">
        <v>452</v>
      </c>
      <c r="J553" s="49">
        <v>280.0</v>
      </c>
      <c r="K553" s="49" t="s">
        <v>1159</v>
      </c>
      <c r="L553" s="37" t="s">
        <v>58</v>
      </c>
      <c r="M553" s="37" t="s">
        <v>130</v>
      </c>
      <c r="N553" s="17"/>
      <c r="O553" s="1"/>
      <c r="P553" s="15"/>
      <c r="Q553" s="15"/>
      <c r="R553" s="1"/>
      <c r="S553" s="1"/>
    </row>
    <row r="554">
      <c r="A554" s="1"/>
      <c r="B554" s="3">
        <f t="shared" si="1"/>
        <v>550</v>
      </c>
      <c r="C554" s="31" t="s">
        <v>1160</v>
      </c>
      <c r="D554" s="37" t="s">
        <v>112</v>
      </c>
      <c r="E554" s="1"/>
      <c r="F554" s="1"/>
      <c r="G554" s="37"/>
      <c r="H554" s="46">
        <v>46098.0</v>
      </c>
      <c r="I554" s="37" t="s">
        <v>452</v>
      </c>
      <c r="J554" s="49">
        <v>210.0</v>
      </c>
      <c r="K554" s="49" t="s">
        <v>1161</v>
      </c>
      <c r="L554" s="37" t="s">
        <v>58</v>
      </c>
      <c r="M554" s="37" t="s">
        <v>130</v>
      </c>
      <c r="N554" s="17"/>
      <c r="O554" s="1"/>
      <c r="P554" s="15"/>
      <c r="Q554" s="15"/>
      <c r="R554" s="1"/>
      <c r="S554" s="1"/>
    </row>
    <row r="555">
      <c r="A555" s="1"/>
      <c r="B555" s="3">
        <f t="shared" si="1"/>
        <v>551</v>
      </c>
      <c r="C555" s="31" t="s">
        <v>1162</v>
      </c>
      <c r="D555" s="37" t="s">
        <v>116</v>
      </c>
      <c r="E555" s="37"/>
      <c r="F555" s="1"/>
      <c r="G555" s="37"/>
      <c r="H555" s="46">
        <v>46098.0</v>
      </c>
      <c r="I555" s="37" t="s">
        <v>452</v>
      </c>
      <c r="J555" s="49"/>
      <c r="K555" s="49">
        <v>300.0</v>
      </c>
      <c r="L555" s="37" t="s">
        <v>58</v>
      </c>
      <c r="M555" s="37" t="s">
        <v>54</v>
      </c>
      <c r="N555" s="17" t="s">
        <v>28</v>
      </c>
      <c r="O555" s="37" t="s">
        <v>1163</v>
      </c>
      <c r="P555" s="67" t="s">
        <v>1163</v>
      </c>
      <c r="Q555" s="67" t="s">
        <v>1164</v>
      </c>
      <c r="R555" s="1"/>
      <c r="S555" s="1"/>
    </row>
    <row r="556">
      <c r="A556" s="1"/>
      <c r="B556" s="3">
        <f t="shared" si="1"/>
        <v>552</v>
      </c>
      <c r="C556" s="31" t="s">
        <v>1165</v>
      </c>
      <c r="D556" s="37" t="s">
        <v>83</v>
      </c>
      <c r="E556" s="1"/>
      <c r="F556" s="1"/>
      <c r="G556" s="37"/>
      <c r="H556" s="46">
        <v>45733.0</v>
      </c>
      <c r="I556" s="37" t="s">
        <v>452</v>
      </c>
      <c r="J556" s="49">
        <v>280.0</v>
      </c>
      <c r="K556" s="49">
        <v>280.0</v>
      </c>
      <c r="L556" s="37" t="s">
        <v>58</v>
      </c>
      <c r="M556" s="37" t="s">
        <v>54</v>
      </c>
      <c r="N556" s="17"/>
      <c r="O556" s="1"/>
      <c r="P556" s="15"/>
      <c r="Q556" s="67" t="s">
        <v>1166</v>
      </c>
      <c r="R556" s="1"/>
      <c r="S556" s="1"/>
    </row>
    <row r="557">
      <c r="A557" s="1"/>
      <c r="B557" s="3">
        <f t="shared" si="1"/>
        <v>553</v>
      </c>
      <c r="C557" s="31" t="s">
        <v>1167</v>
      </c>
      <c r="D557" s="37" t="s">
        <v>116</v>
      </c>
      <c r="E557" s="1"/>
      <c r="F557" s="1"/>
      <c r="G557" s="37"/>
      <c r="H557" s="46">
        <v>46098.0</v>
      </c>
      <c r="I557" s="37" t="s">
        <v>452</v>
      </c>
      <c r="J557" s="49"/>
      <c r="K557" s="49"/>
      <c r="L557" s="37" t="s">
        <v>58</v>
      </c>
      <c r="M557" s="37"/>
      <c r="N557" s="17"/>
      <c r="O557" s="1"/>
      <c r="P557" s="15"/>
      <c r="Q557" s="15"/>
      <c r="R557" s="1"/>
      <c r="S557" s="1"/>
    </row>
    <row r="558">
      <c r="A558" s="1"/>
      <c r="B558" s="3">
        <f t="shared" si="1"/>
        <v>554</v>
      </c>
      <c r="C558" s="31" t="s">
        <v>1168</v>
      </c>
      <c r="D558" s="37" t="s">
        <v>49</v>
      </c>
      <c r="E558" s="1"/>
      <c r="F558" s="1"/>
      <c r="G558" s="37"/>
      <c r="H558" s="46">
        <v>46098.0</v>
      </c>
      <c r="I558" s="37" t="s">
        <v>452</v>
      </c>
      <c r="J558" s="49">
        <v>250.0</v>
      </c>
      <c r="K558" s="49">
        <v>250.0</v>
      </c>
      <c r="L558" s="37" t="s">
        <v>189</v>
      </c>
      <c r="M558" s="37"/>
      <c r="N558" s="17"/>
      <c r="O558" s="1"/>
      <c r="P558" s="15"/>
      <c r="Q558" s="15"/>
      <c r="R558" s="1"/>
      <c r="S558" s="1"/>
    </row>
    <row r="559">
      <c r="A559" s="1"/>
      <c r="B559" s="3">
        <f t="shared" si="1"/>
        <v>555</v>
      </c>
      <c r="C559" s="31" t="s">
        <v>1169</v>
      </c>
      <c r="D559" s="37" t="s">
        <v>112</v>
      </c>
      <c r="E559" s="1"/>
      <c r="F559" s="1"/>
      <c r="G559" s="37"/>
      <c r="H559" s="46">
        <v>46098.0</v>
      </c>
      <c r="I559" s="37" t="s">
        <v>452</v>
      </c>
      <c r="J559" s="49">
        <v>140.0</v>
      </c>
      <c r="K559" s="49">
        <v>150.0</v>
      </c>
      <c r="L559" s="37" t="s">
        <v>189</v>
      </c>
      <c r="M559" s="37"/>
      <c r="N559" s="17"/>
      <c r="O559" s="1"/>
      <c r="P559" s="15"/>
      <c r="Q559" s="15"/>
      <c r="R559" s="1"/>
      <c r="S559" s="1"/>
    </row>
    <row r="560">
      <c r="A560" s="1"/>
      <c r="B560" s="3">
        <f t="shared" si="1"/>
        <v>556</v>
      </c>
      <c r="C560" s="31" t="s">
        <v>1170</v>
      </c>
      <c r="D560" s="37" t="s">
        <v>44</v>
      </c>
      <c r="E560" s="1"/>
      <c r="F560" s="1"/>
      <c r="G560" s="37"/>
      <c r="H560" s="46">
        <v>46098.0</v>
      </c>
      <c r="I560" s="37" t="s">
        <v>452</v>
      </c>
      <c r="J560" s="49">
        <v>190.0</v>
      </c>
      <c r="K560" s="49">
        <v>250.0</v>
      </c>
      <c r="L560" s="37" t="s">
        <v>58</v>
      </c>
      <c r="M560" s="37"/>
      <c r="N560" s="17"/>
      <c r="O560" s="1"/>
      <c r="P560" s="15"/>
      <c r="Q560" s="15"/>
      <c r="R560" s="1"/>
      <c r="S560" s="1"/>
    </row>
    <row r="561">
      <c r="A561" s="1"/>
      <c r="B561" s="3">
        <f t="shared" si="1"/>
        <v>557</v>
      </c>
      <c r="C561" s="31" t="s">
        <v>1171</v>
      </c>
      <c r="D561" s="37" t="s">
        <v>47</v>
      </c>
      <c r="E561" s="1"/>
      <c r="F561" s="1"/>
      <c r="G561" s="37"/>
      <c r="H561" s="46">
        <v>46098.0</v>
      </c>
      <c r="I561" s="37" t="s">
        <v>452</v>
      </c>
      <c r="J561" s="49">
        <v>320.0</v>
      </c>
      <c r="K561" s="49">
        <v>350.0</v>
      </c>
      <c r="L561" s="37" t="s">
        <v>58</v>
      </c>
      <c r="M561" s="37"/>
      <c r="N561" s="17"/>
      <c r="O561" s="1"/>
      <c r="P561" s="15"/>
      <c r="Q561" s="15"/>
      <c r="R561" s="1"/>
      <c r="S561" s="1"/>
    </row>
    <row r="562">
      <c r="A562" s="1"/>
      <c r="B562" s="3">
        <f t="shared" si="1"/>
        <v>558</v>
      </c>
      <c r="C562" s="31" t="s">
        <v>1172</v>
      </c>
      <c r="D562" s="37" t="s">
        <v>116</v>
      </c>
      <c r="E562" s="1"/>
      <c r="F562" s="1"/>
      <c r="G562" s="37"/>
      <c r="H562" s="46">
        <v>46099.0</v>
      </c>
      <c r="I562" s="37" t="s">
        <v>452</v>
      </c>
      <c r="J562" s="49">
        <v>280.0</v>
      </c>
      <c r="K562" s="49">
        <v>400.0</v>
      </c>
      <c r="L562" s="37" t="s">
        <v>58</v>
      </c>
      <c r="M562" s="37"/>
      <c r="N562" s="17"/>
      <c r="O562" s="1"/>
      <c r="P562" s="15"/>
      <c r="Q562" s="15"/>
      <c r="R562" s="1"/>
      <c r="S562" s="1"/>
    </row>
    <row r="563">
      <c r="A563" s="1"/>
      <c r="B563" s="3">
        <f t="shared" si="1"/>
        <v>559</v>
      </c>
      <c r="C563" s="31" t="s">
        <v>1173</v>
      </c>
      <c r="D563" s="37" t="s">
        <v>116</v>
      </c>
      <c r="E563" s="1"/>
      <c r="F563" s="1"/>
      <c r="G563" s="37"/>
      <c r="H563" s="46">
        <v>46099.0</v>
      </c>
      <c r="I563" s="37" t="s">
        <v>452</v>
      </c>
      <c r="J563" s="49"/>
      <c r="K563" s="49"/>
      <c r="L563" s="37" t="s">
        <v>58</v>
      </c>
      <c r="M563" s="37"/>
      <c r="N563" s="17"/>
      <c r="O563" s="1"/>
      <c r="P563" s="15"/>
      <c r="Q563" s="15"/>
      <c r="R563" s="1"/>
      <c r="S563" s="1"/>
    </row>
    <row r="564">
      <c r="A564" s="1"/>
      <c r="B564" s="3">
        <f t="shared" si="1"/>
        <v>560</v>
      </c>
      <c r="C564" s="31" t="s">
        <v>1174</v>
      </c>
      <c r="D564" s="37" t="s">
        <v>116</v>
      </c>
      <c r="E564" s="1"/>
      <c r="F564" s="1"/>
      <c r="G564" s="37"/>
      <c r="H564" s="46">
        <v>46099.0</v>
      </c>
      <c r="I564" s="37" t="s">
        <v>452</v>
      </c>
      <c r="J564" s="49">
        <v>260.0</v>
      </c>
      <c r="K564" s="49" t="s">
        <v>1175</v>
      </c>
      <c r="L564" s="37" t="s">
        <v>189</v>
      </c>
      <c r="M564" s="37"/>
      <c r="N564" s="17"/>
      <c r="O564" s="1"/>
      <c r="P564" s="15"/>
      <c r="Q564" s="15"/>
      <c r="R564" s="1"/>
      <c r="S564" s="1"/>
    </row>
    <row r="565">
      <c r="A565" s="1"/>
      <c r="B565" s="3">
        <f t="shared" si="1"/>
        <v>561</v>
      </c>
      <c r="C565" s="31" t="s">
        <v>1176</v>
      </c>
      <c r="D565" s="37" t="s">
        <v>116</v>
      </c>
      <c r="E565" s="1"/>
      <c r="F565" s="1"/>
      <c r="G565" s="37"/>
      <c r="H565" s="46">
        <v>46099.0</v>
      </c>
      <c r="I565" s="37" t="s">
        <v>452</v>
      </c>
      <c r="J565" s="49">
        <v>400.0</v>
      </c>
      <c r="K565" s="49">
        <v>300.0</v>
      </c>
      <c r="L565" s="37" t="s">
        <v>189</v>
      </c>
      <c r="M565" s="37"/>
      <c r="N565" s="17"/>
      <c r="O565" s="1"/>
      <c r="P565" s="15"/>
      <c r="Q565" s="15"/>
      <c r="R565" s="1"/>
      <c r="S565" s="1"/>
    </row>
    <row r="566">
      <c r="A566" s="1"/>
      <c r="B566" s="3">
        <f t="shared" si="1"/>
        <v>562</v>
      </c>
      <c r="C566" s="31" t="s">
        <v>1177</v>
      </c>
      <c r="D566" s="37" t="s">
        <v>116</v>
      </c>
      <c r="E566" s="1"/>
      <c r="F566" s="1"/>
      <c r="G566" s="37"/>
      <c r="H566" s="46">
        <v>46099.0</v>
      </c>
      <c r="I566" s="37" t="s">
        <v>452</v>
      </c>
      <c r="J566" s="49">
        <v>800.0</v>
      </c>
      <c r="K566" s="49">
        <v>800.0</v>
      </c>
      <c r="L566" s="37" t="s">
        <v>189</v>
      </c>
      <c r="M566" s="37"/>
      <c r="N566" s="17"/>
      <c r="O566" s="1"/>
      <c r="P566" s="15"/>
      <c r="Q566" s="15"/>
      <c r="R566" s="1"/>
      <c r="S566" s="1"/>
    </row>
    <row r="567">
      <c r="A567" s="1"/>
      <c r="B567" s="3">
        <f t="shared" si="1"/>
        <v>563</v>
      </c>
      <c r="C567" s="31" t="s">
        <v>1178</v>
      </c>
      <c r="D567" s="37" t="s">
        <v>49</v>
      </c>
      <c r="E567" s="1"/>
      <c r="F567" s="1"/>
      <c r="G567" s="37"/>
      <c r="H567" s="46">
        <v>46099.0</v>
      </c>
      <c r="I567" s="37" t="s">
        <v>452</v>
      </c>
      <c r="J567" s="49">
        <v>150.0</v>
      </c>
      <c r="K567" s="49">
        <v>250.0</v>
      </c>
      <c r="L567" s="37" t="s">
        <v>58</v>
      </c>
      <c r="M567" s="37"/>
      <c r="N567" s="17"/>
      <c r="O567" s="1"/>
      <c r="P567" s="15"/>
      <c r="Q567" s="15"/>
      <c r="R567" s="1"/>
      <c r="S567" s="1"/>
    </row>
    <row r="568">
      <c r="A568" s="1"/>
      <c r="B568" s="3">
        <f t="shared" si="1"/>
        <v>564</v>
      </c>
      <c r="C568" s="31" t="s">
        <v>1179</v>
      </c>
      <c r="D568" s="37" t="s">
        <v>116</v>
      </c>
      <c r="E568" s="1"/>
      <c r="F568" s="1"/>
      <c r="G568" s="37"/>
      <c r="H568" s="46">
        <v>46099.0</v>
      </c>
      <c r="I568" s="37" t="s">
        <v>452</v>
      </c>
      <c r="J568" s="49">
        <v>200.0</v>
      </c>
      <c r="K568" s="49" t="s">
        <v>1161</v>
      </c>
      <c r="L568" s="37" t="s">
        <v>58</v>
      </c>
      <c r="M568" s="37"/>
      <c r="N568" s="17"/>
      <c r="O568" s="1"/>
      <c r="P568" s="15"/>
      <c r="Q568" s="15"/>
      <c r="R568" s="1"/>
      <c r="S568" s="1"/>
    </row>
    <row r="569">
      <c r="A569" s="1"/>
      <c r="B569" s="3">
        <f t="shared" si="1"/>
        <v>565</v>
      </c>
      <c r="C569" s="31" t="s">
        <v>1180</v>
      </c>
      <c r="D569" s="37" t="s">
        <v>49</v>
      </c>
      <c r="E569" s="1"/>
      <c r="F569" s="1"/>
      <c r="G569" s="37"/>
      <c r="H569" s="46">
        <v>46099.0</v>
      </c>
      <c r="I569" s="37" t="s">
        <v>452</v>
      </c>
      <c r="J569" s="49">
        <v>250.0</v>
      </c>
      <c r="K569" s="49">
        <v>250.0</v>
      </c>
      <c r="L569" s="37" t="s">
        <v>58</v>
      </c>
      <c r="M569" s="37"/>
      <c r="N569" s="17"/>
      <c r="O569" s="1"/>
      <c r="P569" s="15"/>
      <c r="Q569" s="15"/>
      <c r="R569" s="1"/>
      <c r="S569" s="1"/>
    </row>
    <row r="570">
      <c r="A570" s="1"/>
      <c r="B570" s="3">
        <f t="shared" si="1"/>
        <v>566</v>
      </c>
      <c r="C570" s="31" t="s">
        <v>1181</v>
      </c>
      <c r="D570" s="37" t="s">
        <v>116</v>
      </c>
      <c r="E570" s="1"/>
      <c r="F570" s="1"/>
      <c r="G570" s="37"/>
      <c r="H570" s="46">
        <v>46099.0</v>
      </c>
      <c r="I570" s="37" t="s">
        <v>452</v>
      </c>
      <c r="J570" s="49" t="s">
        <v>1182</v>
      </c>
      <c r="K570" s="49" t="s">
        <v>1183</v>
      </c>
      <c r="L570" s="37" t="s">
        <v>58</v>
      </c>
      <c r="M570" s="37"/>
      <c r="N570" s="17"/>
      <c r="O570" s="1"/>
      <c r="P570" s="15"/>
      <c r="Q570" s="15"/>
      <c r="R570" s="1"/>
      <c r="S570" s="1"/>
    </row>
    <row r="571">
      <c r="A571" s="1"/>
      <c r="B571" s="3">
        <f t="shared" si="1"/>
        <v>567</v>
      </c>
      <c r="C571" s="31" t="s">
        <v>1184</v>
      </c>
      <c r="D571" s="37" t="s">
        <v>44</v>
      </c>
      <c r="E571" s="1"/>
      <c r="F571" s="1"/>
      <c r="G571" s="37"/>
      <c r="H571" s="46">
        <v>46100.0</v>
      </c>
      <c r="I571" s="37" t="s">
        <v>452</v>
      </c>
      <c r="J571" s="49">
        <v>240.0</v>
      </c>
      <c r="K571" s="49">
        <v>250.0</v>
      </c>
      <c r="L571" s="37" t="s">
        <v>58</v>
      </c>
      <c r="M571" s="37" t="s">
        <v>71</v>
      </c>
      <c r="N571" s="17"/>
      <c r="O571" s="1"/>
      <c r="P571" s="15"/>
      <c r="Q571" s="67" t="s">
        <v>1185</v>
      </c>
      <c r="R571" s="1"/>
      <c r="S571" s="1"/>
    </row>
    <row r="572">
      <c r="A572" s="1"/>
      <c r="B572" s="3">
        <f t="shared" si="1"/>
        <v>568</v>
      </c>
      <c r="C572" s="31" t="s">
        <v>1186</v>
      </c>
      <c r="D572" s="37" t="s">
        <v>44</v>
      </c>
      <c r="E572" s="1"/>
      <c r="F572" s="1"/>
      <c r="G572" s="37"/>
      <c r="H572" s="46">
        <v>46100.0</v>
      </c>
      <c r="I572" s="37" t="s">
        <v>452</v>
      </c>
      <c r="J572" s="49">
        <v>160.0</v>
      </c>
      <c r="K572" s="49">
        <v>200.0</v>
      </c>
      <c r="L572" s="37" t="s">
        <v>58</v>
      </c>
      <c r="M572" s="37" t="s">
        <v>71</v>
      </c>
      <c r="N572" s="17"/>
      <c r="O572" s="1"/>
      <c r="P572" s="15"/>
      <c r="Q572" s="67" t="s">
        <v>1185</v>
      </c>
      <c r="R572" s="1"/>
      <c r="S572" s="1"/>
    </row>
    <row r="573">
      <c r="A573" s="1"/>
      <c r="B573" s="3">
        <f t="shared" si="1"/>
        <v>569</v>
      </c>
      <c r="C573" s="31" t="s">
        <v>1187</v>
      </c>
      <c r="D573" s="37" t="s">
        <v>38</v>
      </c>
      <c r="E573" s="1"/>
      <c r="F573" s="1"/>
      <c r="G573" s="37"/>
      <c r="H573" s="46">
        <v>46100.0</v>
      </c>
      <c r="I573" s="37" t="s">
        <v>452</v>
      </c>
      <c r="J573" s="49">
        <v>0.0</v>
      </c>
      <c r="K573" s="49">
        <v>200.0</v>
      </c>
      <c r="L573" s="37" t="s">
        <v>58</v>
      </c>
      <c r="M573" s="37" t="s">
        <v>71</v>
      </c>
      <c r="N573" s="17"/>
      <c r="O573" s="1"/>
      <c r="P573" s="15"/>
      <c r="Q573" s="67" t="s">
        <v>1185</v>
      </c>
      <c r="R573" s="1"/>
      <c r="S573" s="1"/>
    </row>
    <row r="574">
      <c r="A574" s="1"/>
      <c r="B574" s="3">
        <f t="shared" si="1"/>
        <v>570</v>
      </c>
      <c r="C574" s="31" t="s">
        <v>1188</v>
      </c>
      <c r="D574" s="37" t="s">
        <v>44</v>
      </c>
      <c r="E574" s="1"/>
      <c r="F574" s="1"/>
      <c r="G574" s="37"/>
      <c r="H574" s="46">
        <v>46100.0</v>
      </c>
      <c r="I574" s="37" t="s">
        <v>452</v>
      </c>
      <c r="J574" s="49">
        <v>0.0</v>
      </c>
      <c r="K574" s="49">
        <v>250.0</v>
      </c>
      <c r="L574" s="37" t="s">
        <v>58</v>
      </c>
      <c r="M574" s="37" t="s">
        <v>71</v>
      </c>
      <c r="N574" s="17"/>
      <c r="O574" s="1"/>
      <c r="P574" s="15"/>
      <c r="Q574" s="67" t="s">
        <v>1185</v>
      </c>
      <c r="R574" s="1"/>
      <c r="S574" s="1"/>
    </row>
    <row r="575">
      <c r="A575" s="1"/>
      <c r="B575" s="3">
        <f t="shared" si="1"/>
        <v>571</v>
      </c>
      <c r="C575" s="31" t="s">
        <v>1189</v>
      </c>
      <c r="D575" s="37" t="s">
        <v>44</v>
      </c>
      <c r="E575" s="1"/>
      <c r="F575" s="1"/>
      <c r="G575" s="37"/>
      <c r="H575" s="46">
        <v>46104.0</v>
      </c>
      <c r="I575" s="37" t="s">
        <v>452</v>
      </c>
      <c r="J575" s="49">
        <v>0.0</v>
      </c>
      <c r="K575" s="49">
        <v>0.0</v>
      </c>
      <c r="L575" s="37" t="s">
        <v>58</v>
      </c>
      <c r="M575" s="37" t="s">
        <v>71</v>
      </c>
      <c r="N575" s="3"/>
      <c r="O575" s="1"/>
      <c r="P575" s="15"/>
      <c r="Q575" s="15"/>
      <c r="R575" s="1"/>
      <c r="S575" s="1"/>
    </row>
    <row r="576">
      <c r="A576" s="1"/>
      <c r="B576" s="3">
        <f t="shared" si="1"/>
        <v>572</v>
      </c>
      <c r="C576" s="31" t="s">
        <v>1190</v>
      </c>
      <c r="D576" s="37" t="s">
        <v>44</v>
      </c>
      <c r="E576" s="1"/>
      <c r="F576" s="1"/>
      <c r="G576" s="37"/>
      <c r="H576" s="46">
        <v>46104.0</v>
      </c>
      <c r="I576" s="37" t="s">
        <v>452</v>
      </c>
      <c r="J576" s="49">
        <v>0.0</v>
      </c>
      <c r="K576" s="49">
        <v>0.0</v>
      </c>
      <c r="L576" s="37" t="s">
        <v>58</v>
      </c>
      <c r="M576" s="37" t="s">
        <v>71</v>
      </c>
      <c r="N576" s="17"/>
      <c r="O576" s="1"/>
      <c r="P576" s="15"/>
      <c r="Q576" s="15"/>
      <c r="R576" s="1"/>
      <c r="S576" s="1"/>
    </row>
    <row r="577">
      <c r="A577" s="1"/>
      <c r="B577" s="3">
        <f t="shared" si="1"/>
        <v>573</v>
      </c>
      <c r="C577" s="31" t="s">
        <v>1191</v>
      </c>
      <c r="D577" s="37" t="s">
        <v>38</v>
      </c>
      <c r="E577" s="1"/>
      <c r="F577" s="1"/>
      <c r="G577" s="37"/>
      <c r="H577" s="46">
        <v>46104.0</v>
      </c>
      <c r="I577" s="37" t="s">
        <v>452</v>
      </c>
      <c r="J577" s="49">
        <v>0.0</v>
      </c>
      <c r="K577" s="49">
        <v>0.0</v>
      </c>
      <c r="L577" s="37" t="s">
        <v>58</v>
      </c>
      <c r="M577" s="37" t="s">
        <v>71</v>
      </c>
      <c r="N577" s="17"/>
      <c r="O577" s="1"/>
      <c r="P577" s="15"/>
      <c r="Q577" s="15"/>
      <c r="R577" s="1"/>
      <c r="S577" s="1"/>
    </row>
    <row r="578">
      <c r="A578" s="1"/>
      <c r="B578" s="3">
        <f t="shared" si="1"/>
        <v>574</v>
      </c>
      <c r="C578" s="31" t="s">
        <v>1192</v>
      </c>
      <c r="D578" s="37" t="s">
        <v>38</v>
      </c>
      <c r="E578" s="1"/>
      <c r="F578" s="1"/>
      <c r="G578" s="37"/>
      <c r="H578" s="46">
        <v>46104.0</v>
      </c>
      <c r="I578" s="37" t="s">
        <v>452</v>
      </c>
      <c r="J578" s="49">
        <v>0.0</v>
      </c>
      <c r="K578" s="49">
        <v>0.0</v>
      </c>
      <c r="L578" s="37" t="s">
        <v>58</v>
      </c>
      <c r="M578" s="37" t="s">
        <v>71</v>
      </c>
      <c r="N578" s="17"/>
      <c r="O578" s="1"/>
      <c r="P578" s="15"/>
      <c r="Q578" s="15"/>
      <c r="R578" s="1"/>
      <c r="S578" s="1"/>
    </row>
    <row r="579">
      <c r="A579" s="1"/>
      <c r="B579" s="3">
        <f t="shared" si="1"/>
        <v>575</v>
      </c>
      <c r="C579" s="31" t="s">
        <v>1193</v>
      </c>
      <c r="D579" s="37" t="s">
        <v>44</v>
      </c>
      <c r="E579" s="1"/>
      <c r="F579" s="1"/>
      <c r="G579" s="37"/>
      <c r="H579" s="46">
        <v>46104.0</v>
      </c>
      <c r="I579" s="37" t="s">
        <v>452</v>
      </c>
      <c r="J579" s="49">
        <v>0.0</v>
      </c>
      <c r="K579" s="49">
        <v>0.0</v>
      </c>
      <c r="L579" s="37" t="s">
        <v>58</v>
      </c>
      <c r="M579" s="37" t="s">
        <v>71</v>
      </c>
      <c r="N579" s="17"/>
      <c r="O579" s="1"/>
      <c r="P579" s="15"/>
      <c r="Q579" s="15"/>
      <c r="R579" s="1"/>
      <c r="S579" s="1"/>
    </row>
    <row r="580">
      <c r="A580" s="1"/>
      <c r="B580" s="3">
        <f t="shared" si="1"/>
        <v>576</v>
      </c>
      <c r="C580" s="31" t="s">
        <v>1194</v>
      </c>
      <c r="D580" s="37" t="s">
        <v>49</v>
      </c>
      <c r="E580" s="1"/>
      <c r="F580" s="37" t="s">
        <v>1195</v>
      </c>
      <c r="G580" s="37"/>
      <c r="H580" s="46">
        <v>46105.0</v>
      </c>
      <c r="I580" s="37" t="s">
        <v>452</v>
      </c>
      <c r="J580" s="49">
        <v>200.0</v>
      </c>
      <c r="K580" s="49">
        <v>300.0</v>
      </c>
      <c r="L580" s="37" t="s">
        <v>58</v>
      </c>
      <c r="M580" s="37" t="s">
        <v>54</v>
      </c>
      <c r="N580" s="17"/>
      <c r="O580" s="1"/>
      <c r="P580" s="15"/>
      <c r="Q580" s="15"/>
      <c r="R580" s="1"/>
      <c r="S580" s="1"/>
    </row>
    <row r="581">
      <c r="A581" s="1"/>
      <c r="B581" s="3">
        <f t="shared" si="1"/>
        <v>577</v>
      </c>
      <c r="C581" s="31" t="s">
        <v>1196</v>
      </c>
      <c r="D581" s="37" t="s">
        <v>159</v>
      </c>
      <c r="E581" s="1"/>
      <c r="F581" s="37" t="s">
        <v>1197</v>
      </c>
      <c r="G581" s="37"/>
      <c r="H581" s="46">
        <v>46105.0</v>
      </c>
      <c r="I581" s="37" t="s">
        <v>452</v>
      </c>
      <c r="J581" s="49">
        <v>150.0</v>
      </c>
      <c r="K581" s="49">
        <v>350.0</v>
      </c>
      <c r="L581" s="37" t="s">
        <v>58</v>
      </c>
      <c r="M581" s="37"/>
      <c r="N581" s="17"/>
      <c r="O581" s="1"/>
      <c r="P581" s="15"/>
      <c r="Q581" s="67" t="s">
        <v>1198</v>
      </c>
      <c r="R581" s="1"/>
      <c r="S581" s="1"/>
    </row>
    <row r="582">
      <c r="A582" s="1"/>
      <c r="B582" s="3">
        <f t="shared" si="1"/>
        <v>578</v>
      </c>
      <c r="C582" s="31" t="s">
        <v>1199</v>
      </c>
      <c r="D582" s="37" t="s">
        <v>44</v>
      </c>
      <c r="E582" s="1"/>
      <c r="F582" s="37" t="s">
        <v>1200</v>
      </c>
      <c r="G582" s="37"/>
      <c r="H582" s="46">
        <v>46105.0</v>
      </c>
      <c r="I582" s="37" t="s">
        <v>452</v>
      </c>
      <c r="J582" s="49">
        <v>120.0</v>
      </c>
      <c r="K582" s="49">
        <v>250.0</v>
      </c>
      <c r="L582" s="37" t="s">
        <v>58</v>
      </c>
      <c r="M582" s="37" t="s">
        <v>73</v>
      </c>
      <c r="N582" s="17"/>
      <c r="O582" s="1"/>
      <c r="P582" s="15"/>
      <c r="Q582" s="15"/>
      <c r="R582" s="1"/>
      <c r="S582" s="1"/>
    </row>
    <row r="583">
      <c r="A583" s="1"/>
      <c r="B583" s="3">
        <f t="shared" si="1"/>
        <v>579</v>
      </c>
      <c r="C583" s="31" t="s">
        <v>714</v>
      </c>
      <c r="D583" s="37" t="s">
        <v>121</v>
      </c>
      <c r="E583" s="1"/>
      <c r="F583" s="37" t="s">
        <v>1201</v>
      </c>
      <c r="G583" s="37"/>
      <c r="H583" s="46">
        <v>46105.0</v>
      </c>
      <c r="I583" s="37" t="s">
        <v>452</v>
      </c>
      <c r="J583" s="49">
        <v>600.0</v>
      </c>
      <c r="K583" s="49">
        <v>300.0</v>
      </c>
      <c r="L583" s="37" t="s">
        <v>58</v>
      </c>
      <c r="M583" s="37" t="s">
        <v>45</v>
      </c>
      <c r="N583" s="17"/>
      <c r="O583" s="1"/>
      <c r="P583" s="15"/>
      <c r="Q583" s="15"/>
      <c r="R583" s="1"/>
      <c r="S583" s="1"/>
    </row>
    <row r="584">
      <c r="A584" s="1"/>
      <c r="B584" s="3">
        <f t="shared" si="1"/>
        <v>580</v>
      </c>
      <c r="C584" s="31" t="s">
        <v>1202</v>
      </c>
      <c r="D584" s="37" t="s">
        <v>497</v>
      </c>
      <c r="E584" s="1"/>
      <c r="F584" s="37" t="s">
        <v>1203</v>
      </c>
      <c r="G584" s="37"/>
      <c r="H584" s="46">
        <v>46105.0</v>
      </c>
      <c r="I584" s="37" t="s">
        <v>452</v>
      </c>
      <c r="J584" s="49">
        <v>0.0</v>
      </c>
      <c r="K584" s="49">
        <v>150.0</v>
      </c>
      <c r="L584" s="37" t="s">
        <v>58</v>
      </c>
      <c r="M584" s="37" t="s">
        <v>78</v>
      </c>
      <c r="N584" s="17"/>
      <c r="O584" s="1"/>
      <c r="P584" s="15"/>
      <c r="Q584" s="15"/>
      <c r="R584" s="1"/>
      <c r="S584" s="1"/>
    </row>
    <row r="585">
      <c r="A585" s="1"/>
      <c r="B585" s="3">
        <f t="shared" si="1"/>
        <v>581</v>
      </c>
      <c r="C585" s="31" t="s">
        <v>1204</v>
      </c>
      <c r="D585" s="37" t="s">
        <v>49</v>
      </c>
      <c r="E585" s="1"/>
      <c r="F585" s="43" t="s">
        <v>1205</v>
      </c>
      <c r="G585" s="37"/>
      <c r="H585" s="46">
        <v>46105.0</v>
      </c>
      <c r="I585" s="37" t="s">
        <v>1206</v>
      </c>
      <c r="J585" s="49"/>
      <c r="K585" s="49">
        <v>300.0</v>
      </c>
      <c r="L585" s="37" t="s">
        <v>58</v>
      </c>
      <c r="M585" s="37"/>
      <c r="N585" s="17"/>
      <c r="O585" s="1"/>
      <c r="P585" s="15"/>
      <c r="Q585" s="15"/>
      <c r="R585" s="1"/>
      <c r="S585" s="1"/>
    </row>
    <row r="586">
      <c r="A586" s="1"/>
      <c r="B586" s="3">
        <f t="shared" si="1"/>
        <v>582</v>
      </c>
      <c r="C586" s="31" t="s">
        <v>1207</v>
      </c>
      <c r="D586" s="37" t="s">
        <v>47</v>
      </c>
      <c r="E586" s="1"/>
      <c r="F586" s="37" t="s">
        <v>1208</v>
      </c>
      <c r="G586" s="37"/>
      <c r="H586" s="46">
        <v>46105.0</v>
      </c>
      <c r="I586" s="37" t="s">
        <v>452</v>
      </c>
      <c r="J586" s="49">
        <v>500.0</v>
      </c>
      <c r="K586" s="49">
        <v>500.0</v>
      </c>
      <c r="L586" s="37" t="s">
        <v>58</v>
      </c>
      <c r="M586" s="37"/>
      <c r="N586" s="17"/>
      <c r="O586" s="1"/>
      <c r="P586" s="15"/>
      <c r="Q586" s="15"/>
      <c r="R586" s="1"/>
      <c r="S586" s="1"/>
    </row>
    <row r="587">
      <c r="A587" s="1"/>
      <c r="B587" s="3">
        <f t="shared" si="1"/>
        <v>583</v>
      </c>
      <c r="C587" s="31" t="s">
        <v>1209</v>
      </c>
      <c r="D587" s="37" t="s">
        <v>96</v>
      </c>
      <c r="E587" s="37"/>
      <c r="F587" s="37" t="s">
        <v>1210</v>
      </c>
      <c r="G587" s="37"/>
      <c r="H587" s="46">
        <v>46105.0</v>
      </c>
      <c r="I587" s="37" t="s">
        <v>452</v>
      </c>
      <c r="J587" s="49"/>
      <c r="K587" s="49">
        <v>200.0</v>
      </c>
      <c r="L587" s="37" t="s">
        <v>58</v>
      </c>
      <c r="M587" s="37"/>
      <c r="N587" s="17" t="s">
        <v>39</v>
      </c>
      <c r="O587" s="1"/>
      <c r="P587" s="67" t="s">
        <v>1211</v>
      </c>
      <c r="Q587" s="15"/>
      <c r="R587" s="1"/>
      <c r="S587" s="1"/>
    </row>
    <row r="588">
      <c r="A588" s="1"/>
      <c r="B588" s="3">
        <f t="shared" si="1"/>
        <v>584</v>
      </c>
      <c r="C588" s="31" t="s">
        <v>1212</v>
      </c>
      <c r="D588" s="37" t="s">
        <v>159</v>
      </c>
      <c r="E588" s="1"/>
      <c r="F588" s="43" t="s">
        <v>1213</v>
      </c>
      <c r="G588" s="37"/>
      <c r="H588" s="46">
        <v>46105.0</v>
      </c>
      <c r="I588" s="37" t="s">
        <v>452</v>
      </c>
      <c r="J588" s="49">
        <v>180.0</v>
      </c>
      <c r="K588" s="49"/>
      <c r="L588" s="37" t="s">
        <v>58</v>
      </c>
      <c r="M588" s="37"/>
      <c r="N588" s="17"/>
      <c r="O588" s="1"/>
      <c r="P588" s="15"/>
      <c r="Q588" s="67" t="s">
        <v>1214</v>
      </c>
      <c r="R588" s="1"/>
      <c r="S588" s="1"/>
    </row>
    <row r="589">
      <c r="A589" s="1"/>
      <c r="B589" s="3">
        <f t="shared" si="1"/>
        <v>585</v>
      </c>
      <c r="C589" s="31" t="s">
        <v>1215</v>
      </c>
      <c r="D589" s="37" t="s">
        <v>112</v>
      </c>
      <c r="E589" s="1"/>
      <c r="F589" s="43" t="s">
        <v>1216</v>
      </c>
      <c r="G589" s="37"/>
      <c r="H589" s="46">
        <v>46105.0</v>
      </c>
      <c r="I589" s="37" t="s">
        <v>452</v>
      </c>
      <c r="J589" s="49">
        <v>300.0</v>
      </c>
      <c r="K589" s="49">
        <v>300.0</v>
      </c>
      <c r="L589" s="37" t="s">
        <v>58</v>
      </c>
      <c r="M589" s="37"/>
      <c r="N589" s="17"/>
      <c r="O589" s="1"/>
      <c r="P589" s="15"/>
      <c r="Q589" s="15"/>
      <c r="R589" s="1"/>
      <c r="S589" s="1"/>
    </row>
    <row r="590">
      <c r="A590" s="1"/>
      <c r="B590" s="3">
        <f t="shared" si="1"/>
        <v>586</v>
      </c>
      <c r="C590" s="31" t="s">
        <v>1217</v>
      </c>
      <c r="D590" s="37" t="s">
        <v>47</v>
      </c>
      <c r="E590" s="1"/>
      <c r="F590" s="43" t="s">
        <v>1218</v>
      </c>
      <c r="G590" s="37"/>
      <c r="H590" s="46">
        <v>46105.0</v>
      </c>
      <c r="I590" s="37" t="s">
        <v>452</v>
      </c>
      <c r="J590" s="49">
        <v>580.0</v>
      </c>
      <c r="K590" s="49">
        <v>500.0</v>
      </c>
      <c r="L590" s="37" t="s">
        <v>58</v>
      </c>
      <c r="M590" s="37"/>
      <c r="N590" s="17"/>
      <c r="O590" s="1"/>
      <c r="P590" s="15"/>
      <c r="Q590" s="15"/>
      <c r="R590" s="1"/>
      <c r="S590" s="1"/>
    </row>
    <row r="591">
      <c r="A591" s="1"/>
      <c r="B591" s="3">
        <f t="shared" si="1"/>
        <v>587</v>
      </c>
      <c r="C591" s="31" t="s">
        <v>1219</v>
      </c>
      <c r="D591" s="37" t="s">
        <v>497</v>
      </c>
      <c r="E591" s="37"/>
      <c r="F591" s="43" t="s">
        <v>1220</v>
      </c>
      <c r="G591" s="37"/>
      <c r="H591" s="46">
        <v>46105.0</v>
      </c>
      <c r="I591" s="37" t="s">
        <v>452</v>
      </c>
      <c r="J591" s="49">
        <v>200.0</v>
      </c>
      <c r="K591" s="49">
        <v>250.0</v>
      </c>
      <c r="L591" s="37" t="s">
        <v>189</v>
      </c>
      <c r="M591" s="37"/>
      <c r="N591" s="17" t="s">
        <v>39</v>
      </c>
      <c r="O591" s="1"/>
      <c r="P591" s="67" t="s">
        <v>1221</v>
      </c>
      <c r="Q591" s="15"/>
      <c r="R591" s="1"/>
      <c r="S591" s="1"/>
    </row>
    <row r="592">
      <c r="A592" s="1"/>
      <c r="B592" s="3">
        <f t="shared" si="1"/>
        <v>588</v>
      </c>
      <c r="C592" s="31" t="s">
        <v>1222</v>
      </c>
      <c r="D592" s="37" t="s">
        <v>96</v>
      </c>
      <c r="E592" s="37"/>
      <c r="F592" s="43" t="s">
        <v>1223</v>
      </c>
      <c r="G592" s="37"/>
      <c r="H592" s="46">
        <v>46105.0</v>
      </c>
      <c r="I592" s="37" t="s">
        <v>452</v>
      </c>
      <c r="J592" s="49">
        <v>400.0</v>
      </c>
      <c r="K592" s="49">
        <v>450.0</v>
      </c>
      <c r="L592" s="37" t="s">
        <v>58</v>
      </c>
      <c r="M592" s="37" t="s">
        <v>65</v>
      </c>
      <c r="N592" s="17" t="s">
        <v>28</v>
      </c>
      <c r="O592" s="37" t="s">
        <v>1224</v>
      </c>
      <c r="P592" s="67" t="s">
        <v>1225</v>
      </c>
      <c r="Q592" s="15"/>
      <c r="R592" s="1"/>
      <c r="S592" s="1"/>
    </row>
    <row r="593">
      <c r="A593" s="1"/>
      <c r="B593" s="3">
        <f t="shared" si="1"/>
        <v>589</v>
      </c>
      <c r="C593" s="31" t="s">
        <v>1226</v>
      </c>
      <c r="D593" s="37" t="s">
        <v>49</v>
      </c>
      <c r="E593" s="1"/>
      <c r="F593" s="43" t="s">
        <v>1227</v>
      </c>
      <c r="G593" s="37"/>
      <c r="H593" s="46">
        <v>46105.0</v>
      </c>
      <c r="I593" s="37" t="s">
        <v>452</v>
      </c>
      <c r="J593" s="49">
        <v>100.0</v>
      </c>
      <c r="K593" s="49">
        <v>100.0</v>
      </c>
      <c r="L593" s="37" t="s">
        <v>58</v>
      </c>
      <c r="M593" s="37"/>
      <c r="N593" s="17"/>
      <c r="O593" s="1"/>
      <c r="P593" s="15"/>
      <c r="Q593" s="15"/>
      <c r="R593" s="1"/>
      <c r="S593" s="1"/>
    </row>
    <row r="594">
      <c r="A594" s="1"/>
      <c r="B594" s="3">
        <f t="shared" si="1"/>
        <v>590</v>
      </c>
      <c r="C594" s="31" t="s">
        <v>1228</v>
      </c>
      <c r="D594" s="37" t="s">
        <v>116</v>
      </c>
      <c r="E594" s="1"/>
      <c r="F594" s="43" t="s">
        <v>1229</v>
      </c>
      <c r="G594" s="37"/>
      <c r="H594" s="46">
        <v>46105.0</v>
      </c>
      <c r="I594" s="37" t="s">
        <v>452</v>
      </c>
      <c r="J594" s="49">
        <v>100.0</v>
      </c>
      <c r="K594" s="49">
        <v>100.0</v>
      </c>
      <c r="L594" s="37" t="s">
        <v>58</v>
      </c>
      <c r="M594" s="37"/>
      <c r="N594" s="17"/>
      <c r="O594" s="1"/>
      <c r="P594" s="15"/>
      <c r="Q594" s="15"/>
      <c r="R594" s="1"/>
      <c r="S594" s="1"/>
    </row>
    <row r="595">
      <c r="A595" s="1"/>
      <c r="B595" s="3">
        <f t="shared" si="1"/>
        <v>591</v>
      </c>
      <c r="C595" s="31" t="s">
        <v>1230</v>
      </c>
      <c r="D595" s="37" t="s">
        <v>49</v>
      </c>
      <c r="E595" s="1"/>
      <c r="F595" s="43" t="s">
        <v>1231</v>
      </c>
      <c r="G595" s="37"/>
      <c r="H595" s="46">
        <v>46105.0</v>
      </c>
      <c r="I595" s="37" t="s">
        <v>452</v>
      </c>
      <c r="J595" s="49">
        <v>240.0</v>
      </c>
      <c r="K595" s="49">
        <v>480.0</v>
      </c>
      <c r="L595" s="37" t="s">
        <v>189</v>
      </c>
      <c r="M595" s="37"/>
      <c r="N595" s="17"/>
      <c r="O595" s="1"/>
      <c r="P595" s="15"/>
      <c r="Q595" s="15"/>
      <c r="R595" s="1"/>
      <c r="S595" s="1"/>
    </row>
    <row r="596">
      <c r="A596" s="1"/>
      <c r="B596" s="3">
        <f t="shared" si="1"/>
        <v>592</v>
      </c>
      <c r="C596" s="31" t="s">
        <v>1232</v>
      </c>
      <c r="D596" s="37" t="s">
        <v>44</v>
      </c>
      <c r="E596" s="1"/>
      <c r="F596" s="43" t="s">
        <v>1233</v>
      </c>
      <c r="G596" s="37"/>
      <c r="H596" s="46">
        <v>46106.0</v>
      </c>
      <c r="I596" s="37" t="s">
        <v>452</v>
      </c>
      <c r="J596" s="49">
        <v>110.0</v>
      </c>
      <c r="K596" s="49"/>
      <c r="L596" s="37" t="s">
        <v>189</v>
      </c>
      <c r="M596" s="37"/>
      <c r="N596" s="17"/>
      <c r="O596" s="1"/>
      <c r="P596" s="15"/>
      <c r="Q596" s="15"/>
      <c r="R596" s="1"/>
      <c r="S596" s="1"/>
    </row>
    <row r="597">
      <c r="A597" s="1"/>
      <c r="B597" s="3">
        <f t="shared" si="1"/>
        <v>593</v>
      </c>
      <c r="C597" s="31" t="s">
        <v>1234</v>
      </c>
      <c r="D597" s="37" t="s">
        <v>159</v>
      </c>
      <c r="E597" s="1"/>
      <c r="F597" s="43" t="s">
        <v>1235</v>
      </c>
      <c r="G597" s="37"/>
      <c r="H597" s="46">
        <v>46106.0</v>
      </c>
      <c r="I597" s="37" t="s">
        <v>452</v>
      </c>
      <c r="J597" s="49">
        <v>400.0</v>
      </c>
      <c r="K597" s="49"/>
      <c r="L597" s="37" t="s">
        <v>58</v>
      </c>
      <c r="M597" s="37"/>
      <c r="N597" s="17"/>
      <c r="O597" s="1"/>
      <c r="P597" s="15"/>
      <c r="Q597" s="15"/>
      <c r="R597" s="1"/>
      <c r="S597" s="1"/>
    </row>
    <row r="598">
      <c r="A598" s="1"/>
      <c r="B598" s="3">
        <f t="shared" si="1"/>
        <v>594</v>
      </c>
      <c r="C598" s="31" t="s">
        <v>1236</v>
      </c>
      <c r="D598" s="37" t="s">
        <v>49</v>
      </c>
      <c r="E598" s="1"/>
      <c r="F598" s="43" t="s">
        <v>1237</v>
      </c>
      <c r="G598" s="37"/>
      <c r="H598" s="46">
        <v>46106.0</v>
      </c>
      <c r="I598" s="37" t="s">
        <v>452</v>
      </c>
      <c r="J598" s="49">
        <v>200.0</v>
      </c>
      <c r="K598" s="49">
        <v>300.0</v>
      </c>
      <c r="L598" s="37" t="s">
        <v>58</v>
      </c>
      <c r="M598" s="37" t="s">
        <v>54</v>
      </c>
      <c r="N598" s="17"/>
      <c r="O598" s="1"/>
      <c r="P598" s="15"/>
      <c r="Q598" s="15"/>
      <c r="R598" s="1"/>
      <c r="S598" s="1"/>
    </row>
    <row r="599">
      <c r="A599" s="1"/>
      <c r="B599" s="3">
        <f t="shared" si="1"/>
        <v>595</v>
      </c>
      <c r="C599" s="31" t="s">
        <v>1238</v>
      </c>
      <c r="D599" s="37" t="s">
        <v>44</v>
      </c>
      <c r="E599" s="1"/>
      <c r="F599" s="43" t="s">
        <v>1239</v>
      </c>
      <c r="G599" s="37"/>
      <c r="H599" s="46">
        <v>46106.0</v>
      </c>
      <c r="I599" s="37" t="s">
        <v>452</v>
      </c>
      <c r="J599" s="49">
        <v>300.0</v>
      </c>
      <c r="K599" s="49">
        <v>420.0</v>
      </c>
      <c r="L599" s="37" t="s">
        <v>58</v>
      </c>
      <c r="M599" s="37"/>
      <c r="N599" s="17"/>
      <c r="O599" s="1"/>
      <c r="P599" s="15"/>
      <c r="Q599" s="15"/>
      <c r="R599" s="1"/>
      <c r="S599" s="1"/>
    </row>
    <row r="600">
      <c r="A600" s="1"/>
      <c r="B600" s="3">
        <f t="shared" si="1"/>
        <v>596</v>
      </c>
      <c r="C600" s="31" t="s">
        <v>1240</v>
      </c>
      <c r="D600" s="37" t="s">
        <v>112</v>
      </c>
      <c r="E600" s="37"/>
      <c r="F600" s="43" t="s">
        <v>1241</v>
      </c>
      <c r="G600" s="37"/>
      <c r="H600" s="46">
        <v>46106.0</v>
      </c>
      <c r="I600" s="37" t="s">
        <v>452</v>
      </c>
      <c r="J600" s="49">
        <v>300.0</v>
      </c>
      <c r="K600" s="49"/>
      <c r="L600" s="37" t="s">
        <v>58</v>
      </c>
      <c r="M600" s="37" t="s">
        <v>60</v>
      </c>
      <c r="N600" s="17" t="s">
        <v>28</v>
      </c>
      <c r="O600" s="1"/>
      <c r="P600" s="67" t="s">
        <v>1242</v>
      </c>
      <c r="Q600" s="15"/>
      <c r="R600" s="1"/>
      <c r="S600" s="1"/>
    </row>
    <row r="601">
      <c r="A601" s="1"/>
      <c r="B601" s="3">
        <f t="shared" si="1"/>
        <v>597</v>
      </c>
      <c r="C601" s="31" t="s">
        <v>1243</v>
      </c>
      <c r="D601" s="37" t="s">
        <v>112</v>
      </c>
      <c r="E601" s="1"/>
      <c r="F601" s="43" t="s">
        <v>1244</v>
      </c>
      <c r="G601" s="37"/>
      <c r="H601" s="46">
        <v>46106.0</v>
      </c>
      <c r="I601" s="37" t="s">
        <v>452</v>
      </c>
      <c r="J601" s="49">
        <v>260.0</v>
      </c>
      <c r="K601" s="49"/>
      <c r="L601" s="37" t="s">
        <v>58</v>
      </c>
      <c r="M601" s="37"/>
      <c r="N601" s="17"/>
      <c r="O601" s="1"/>
      <c r="P601" s="15"/>
      <c r="Q601" s="15"/>
      <c r="R601" s="1"/>
      <c r="S601" s="1"/>
    </row>
    <row r="602">
      <c r="A602" s="1"/>
      <c r="B602" s="3">
        <f t="shared" si="1"/>
        <v>598</v>
      </c>
      <c r="C602" s="31" t="s">
        <v>1245</v>
      </c>
      <c r="D602" s="37" t="s">
        <v>116</v>
      </c>
      <c r="E602" s="1"/>
      <c r="F602" s="43" t="s">
        <v>1246</v>
      </c>
      <c r="G602" s="37"/>
      <c r="H602" s="46">
        <v>46106.0</v>
      </c>
      <c r="I602" s="37" t="s">
        <v>452</v>
      </c>
      <c r="J602" s="49">
        <v>400.0</v>
      </c>
      <c r="K602" s="49">
        <v>350.0</v>
      </c>
      <c r="L602" s="37" t="s">
        <v>58</v>
      </c>
      <c r="M602" s="37"/>
      <c r="N602" s="17"/>
      <c r="O602" s="1"/>
      <c r="P602" s="15"/>
      <c r="Q602" s="15"/>
      <c r="R602" s="1"/>
      <c r="S602" s="1"/>
    </row>
    <row r="603">
      <c r="A603" s="1"/>
      <c r="B603" s="3">
        <f t="shared" si="1"/>
        <v>599</v>
      </c>
      <c r="C603" s="31" t="s">
        <v>1247</v>
      </c>
      <c r="D603" s="37" t="s">
        <v>83</v>
      </c>
      <c r="E603" s="37" t="s">
        <v>1248</v>
      </c>
      <c r="F603" s="43" t="s">
        <v>1249</v>
      </c>
      <c r="G603" s="37"/>
      <c r="H603" s="46">
        <v>46106.0</v>
      </c>
      <c r="I603" s="37" t="s">
        <v>452</v>
      </c>
      <c r="J603" s="49">
        <v>300.0</v>
      </c>
      <c r="K603" s="49">
        <v>300.0</v>
      </c>
      <c r="L603" s="37" t="s">
        <v>58</v>
      </c>
      <c r="M603" s="37" t="s">
        <v>45</v>
      </c>
      <c r="N603" s="17"/>
      <c r="O603" s="1"/>
      <c r="P603" s="67" t="s">
        <v>1250</v>
      </c>
      <c r="Q603" s="67" t="s">
        <v>1251</v>
      </c>
      <c r="R603" s="1"/>
      <c r="S603" s="1"/>
    </row>
    <row r="604">
      <c r="A604" s="1"/>
      <c r="B604" s="3">
        <f t="shared" si="1"/>
        <v>600</v>
      </c>
      <c r="C604" s="31" t="s">
        <v>1252</v>
      </c>
      <c r="D604" s="37" t="s">
        <v>159</v>
      </c>
      <c r="E604" s="1"/>
      <c r="F604" s="43" t="s">
        <v>1253</v>
      </c>
      <c r="G604" s="37"/>
      <c r="H604" s="46">
        <v>46106.0</v>
      </c>
      <c r="I604" s="37" t="s">
        <v>452</v>
      </c>
      <c r="J604" s="49">
        <v>400.0</v>
      </c>
      <c r="K604" s="49">
        <v>450.0</v>
      </c>
      <c r="L604" s="37" t="s">
        <v>58</v>
      </c>
      <c r="M604" s="37" t="s">
        <v>54</v>
      </c>
      <c r="N604" s="17"/>
      <c r="O604" s="1"/>
      <c r="P604" s="15"/>
      <c r="Q604" s="15"/>
      <c r="R604" s="1"/>
      <c r="S604" s="1"/>
    </row>
    <row r="605">
      <c r="A605" s="1"/>
      <c r="B605" s="3">
        <f t="shared" si="1"/>
        <v>601</v>
      </c>
      <c r="C605" s="31" t="s">
        <v>1254</v>
      </c>
      <c r="D605" s="37" t="s">
        <v>116</v>
      </c>
      <c r="E605" s="1"/>
      <c r="F605" s="43" t="s">
        <v>1255</v>
      </c>
      <c r="G605" s="37"/>
      <c r="H605" s="46">
        <v>46106.0</v>
      </c>
      <c r="I605" s="37" t="s">
        <v>452</v>
      </c>
      <c r="J605" s="49">
        <v>240.0</v>
      </c>
      <c r="K605" s="49" t="s">
        <v>1256</v>
      </c>
      <c r="L605" s="37" t="s">
        <v>58</v>
      </c>
      <c r="M605" s="37"/>
      <c r="N605" s="17"/>
      <c r="O605" s="1"/>
      <c r="P605" s="15"/>
      <c r="Q605" s="15"/>
      <c r="R605" s="1"/>
      <c r="S605" s="1"/>
    </row>
    <row r="606">
      <c r="A606" s="1"/>
      <c r="B606" s="3">
        <f t="shared" si="1"/>
        <v>602</v>
      </c>
      <c r="C606" s="31" t="s">
        <v>1257</v>
      </c>
      <c r="D606" s="37" t="s">
        <v>38</v>
      </c>
      <c r="E606" s="37"/>
      <c r="F606" s="43" t="s">
        <v>1258</v>
      </c>
      <c r="G606" s="37"/>
      <c r="H606" s="46">
        <v>46106.0</v>
      </c>
      <c r="I606" s="37" t="s">
        <v>452</v>
      </c>
      <c r="J606" s="49">
        <v>360.0</v>
      </c>
      <c r="K606" s="49"/>
      <c r="L606" s="37" t="s">
        <v>58</v>
      </c>
      <c r="M606" s="37" t="s">
        <v>60</v>
      </c>
      <c r="N606" s="17" t="s">
        <v>28</v>
      </c>
      <c r="O606" s="37" t="s">
        <v>16</v>
      </c>
      <c r="P606" s="67" t="s">
        <v>1259</v>
      </c>
      <c r="Q606" s="67" t="s">
        <v>1260</v>
      </c>
      <c r="R606" s="1"/>
      <c r="S606" s="1"/>
    </row>
    <row r="607">
      <c r="A607" s="1"/>
      <c r="B607" s="3">
        <f t="shared" si="1"/>
        <v>603</v>
      </c>
      <c r="C607" s="31" t="s">
        <v>1261</v>
      </c>
      <c r="D607" s="37"/>
      <c r="E607" s="1"/>
      <c r="F607" s="43" t="s">
        <v>1262</v>
      </c>
      <c r="G607" s="37"/>
      <c r="H607" s="46">
        <v>46106.0</v>
      </c>
      <c r="I607" s="37" t="s">
        <v>452</v>
      </c>
      <c r="J607" s="49">
        <v>300.0</v>
      </c>
      <c r="K607" s="49">
        <v>400.0</v>
      </c>
      <c r="L607" s="37" t="s">
        <v>189</v>
      </c>
      <c r="M607" s="37"/>
      <c r="N607" s="17"/>
      <c r="O607" s="1"/>
      <c r="P607" s="15"/>
      <c r="Q607" s="15"/>
      <c r="R607" s="1"/>
      <c r="S607" s="1"/>
    </row>
    <row r="608">
      <c r="A608" s="1"/>
      <c r="B608" s="3">
        <f t="shared" si="1"/>
        <v>604</v>
      </c>
      <c r="C608" s="31" t="s">
        <v>1263</v>
      </c>
      <c r="D608" s="37" t="s">
        <v>44</v>
      </c>
      <c r="E608" s="1"/>
      <c r="F608" s="43" t="s">
        <v>1264</v>
      </c>
      <c r="G608" s="37"/>
      <c r="H608" s="46">
        <v>46106.0</v>
      </c>
      <c r="I608" s="37" t="s">
        <v>452</v>
      </c>
      <c r="J608" s="49">
        <v>320.0</v>
      </c>
      <c r="K608" s="49">
        <v>300.0</v>
      </c>
      <c r="L608" s="37" t="s">
        <v>58</v>
      </c>
      <c r="M608" s="37"/>
      <c r="N608" s="17"/>
      <c r="O608" s="1"/>
      <c r="P608" s="15"/>
      <c r="Q608" s="15"/>
      <c r="R608" s="1"/>
      <c r="S608" s="1"/>
    </row>
    <row r="609">
      <c r="A609" s="1"/>
      <c r="B609" s="3">
        <f t="shared" si="1"/>
        <v>605</v>
      </c>
      <c r="C609" s="31" t="s">
        <v>1265</v>
      </c>
      <c r="D609" s="37" t="s">
        <v>38</v>
      </c>
      <c r="E609" s="37"/>
      <c r="F609" s="37" t="s">
        <v>1266</v>
      </c>
      <c r="G609" s="37"/>
      <c r="H609" s="46">
        <v>46112.0</v>
      </c>
      <c r="I609" s="37" t="s">
        <v>77</v>
      </c>
      <c r="J609" s="49">
        <v>200.0</v>
      </c>
      <c r="K609" s="49"/>
      <c r="L609" s="37" t="s">
        <v>189</v>
      </c>
      <c r="M609" s="37"/>
      <c r="N609" s="17"/>
      <c r="O609" s="1"/>
      <c r="P609" s="67" t="s">
        <v>1267</v>
      </c>
      <c r="Q609" s="15"/>
      <c r="R609" s="1"/>
      <c r="S609" s="1"/>
    </row>
    <row r="610">
      <c r="A610" s="1"/>
      <c r="B610" s="3">
        <f t="shared" si="1"/>
        <v>606</v>
      </c>
      <c r="C610" s="31" t="s">
        <v>1268</v>
      </c>
      <c r="D610" s="37" t="s">
        <v>96</v>
      </c>
      <c r="E610" s="37" t="s">
        <v>1269</v>
      </c>
      <c r="F610" s="37" t="s">
        <v>1270</v>
      </c>
      <c r="G610" s="37"/>
      <c r="H610" s="46">
        <v>46119.0</v>
      </c>
      <c r="I610" s="37" t="s">
        <v>77</v>
      </c>
      <c r="J610" s="49"/>
      <c r="K610" s="49"/>
      <c r="L610" s="37" t="s">
        <v>58</v>
      </c>
      <c r="M610" s="37"/>
      <c r="N610" s="17"/>
      <c r="O610" s="1"/>
      <c r="P610" s="15"/>
      <c r="Q610" s="67" t="s">
        <v>1271</v>
      </c>
      <c r="R610" s="1"/>
      <c r="S610" s="1"/>
    </row>
    <row r="611">
      <c r="A611" s="1"/>
      <c r="B611" s="3">
        <f t="shared" si="1"/>
        <v>607</v>
      </c>
      <c r="C611" s="31" t="s">
        <v>1272</v>
      </c>
      <c r="D611" s="37" t="s">
        <v>112</v>
      </c>
      <c r="E611" s="1"/>
      <c r="F611" s="37" t="s">
        <v>1273</v>
      </c>
      <c r="G611" s="37"/>
      <c r="H611" s="46">
        <v>46119.0</v>
      </c>
      <c r="I611" s="37" t="s">
        <v>1052</v>
      </c>
      <c r="J611" s="49">
        <v>280.0</v>
      </c>
      <c r="K611" s="49">
        <v>280.0</v>
      </c>
      <c r="L611" s="37" t="s">
        <v>58</v>
      </c>
      <c r="M611" s="37" t="s">
        <v>60</v>
      </c>
      <c r="N611" s="17" t="s">
        <v>39</v>
      </c>
      <c r="O611" s="1"/>
      <c r="P611" s="15"/>
      <c r="Q611" s="15"/>
      <c r="R611" s="1"/>
      <c r="S611" s="1"/>
    </row>
    <row r="612">
      <c r="A612" s="1"/>
      <c r="B612" s="3">
        <f t="shared" si="1"/>
        <v>608</v>
      </c>
      <c r="C612" s="31" t="s">
        <v>1274</v>
      </c>
      <c r="D612" s="37" t="s">
        <v>159</v>
      </c>
      <c r="E612" s="1"/>
      <c r="F612" s="37"/>
      <c r="G612" s="37"/>
      <c r="H612" s="46">
        <v>46119.0</v>
      </c>
      <c r="I612" s="37" t="s">
        <v>1052</v>
      </c>
      <c r="J612" s="49">
        <v>300.0</v>
      </c>
      <c r="K612" s="49" t="s">
        <v>1159</v>
      </c>
      <c r="L612" s="37" t="s">
        <v>58</v>
      </c>
      <c r="M612" s="37" t="s">
        <v>74</v>
      </c>
      <c r="N612" s="17" t="s">
        <v>28</v>
      </c>
      <c r="O612" s="125">
        <v>46123.0</v>
      </c>
      <c r="P612" s="15"/>
      <c r="Q612" s="15"/>
      <c r="R612" s="1"/>
      <c r="S612" s="1"/>
    </row>
    <row r="613">
      <c r="A613" s="1"/>
      <c r="B613" s="3">
        <f t="shared" si="1"/>
        <v>609</v>
      </c>
      <c r="C613" s="31" t="s">
        <v>1275</v>
      </c>
      <c r="D613" s="37" t="s">
        <v>497</v>
      </c>
      <c r="E613" s="37"/>
      <c r="F613" s="37" t="s">
        <v>1276</v>
      </c>
      <c r="G613" s="37"/>
      <c r="H613" s="46">
        <v>46119.0</v>
      </c>
      <c r="I613" s="37" t="s">
        <v>77</v>
      </c>
      <c r="J613" s="49"/>
      <c r="K613" s="49">
        <v>300.0</v>
      </c>
      <c r="L613" s="37" t="s">
        <v>58</v>
      </c>
      <c r="M613" s="37" t="s">
        <v>78</v>
      </c>
      <c r="N613" s="17" t="s">
        <v>28</v>
      </c>
      <c r="O613" s="1"/>
      <c r="P613" s="67" t="s">
        <v>1277</v>
      </c>
      <c r="Q613" s="15"/>
      <c r="R613" s="1"/>
      <c r="S613" s="1"/>
    </row>
    <row r="614">
      <c r="A614" s="1"/>
      <c r="B614" s="3">
        <f t="shared" si="1"/>
        <v>610</v>
      </c>
      <c r="C614" s="31" t="s">
        <v>1278</v>
      </c>
      <c r="D614" s="37" t="s">
        <v>44</v>
      </c>
      <c r="E614" s="37" t="s">
        <v>1279</v>
      </c>
      <c r="F614" s="43" t="s">
        <v>1280</v>
      </c>
      <c r="G614" s="37"/>
      <c r="H614" s="46">
        <v>46119.0</v>
      </c>
      <c r="I614" s="37" t="s">
        <v>77</v>
      </c>
      <c r="J614" s="49"/>
      <c r="K614" s="49"/>
      <c r="L614" s="37" t="s">
        <v>58</v>
      </c>
      <c r="M614" s="37" t="s">
        <v>78</v>
      </c>
      <c r="N614" s="17" t="s">
        <v>28</v>
      </c>
      <c r="O614" s="125">
        <v>46120.0</v>
      </c>
      <c r="P614" s="67"/>
      <c r="Q614" s="15"/>
      <c r="R614" s="1"/>
      <c r="S614" s="1"/>
    </row>
    <row r="615">
      <c r="A615" s="1"/>
      <c r="B615" s="3">
        <f t="shared" si="1"/>
        <v>611</v>
      </c>
      <c r="C615" s="31" t="s">
        <v>1281</v>
      </c>
      <c r="D615" s="37" t="s">
        <v>38</v>
      </c>
      <c r="E615" s="1"/>
      <c r="F615" s="37" t="s">
        <v>1282</v>
      </c>
      <c r="G615" s="37"/>
      <c r="H615" s="46">
        <v>46119.0</v>
      </c>
      <c r="I615" s="37" t="s">
        <v>77</v>
      </c>
      <c r="J615" s="49">
        <v>320.0</v>
      </c>
      <c r="K615" s="49">
        <v>280.0</v>
      </c>
      <c r="L615" s="37" t="s">
        <v>58</v>
      </c>
      <c r="M615" s="37"/>
      <c r="N615" s="17"/>
      <c r="O615" s="1"/>
      <c r="P615" s="15"/>
      <c r="Q615" s="67" t="s">
        <v>1283</v>
      </c>
      <c r="R615" s="1"/>
      <c r="S615" s="1"/>
    </row>
    <row r="616">
      <c r="A616" s="1"/>
      <c r="B616" s="3">
        <f t="shared" si="1"/>
        <v>612</v>
      </c>
      <c r="C616" s="31" t="s">
        <v>1096</v>
      </c>
      <c r="D616" s="37" t="s">
        <v>49</v>
      </c>
      <c r="E616" s="1"/>
      <c r="F616" s="37"/>
      <c r="G616" s="37"/>
      <c r="H616" s="46">
        <v>46119.0</v>
      </c>
      <c r="I616" s="37" t="s">
        <v>77</v>
      </c>
      <c r="J616" s="49">
        <v>240.0</v>
      </c>
      <c r="K616" s="49">
        <v>300.0</v>
      </c>
      <c r="L616" s="37" t="s">
        <v>58</v>
      </c>
      <c r="M616" s="37" t="s">
        <v>78</v>
      </c>
      <c r="N616" s="17" t="s">
        <v>28</v>
      </c>
      <c r="O616" s="1"/>
      <c r="P616" s="15"/>
      <c r="Q616" s="15"/>
      <c r="R616" s="1"/>
      <c r="S616" s="1"/>
    </row>
    <row r="617">
      <c r="A617" s="1"/>
      <c r="B617" s="3">
        <f t="shared" si="1"/>
        <v>613</v>
      </c>
      <c r="C617" s="31" t="s">
        <v>1284</v>
      </c>
      <c r="D617" s="37" t="s">
        <v>112</v>
      </c>
      <c r="E617" s="37" t="s">
        <v>1285</v>
      </c>
      <c r="F617" s="43" t="s">
        <v>1286</v>
      </c>
      <c r="G617" s="37"/>
      <c r="H617" s="46">
        <v>46119.0</v>
      </c>
      <c r="I617" s="37" t="s">
        <v>77</v>
      </c>
      <c r="J617" s="49"/>
      <c r="K617" s="49">
        <v>260.0</v>
      </c>
      <c r="L617" s="37" t="s">
        <v>58</v>
      </c>
      <c r="M617" s="37" t="s">
        <v>60</v>
      </c>
      <c r="N617" s="17" t="s">
        <v>28</v>
      </c>
      <c r="O617" s="126">
        <v>46121.0</v>
      </c>
      <c r="P617" s="15"/>
      <c r="Q617" s="67" t="s">
        <v>1287</v>
      </c>
      <c r="R617" s="1"/>
      <c r="S617" s="1"/>
    </row>
    <row r="618">
      <c r="A618" s="1"/>
      <c r="B618" s="3">
        <f t="shared" si="1"/>
        <v>614</v>
      </c>
      <c r="C618" s="31" t="s">
        <v>1288</v>
      </c>
      <c r="D618" s="37" t="s">
        <v>56</v>
      </c>
      <c r="E618" s="1"/>
      <c r="F618" s="37"/>
      <c r="G618" s="37"/>
      <c r="H618" s="46">
        <v>46119.0</v>
      </c>
      <c r="I618" s="37" t="s">
        <v>1289</v>
      </c>
      <c r="J618" s="49">
        <v>240.0</v>
      </c>
      <c r="K618" s="49" t="s">
        <v>1256</v>
      </c>
      <c r="L618" s="37" t="s">
        <v>58</v>
      </c>
      <c r="M618" s="37"/>
      <c r="N618" s="17"/>
      <c r="O618" s="1"/>
      <c r="P618" s="15"/>
      <c r="Q618" s="15"/>
      <c r="R618" s="1"/>
      <c r="S618" s="1"/>
    </row>
    <row r="619">
      <c r="A619" s="1"/>
      <c r="B619" s="3">
        <f t="shared" si="1"/>
        <v>615</v>
      </c>
      <c r="C619" s="31" t="s">
        <v>1290</v>
      </c>
      <c r="D619" s="37" t="s">
        <v>49</v>
      </c>
      <c r="E619" s="1"/>
      <c r="F619" s="43" t="s">
        <v>1291</v>
      </c>
      <c r="G619" s="37"/>
      <c r="H619" s="46">
        <v>46119.0</v>
      </c>
      <c r="I619" s="37" t="s">
        <v>1052</v>
      </c>
      <c r="J619" s="49">
        <v>250.0</v>
      </c>
      <c r="K619" s="49" t="s">
        <v>1292</v>
      </c>
      <c r="L619" s="37" t="s">
        <v>58</v>
      </c>
      <c r="M619" s="37" t="s">
        <v>53</v>
      </c>
      <c r="N619" s="17" t="s">
        <v>39</v>
      </c>
      <c r="O619" s="1"/>
      <c r="P619" s="15"/>
      <c r="Q619" s="15"/>
      <c r="R619" s="1"/>
      <c r="S619" s="1"/>
    </row>
    <row r="620">
      <c r="A620" s="1"/>
      <c r="B620" s="3">
        <f t="shared" si="1"/>
        <v>616</v>
      </c>
      <c r="C620" s="31" t="s">
        <v>1293</v>
      </c>
      <c r="D620" s="37" t="s">
        <v>49</v>
      </c>
      <c r="E620" s="37" t="s">
        <v>1285</v>
      </c>
      <c r="F620" s="43" t="s">
        <v>1294</v>
      </c>
      <c r="G620" s="37"/>
      <c r="H620" s="46">
        <v>46119.0</v>
      </c>
      <c r="I620" s="37" t="s">
        <v>1289</v>
      </c>
      <c r="J620" s="49">
        <v>600.0</v>
      </c>
      <c r="K620" s="49" t="s">
        <v>1256</v>
      </c>
      <c r="L620" s="37" t="s">
        <v>58</v>
      </c>
      <c r="M620" s="37" t="s">
        <v>78</v>
      </c>
      <c r="N620" s="17" t="s">
        <v>28</v>
      </c>
      <c r="O620" s="1"/>
      <c r="P620" s="15"/>
      <c r="Q620" s="15"/>
      <c r="R620" s="1"/>
      <c r="S620" s="1"/>
    </row>
    <row r="621">
      <c r="A621" s="1"/>
      <c r="B621" s="3">
        <f t="shared" si="1"/>
        <v>617</v>
      </c>
      <c r="C621" s="31" t="s">
        <v>1295</v>
      </c>
      <c r="D621" s="37" t="s">
        <v>159</v>
      </c>
      <c r="E621" s="1"/>
      <c r="F621" s="1"/>
      <c r="G621" s="37"/>
      <c r="H621" s="46">
        <v>46119.0</v>
      </c>
      <c r="I621" s="37" t="s">
        <v>1289</v>
      </c>
      <c r="J621" s="49">
        <v>280.0</v>
      </c>
      <c r="K621" s="49">
        <v>350.0</v>
      </c>
      <c r="L621" s="37" t="s">
        <v>189</v>
      </c>
      <c r="M621" s="37"/>
      <c r="N621" s="17"/>
      <c r="O621" s="1"/>
      <c r="P621" s="15"/>
      <c r="Q621" s="15"/>
      <c r="R621" s="1"/>
      <c r="S621" s="1"/>
    </row>
    <row r="622">
      <c r="A622" s="1"/>
      <c r="B622" s="3">
        <f t="shared" si="1"/>
        <v>618</v>
      </c>
      <c r="C622" s="31" t="s">
        <v>1296</v>
      </c>
      <c r="D622" s="37" t="s">
        <v>83</v>
      </c>
      <c r="E622" s="1"/>
      <c r="F622" s="37" t="s">
        <v>1297</v>
      </c>
      <c r="G622" s="37"/>
      <c r="H622" s="46">
        <v>46119.0</v>
      </c>
      <c r="I622" s="37" t="s">
        <v>1289</v>
      </c>
      <c r="J622" s="49">
        <v>250.0</v>
      </c>
      <c r="K622" s="49" t="s">
        <v>1298</v>
      </c>
      <c r="L622" s="37" t="s">
        <v>189</v>
      </c>
      <c r="M622" s="37"/>
      <c r="N622" s="17"/>
      <c r="O622" s="1"/>
      <c r="P622" s="15"/>
      <c r="Q622" s="15"/>
      <c r="R622" s="1"/>
      <c r="S622" s="1"/>
    </row>
    <row r="623">
      <c r="A623" s="1"/>
      <c r="B623" s="3">
        <f t="shared" si="1"/>
        <v>619</v>
      </c>
      <c r="C623" s="31" t="s">
        <v>1299</v>
      </c>
      <c r="D623" s="37" t="s">
        <v>56</v>
      </c>
      <c r="E623" s="37" t="s">
        <v>1300</v>
      </c>
      <c r="F623" s="37" t="s">
        <v>1301</v>
      </c>
      <c r="G623" s="37"/>
      <c r="H623" s="46">
        <v>46119.0</v>
      </c>
      <c r="I623" s="37" t="s">
        <v>77</v>
      </c>
      <c r="J623" s="49">
        <v>240.0</v>
      </c>
      <c r="K623" s="49" t="s">
        <v>1256</v>
      </c>
      <c r="L623" s="37" t="s">
        <v>58</v>
      </c>
      <c r="M623" s="37" t="s">
        <v>68</v>
      </c>
      <c r="N623" s="17" t="s">
        <v>28</v>
      </c>
      <c r="O623" s="1"/>
      <c r="P623" s="67"/>
      <c r="Q623" s="15"/>
      <c r="R623" s="1"/>
      <c r="S623" s="1"/>
    </row>
    <row r="624">
      <c r="A624" s="1"/>
      <c r="B624" s="3">
        <f t="shared" si="1"/>
        <v>620</v>
      </c>
      <c r="C624" s="31" t="s">
        <v>1302</v>
      </c>
      <c r="D624" s="37" t="s">
        <v>44</v>
      </c>
      <c r="E624" s="37"/>
      <c r="F624" s="37" t="s">
        <v>1303</v>
      </c>
      <c r="G624" s="37"/>
      <c r="H624" s="46">
        <v>46119.0</v>
      </c>
      <c r="I624" s="37" t="s">
        <v>1289</v>
      </c>
      <c r="J624" s="49">
        <v>160.0</v>
      </c>
      <c r="K624" s="49">
        <v>200.0</v>
      </c>
      <c r="L624" s="37" t="s">
        <v>58</v>
      </c>
      <c r="M624" s="37"/>
      <c r="N624" s="17" t="s">
        <v>28</v>
      </c>
      <c r="O624" s="1"/>
      <c r="P624" s="15"/>
      <c r="Q624" s="67" t="s">
        <v>1304</v>
      </c>
      <c r="R624" s="1"/>
      <c r="S624" s="1"/>
    </row>
    <row r="625">
      <c r="A625" s="1"/>
      <c r="B625" s="3">
        <f t="shared" si="1"/>
        <v>621</v>
      </c>
      <c r="C625" s="31" t="s">
        <v>1305</v>
      </c>
      <c r="D625" s="37" t="s">
        <v>83</v>
      </c>
      <c r="E625" s="1"/>
      <c r="F625" s="1"/>
      <c r="G625" s="37"/>
      <c r="H625" s="46">
        <v>46119.0</v>
      </c>
      <c r="I625" s="37" t="s">
        <v>1289</v>
      </c>
      <c r="J625" s="49">
        <v>260.0</v>
      </c>
      <c r="K625" s="49" t="s">
        <v>1306</v>
      </c>
      <c r="L625" s="37" t="s">
        <v>189</v>
      </c>
      <c r="M625" s="37"/>
      <c r="N625" s="17"/>
      <c r="O625" s="1"/>
      <c r="P625" s="15"/>
      <c r="Q625" s="67" t="s">
        <v>1307</v>
      </c>
      <c r="R625" s="1"/>
      <c r="S625" s="1"/>
    </row>
    <row r="626">
      <c r="A626" s="1"/>
      <c r="B626" s="3">
        <f t="shared" si="1"/>
        <v>622</v>
      </c>
      <c r="C626" s="31" t="s">
        <v>1308</v>
      </c>
      <c r="D626" s="37" t="s">
        <v>47</v>
      </c>
      <c r="E626" s="1"/>
      <c r="F626" s="43" t="s">
        <v>1309</v>
      </c>
      <c r="G626" s="37"/>
      <c r="H626" s="46">
        <v>46119.0</v>
      </c>
      <c r="I626" s="37" t="s">
        <v>452</v>
      </c>
      <c r="J626" s="49">
        <v>400.0</v>
      </c>
      <c r="K626" s="49">
        <v>400.0</v>
      </c>
      <c r="L626" s="37" t="s">
        <v>58</v>
      </c>
      <c r="M626" s="37"/>
      <c r="N626" s="17"/>
      <c r="O626" s="1"/>
      <c r="P626" s="15"/>
      <c r="Q626" s="67" t="s">
        <v>1310</v>
      </c>
      <c r="R626" s="1"/>
      <c r="S626" s="1"/>
    </row>
    <row r="627">
      <c r="A627" s="1"/>
      <c r="B627" s="3">
        <f t="shared" si="1"/>
        <v>623</v>
      </c>
      <c r="C627" s="31" t="s">
        <v>1311</v>
      </c>
      <c r="D627" s="37" t="s">
        <v>159</v>
      </c>
      <c r="E627" s="37" t="s">
        <v>1312</v>
      </c>
      <c r="F627" s="37" t="s">
        <v>1313</v>
      </c>
      <c r="G627" s="37"/>
      <c r="H627" s="46">
        <v>46119.0</v>
      </c>
      <c r="I627" s="37" t="s">
        <v>1289</v>
      </c>
      <c r="J627" s="49">
        <v>700.0</v>
      </c>
      <c r="K627" s="49">
        <v>500.0</v>
      </c>
      <c r="L627" s="37" t="s">
        <v>58</v>
      </c>
      <c r="M627" s="37" t="s">
        <v>45</v>
      </c>
      <c r="N627" s="17"/>
      <c r="O627" s="125">
        <v>46125.0</v>
      </c>
      <c r="P627" s="15"/>
      <c r="Q627" s="15"/>
      <c r="R627" s="1"/>
      <c r="S627" s="1"/>
    </row>
    <row r="628">
      <c r="A628" s="1"/>
      <c r="B628" s="3">
        <f t="shared" si="1"/>
        <v>624</v>
      </c>
      <c r="C628" s="31" t="s">
        <v>1314</v>
      </c>
      <c r="D628" s="37" t="s">
        <v>44</v>
      </c>
      <c r="E628" s="37" t="s">
        <v>1315</v>
      </c>
      <c r="F628" s="37" t="s">
        <v>1316</v>
      </c>
      <c r="G628" s="37"/>
      <c r="H628" s="46">
        <v>46119.0</v>
      </c>
      <c r="I628" s="37" t="s">
        <v>77</v>
      </c>
      <c r="J628" s="49">
        <v>250.0</v>
      </c>
      <c r="K628" s="49">
        <v>350.0</v>
      </c>
      <c r="L628" s="37" t="s">
        <v>58</v>
      </c>
      <c r="M628" s="37" t="s">
        <v>59</v>
      </c>
      <c r="N628" s="17" t="s">
        <v>28</v>
      </c>
      <c r="O628" s="1"/>
      <c r="P628" s="15"/>
      <c r="Q628" s="67"/>
      <c r="R628" s="1"/>
      <c r="S628" s="1"/>
    </row>
    <row r="629">
      <c r="A629" s="1"/>
      <c r="B629" s="3">
        <f t="shared" si="1"/>
        <v>625</v>
      </c>
      <c r="C629" s="31" t="s">
        <v>1317</v>
      </c>
      <c r="D629" s="37" t="s">
        <v>44</v>
      </c>
      <c r="E629" s="37" t="s">
        <v>1285</v>
      </c>
      <c r="F629" s="37" t="s">
        <v>1318</v>
      </c>
      <c r="G629" s="37"/>
      <c r="H629" s="46">
        <v>46119.0</v>
      </c>
      <c r="I629" s="37" t="s">
        <v>77</v>
      </c>
      <c r="J629" s="49"/>
      <c r="K629" s="49"/>
      <c r="L629" s="37" t="s">
        <v>58</v>
      </c>
      <c r="M629" s="37" t="s">
        <v>73</v>
      </c>
      <c r="N629" s="17" t="s">
        <v>28</v>
      </c>
      <c r="O629" s="1"/>
      <c r="P629" s="15"/>
      <c r="Q629" s="15"/>
      <c r="R629" s="1"/>
      <c r="S629" s="1"/>
    </row>
    <row r="630">
      <c r="A630" s="1"/>
      <c r="B630" s="3">
        <f t="shared" si="1"/>
        <v>626</v>
      </c>
      <c r="C630" s="31" t="s">
        <v>1319</v>
      </c>
      <c r="D630" s="37" t="s">
        <v>83</v>
      </c>
      <c r="E630" s="37" t="s">
        <v>1320</v>
      </c>
      <c r="F630" s="43" t="s">
        <v>1321</v>
      </c>
      <c r="G630" s="37"/>
      <c r="H630" s="46">
        <v>46119.0</v>
      </c>
      <c r="I630" s="37" t="s">
        <v>77</v>
      </c>
      <c r="J630" s="49"/>
      <c r="K630" s="49"/>
      <c r="L630" s="37" t="s">
        <v>58</v>
      </c>
      <c r="M630" s="37"/>
      <c r="N630" s="17"/>
      <c r="O630" s="1"/>
      <c r="P630" s="15"/>
      <c r="Q630" s="15"/>
      <c r="R630" s="1"/>
      <c r="S630" s="1"/>
    </row>
    <row r="631">
      <c r="A631" s="1"/>
      <c r="B631" s="3">
        <f t="shared" si="1"/>
        <v>627</v>
      </c>
      <c r="C631" s="31" t="s">
        <v>1322</v>
      </c>
      <c r="D631" s="37" t="s">
        <v>159</v>
      </c>
      <c r="E631" s="37" t="s">
        <v>1323</v>
      </c>
      <c r="F631" s="37" t="s">
        <v>1324</v>
      </c>
      <c r="G631" s="37"/>
      <c r="H631" s="46">
        <v>46120.0</v>
      </c>
      <c r="I631" s="37" t="s">
        <v>1206</v>
      </c>
      <c r="J631" s="49" t="s">
        <v>1325</v>
      </c>
      <c r="K631" s="49" t="s">
        <v>1325</v>
      </c>
      <c r="L631" s="37" t="s">
        <v>58</v>
      </c>
      <c r="M631" s="37"/>
      <c r="N631" s="17"/>
      <c r="O631" s="1"/>
      <c r="P631" s="15"/>
      <c r="Q631" s="15"/>
      <c r="R631" s="1"/>
      <c r="S631" s="1"/>
    </row>
    <row r="632">
      <c r="A632" s="1"/>
      <c r="B632" s="3">
        <f t="shared" si="1"/>
        <v>628</v>
      </c>
      <c r="C632" s="31" t="s">
        <v>1326</v>
      </c>
      <c r="D632" s="37" t="s">
        <v>38</v>
      </c>
      <c r="E632" s="37" t="s">
        <v>1327</v>
      </c>
      <c r="F632" s="37" t="s">
        <v>1328</v>
      </c>
      <c r="G632" s="37"/>
      <c r="H632" s="46">
        <v>46119.0</v>
      </c>
      <c r="I632" s="37" t="s">
        <v>77</v>
      </c>
      <c r="J632" s="49"/>
      <c r="K632" s="49" t="s">
        <v>1329</v>
      </c>
      <c r="L632" s="37" t="s">
        <v>58</v>
      </c>
      <c r="M632" s="37" t="s">
        <v>45</v>
      </c>
      <c r="N632" s="17" t="s">
        <v>39</v>
      </c>
      <c r="O632" s="1"/>
      <c r="P632" s="15"/>
      <c r="Q632" s="67" t="s">
        <v>1330</v>
      </c>
      <c r="R632" s="1"/>
      <c r="S632" s="1"/>
    </row>
    <row r="633">
      <c r="A633" s="1"/>
      <c r="B633" s="3">
        <f t="shared" si="1"/>
        <v>629</v>
      </c>
      <c r="C633" s="31" t="s">
        <v>1331</v>
      </c>
      <c r="D633" s="37" t="s">
        <v>83</v>
      </c>
      <c r="E633" s="37" t="s">
        <v>1332</v>
      </c>
      <c r="F633" s="37" t="s">
        <v>1333</v>
      </c>
      <c r="G633" s="37"/>
      <c r="H633" s="46">
        <v>46119.0</v>
      </c>
      <c r="I633" s="37" t="s">
        <v>77</v>
      </c>
      <c r="J633" s="49"/>
      <c r="K633" s="49" t="s">
        <v>1334</v>
      </c>
      <c r="L633" s="37" t="s">
        <v>189</v>
      </c>
      <c r="M633" s="37"/>
      <c r="N633" s="17"/>
      <c r="O633" s="1"/>
      <c r="P633" s="15"/>
      <c r="Q633" s="15"/>
      <c r="R633" s="1"/>
      <c r="S633" s="1"/>
    </row>
    <row r="634">
      <c r="A634" s="1"/>
      <c r="B634" s="3">
        <f t="shared" si="1"/>
        <v>630</v>
      </c>
      <c r="C634" s="31" t="s">
        <v>1335</v>
      </c>
      <c r="D634" s="37" t="s">
        <v>159</v>
      </c>
      <c r="E634" s="1"/>
      <c r="F634" s="37" t="s">
        <v>1336</v>
      </c>
      <c r="G634" s="37"/>
      <c r="H634" s="46">
        <v>46119.0</v>
      </c>
      <c r="I634" s="37" t="s">
        <v>77</v>
      </c>
      <c r="J634" s="49"/>
      <c r="K634" s="49" t="s">
        <v>1337</v>
      </c>
      <c r="L634" s="37" t="s">
        <v>189</v>
      </c>
      <c r="M634" s="37"/>
      <c r="N634" s="17"/>
      <c r="O634" s="1"/>
      <c r="P634" s="15"/>
      <c r="Q634" s="15"/>
      <c r="R634" s="1"/>
      <c r="S634" s="1"/>
    </row>
    <row r="635">
      <c r="A635" s="1"/>
      <c r="B635" s="3">
        <f t="shared" si="1"/>
        <v>631</v>
      </c>
      <c r="C635" s="31" t="s">
        <v>1338</v>
      </c>
      <c r="D635" s="37" t="s">
        <v>44</v>
      </c>
      <c r="E635" s="37" t="s">
        <v>1285</v>
      </c>
      <c r="F635" s="37" t="s">
        <v>1339</v>
      </c>
      <c r="G635" s="37"/>
      <c r="H635" s="46">
        <v>46120.0</v>
      </c>
      <c r="I635" s="37" t="s">
        <v>1206</v>
      </c>
      <c r="J635" s="49" t="s">
        <v>1337</v>
      </c>
      <c r="K635" s="49"/>
      <c r="L635" s="37" t="s">
        <v>58</v>
      </c>
      <c r="M635" s="37"/>
      <c r="N635" s="17" t="s">
        <v>28</v>
      </c>
      <c r="O635" s="37" t="s">
        <v>1340</v>
      </c>
      <c r="P635" s="67" t="s">
        <v>1341</v>
      </c>
      <c r="Q635" s="15"/>
      <c r="R635" s="1"/>
      <c r="S635" s="1"/>
    </row>
    <row r="636">
      <c r="A636" s="1"/>
      <c r="B636" s="3">
        <f t="shared" si="1"/>
        <v>632</v>
      </c>
      <c r="C636" s="31" t="s">
        <v>1342</v>
      </c>
      <c r="D636" s="37" t="s">
        <v>56</v>
      </c>
      <c r="E636" s="37" t="s">
        <v>1343</v>
      </c>
      <c r="F636" s="37" t="s">
        <v>1344</v>
      </c>
      <c r="G636" s="37"/>
      <c r="H636" s="46">
        <v>46120.0</v>
      </c>
      <c r="I636" s="37" t="s">
        <v>1206</v>
      </c>
      <c r="J636" s="49"/>
      <c r="K636" s="49"/>
      <c r="L636" s="37" t="s">
        <v>58</v>
      </c>
      <c r="M636" s="37" t="s">
        <v>60</v>
      </c>
      <c r="N636" s="17" t="s">
        <v>39</v>
      </c>
      <c r="O636" s="1"/>
      <c r="P636" s="67" t="s">
        <v>1345</v>
      </c>
      <c r="Q636" s="67" t="s">
        <v>1346</v>
      </c>
      <c r="R636" s="1"/>
      <c r="S636" s="1"/>
    </row>
    <row r="637">
      <c r="A637" s="1"/>
      <c r="B637" s="3">
        <f t="shared" si="1"/>
        <v>633</v>
      </c>
      <c r="C637" s="31" t="s">
        <v>1347</v>
      </c>
      <c r="D637" s="37" t="s">
        <v>497</v>
      </c>
      <c r="E637" s="37" t="s">
        <v>1348</v>
      </c>
      <c r="F637" s="43" t="s">
        <v>1349</v>
      </c>
      <c r="G637" s="37"/>
      <c r="H637" s="46">
        <v>46120.0</v>
      </c>
      <c r="I637" s="37" t="s">
        <v>1206</v>
      </c>
      <c r="J637" s="49" t="s">
        <v>1350</v>
      </c>
      <c r="K637" s="49" t="s">
        <v>1350</v>
      </c>
      <c r="L637" s="37" t="s">
        <v>58</v>
      </c>
      <c r="M637" s="37"/>
      <c r="N637" s="17"/>
      <c r="O637" s="1"/>
      <c r="P637" s="15"/>
      <c r="Q637" s="15"/>
      <c r="R637" s="1"/>
      <c r="S637" s="1"/>
    </row>
    <row r="638">
      <c r="A638" s="1"/>
      <c r="B638" s="3">
        <f t="shared" si="1"/>
        <v>634</v>
      </c>
      <c r="C638" s="31" t="s">
        <v>1351</v>
      </c>
      <c r="D638" s="37" t="s">
        <v>49</v>
      </c>
      <c r="E638" s="37" t="s">
        <v>1352</v>
      </c>
      <c r="F638" s="43" t="s">
        <v>1353</v>
      </c>
      <c r="G638" s="37"/>
      <c r="H638" s="46">
        <v>46120.0</v>
      </c>
      <c r="I638" s="37" t="s">
        <v>1289</v>
      </c>
      <c r="J638" s="49"/>
      <c r="K638" s="49">
        <v>300.0</v>
      </c>
      <c r="L638" s="37" t="s">
        <v>58</v>
      </c>
      <c r="M638" s="37"/>
      <c r="N638" s="17"/>
      <c r="O638" s="1"/>
      <c r="P638" s="15"/>
      <c r="Q638" s="15"/>
      <c r="R638" s="1"/>
      <c r="S638" s="1"/>
    </row>
    <row r="639">
      <c r="A639" s="1"/>
      <c r="B639" s="3">
        <f t="shared" si="1"/>
        <v>635</v>
      </c>
      <c r="C639" s="31" t="s">
        <v>1354</v>
      </c>
      <c r="D639" s="37" t="s">
        <v>44</v>
      </c>
      <c r="E639" s="37" t="s">
        <v>1352</v>
      </c>
      <c r="F639" s="37" t="s">
        <v>1355</v>
      </c>
      <c r="G639" s="37"/>
      <c r="H639" s="46">
        <v>46120.0</v>
      </c>
      <c r="I639" s="37" t="s">
        <v>1289</v>
      </c>
      <c r="J639" s="49">
        <v>300.0</v>
      </c>
      <c r="K639" s="49" t="s">
        <v>1256</v>
      </c>
      <c r="L639" s="37" t="s">
        <v>58</v>
      </c>
      <c r="M639" s="37"/>
      <c r="N639" s="17"/>
      <c r="O639" s="1"/>
      <c r="P639" s="15"/>
      <c r="Q639" s="15"/>
      <c r="R639" s="1"/>
      <c r="S639" s="1"/>
    </row>
    <row r="640">
      <c r="A640" s="1"/>
      <c r="B640" s="3">
        <f t="shared" si="1"/>
        <v>636</v>
      </c>
      <c r="C640" s="31" t="s">
        <v>1356</v>
      </c>
      <c r="D640" s="37" t="s">
        <v>56</v>
      </c>
      <c r="E640" s="37" t="s">
        <v>1357</v>
      </c>
      <c r="F640" s="37" t="s">
        <v>1358</v>
      </c>
      <c r="G640" s="37"/>
      <c r="H640" s="46">
        <v>46120.0</v>
      </c>
      <c r="I640" s="37" t="s">
        <v>1289</v>
      </c>
      <c r="J640" s="49"/>
      <c r="K640" s="49" t="s">
        <v>1256</v>
      </c>
      <c r="L640" s="37" t="s">
        <v>58</v>
      </c>
      <c r="M640" s="37"/>
      <c r="N640" s="17"/>
      <c r="O640" s="1"/>
      <c r="P640" s="15"/>
      <c r="Q640" s="15"/>
      <c r="R640" s="1"/>
      <c r="S640" s="1"/>
    </row>
    <row r="641">
      <c r="A641" s="1"/>
      <c r="B641" s="3">
        <f t="shared" si="1"/>
        <v>637</v>
      </c>
      <c r="C641" s="31" t="s">
        <v>1359</v>
      </c>
      <c r="D641" s="37" t="s">
        <v>83</v>
      </c>
      <c r="E641" s="37" t="s">
        <v>1360</v>
      </c>
      <c r="F641" s="37" t="s">
        <v>1361</v>
      </c>
      <c r="G641" s="37"/>
      <c r="H641" s="46">
        <v>46120.0</v>
      </c>
      <c r="I641" s="37" t="s">
        <v>1206</v>
      </c>
      <c r="J641" s="49" t="s">
        <v>1337</v>
      </c>
      <c r="K641" s="49"/>
      <c r="L641" s="37" t="s">
        <v>58</v>
      </c>
      <c r="M641" s="37" t="s">
        <v>74</v>
      </c>
      <c r="N641" s="17" t="s">
        <v>28</v>
      </c>
      <c r="O641" s="125">
        <v>46121.0</v>
      </c>
      <c r="P641" s="15"/>
      <c r="Q641" s="15"/>
      <c r="R641" s="1"/>
      <c r="S641" s="1"/>
    </row>
    <row r="642">
      <c r="A642" s="1"/>
      <c r="B642" s="3">
        <f t="shared" si="1"/>
        <v>638</v>
      </c>
      <c r="C642" s="31" t="s">
        <v>1362</v>
      </c>
      <c r="D642" s="37" t="s">
        <v>49</v>
      </c>
      <c r="E642" s="37" t="s">
        <v>1363</v>
      </c>
      <c r="F642" s="43" t="s">
        <v>1364</v>
      </c>
      <c r="G642" s="37"/>
      <c r="H642" s="46">
        <v>46119.0</v>
      </c>
      <c r="I642" s="37" t="s">
        <v>77</v>
      </c>
      <c r="J642" s="49"/>
      <c r="K642" s="49"/>
      <c r="L642" s="37" t="s">
        <v>58</v>
      </c>
      <c r="M642" s="37" t="s">
        <v>78</v>
      </c>
      <c r="N642" s="17"/>
      <c r="O642" s="1"/>
      <c r="P642" s="15"/>
      <c r="Q642" s="15"/>
      <c r="R642" s="1"/>
      <c r="S642" s="1"/>
    </row>
    <row r="643">
      <c r="A643" s="1"/>
      <c r="B643" s="3">
        <f t="shared" si="1"/>
        <v>639</v>
      </c>
      <c r="C643" s="31" t="s">
        <v>1365</v>
      </c>
      <c r="D643" s="37" t="s">
        <v>56</v>
      </c>
      <c r="E643" s="37" t="s">
        <v>1366</v>
      </c>
      <c r="F643" s="37" t="s">
        <v>1367</v>
      </c>
      <c r="G643" s="37"/>
      <c r="H643" s="46">
        <v>46120.0</v>
      </c>
      <c r="I643" s="37" t="s">
        <v>1206</v>
      </c>
      <c r="J643" s="49"/>
      <c r="K643" s="49"/>
      <c r="L643" s="37" t="s">
        <v>58</v>
      </c>
      <c r="M643" s="37"/>
      <c r="N643" s="17"/>
      <c r="O643" s="1"/>
      <c r="P643" s="15"/>
      <c r="Q643" s="15"/>
      <c r="R643" s="1"/>
      <c r="S643" s="1"/>
    </row>
    <row r="644">
      <c r="A644" s="1"/>
      <c r="B644" s="3">
        <f t="shared" si="1"/>
        <v>640</v>
      </c>
      <c r="C644" s="31" t="s">
        <v>1368</v>
      </c>
      <c r="D644" s="37" t="s">
        <v>116</v>
      </c>
      <c r="E644" s="37" t="s">
        <v>1369</v>
      </c>
      <c r="F644" s="37" t="s">
        <v>1370</v>
      </c>
      <c r="G644" s="37"/>
      <c r="H644" s="46">
        <v>46120.0</v>
      </c>
      <c r="I644" s="37" t="s">
        <v>1289</v>
      </c>
      <c r="J644" s="49">
        <v>600.0</v>
      </c>
      <c r="K644" s="49">
        <v>650.0</v>
      </c>
      <c r="L644" s="37" t="s">
        <v>58</v>
      </c>
      <c r="M644" s="37"/>
      <c r="N644" s="17"/>
      <c r="O644" s="1"/>
      <c r="P644" s="15"/>
      <c r="Q644" s="15"/>
      <c r="R644" s="1"/>
      <c r="S644" s="1"/>
    </row>
    <row r="645">
      <c r="A645" s="1"/>
      <c r="B645" s="3">
        <f t="shared" si="1"/>
        <v>641</v>
      </c>
      <c r="C645" s="31" t="s">
        <v>1371</v>
      </c>
      <c r="D645" s="37" t="s">
        <v>83</v>
      </c>
      <c r="E645" s="37" t="s">
        <v>1372</v>
      </c>
      <c r="F645" s="37" t="s">
        <v>1373</v>
      </c>
      <c r="G645" s="37"/>
      <c r="H645" s="46">
        <v>46120.0</v>
      </c>
      <c r="I645" s="37" t="s">
        <v>1206</v>
      </c>
      <c r="J645" s="49"/>
      <c r="K645" s="49" t="s">
        <v>1374</v>
      </c>
      <c r="L645" s="37" t="s">
        <v>58</v>
      </c>
      <c r="M645" s="37" t="s">
        <v>57</v>
      </c>
      <c r="N645" s="17" t="s">
        <v>28</v>
      </c>
      <c r="O645" s="125">
        <v>46121.0</v>
      </c>
      <c r="P645" s="15"/>
      <c r="Q645" s="15"/>
      <c r="R645" s="1"/>
      <c r="S645" s="1"/>
    </row>
    <row r="646">
      <c r="A646" s="1"/>
      <c r="B646" s="3">
        <f t="shared" si="1"/>
        <v>642</v>
      </c>
      <c r="C646" s="31" t="s">
        <v>1375</v>
      </c>
      <c r="D646" s="37" t="s">
        <v>159</v>
      </c>
      <c r="E646" s="37" t="s">
        <v>1376</v>
      </c>
      <c r="F646" s="43" t="s">
        <v>1377</v>
      </c>
      <c r="G646" s="37"/>
      <c r="H646" s="46">
        <v>46120.0</v>
      </c>
      <c r="I646" s="37" t="s">
        <v>1289</v>
      </c>
      <c r="J646" s="49">
        <v>700.0</v>
      </c>
      <c r="K646" s="49">
        <v>500.0</v>
      </c>
      <c r="L646" s="37" t="s">
        <v>58</v>
      </c>
      <c r="M646" s="37" t="s">
        <v>78</v>
      </c>
      <c r="N646" s="17"/>
      <c r="O646" s="125">
        <v>46132.0</v>
      </c>
      <c r="P646" s="15"/>
      <c r="Q646" s="15"/>
      <c r="R646" s="1"/>
      <c r="S646" s="1"/>
    </row>
    <row r="647">
      <c r="A647" s="1"/>
      <c r="B647" s="3">
        <f t="shared" si="1"/>
        <v>643</v>
      </c>
      <c r="C647" s="31" t="s">
        <v>1378</v>
      </c>
      <c r="D647" s="37" t="s">
        <v>121</v>
      </c>
      <c r="E647" s="37" t="s">
        <v>1379</v>
      </c>
      <c r="F647" s="37" t="s">
        <v>1380</v>
      </c>
      <c r="G647" s="37"/>
      <c r="H647" s="46">
        <v>46120.0</v>
      </c>
      <c r="I647" s="37" t="s">
        <v>1289</v>
      </c>
      <c r="J647" s="49">
        <v>120.0</v>
      </c>
      <c r="K647" s="49" t="s">
        <v>1256</v>
      </c>
      <c r="L647" s="37" t="s">
        <v>58</v>
      </c>
      <c r="M647" s="37" t="s">
        <v>45</v>
      </c>
      <c r="N647" s="17" t="s">
        <v>39</v>
      </c>
      <c r="O647" s="126">
        <v>46122.0</v>
      </c>
      <c r="P647" s="15"/>
      <c r="Q647" s="15"/>
      <c r="R647" s="1"/>
      <c r="S647" s="1"/>
    </row>
    <row r="648">
      <c r="A648" s="1"/>
      <c r="B648" s="3">
        <f t="shared" si="1"/>
        <v>644</v>
      </c>
      <c r="C648" s="31" t="s">
        <v>1381</v>
      </c>
      <c r="D648" s="37" t="s">
        <v>56</v>
      </c>
      <c r="E648" s="37" t="s">
        <v>1382</v>
      </c>
      <c r="F648" s="37" t="s">
        <v>1383</v>
      </c>
      <c r="G648" s="37"/>
      <c r="H648" s="46">
        <v>46120.0</v>
      </c>
      <c r="I648" s="37" t="s">
        <v>1289</v>
      </c>
      <c r="J648" s="49" t="s">
        <v>1384</v>
      </c>
      <c r="K648" s="49" t="s">
        <v>1256</v>
      </c>
      <c r="L648" s="37" t="s">
        <v>58</v>
      </c>
      <c r="M648" s="37"/>
      <c r="N648" s="17"/>
      <c r="O648" s="1"/>
      <c r="P648" s="15"/>
      <c r="Q648" s="15"/>
      <c r="R648" s="1"/>
      <c r="S648" s="1"/>
    </row>
    <row r="649">
      <c r="A649" s="1"/>
      <c r="B649" s="3">
        <f t="shared" si="1"/>
        <v>645</v>
      </c>
      <c r="C649" s="31" t="s">
        <v>1385</v>
      </c>
      <c r="D649" s="37" t="s">
        <v>56</v>
      </c>
      <c r="E649" s="37" t="s">
        <v>1386</v>
      </c>
      <c r="F649" s="37" t="s">
        <v>1387</v>
      </c>
      <c r="G649" s="37"/>
      <c r="H649" s="46">
        <v>46120.0</v>
      </c>
      <c r="I649" s="37" t="s">
        <v>1289</v>
      </c>
      <c r="J649" s="49" t="s">
        <v>1388</v>
      </c>
      <c r="K649" s="49" t="s">
        <v>1256</v>
      </c>
      <c r="L649" s="37" t="s">
        <v>58</v>
      </c>
      <c r="M649" s="37"/>
      <c r="N649" s="17"/>
      <c r="O649" s="1"/>
      <c r="P649" s="15"/>
      <c r="Q649" s="15"/>
      <c r="R649" s="1"/>
      <c r="S649" s="1"/>
    </row>
    <row r="650">
      <c r="A650" s="1"/>
      <c r="B650" s="3">
        <f t="shared" si="1"/>
        <v>646</v>
      </c>
      <c r="C650" s="31" t="s">
        <v>1389</v>
      </c>
      <c r="D650" s="37" t="s">
        <v>116</v>
      </c>
      <c r="E650" s="37" t="s">
        <v>1390</v>
      </c>
      <c r="F650" s="43" t="s">
        <v>1391</v>
      </c>
      <c r="G650" s="37"/>
      <c r="H650" s="46">
        <v>46120.0</v>
      </c>
      <c r="I650" s="37" t="s">
        <v>1289</v>
      </c>
      <c r="J650" s="49">
        <v>300.0</v>
      </c>
      <c r="K650" s="49">
        <v>400.0</v>
      </c>
      <c r="L650" s="37" t="s">
        <v>58</v>
      </c>
      <c r="M650" s="37"/>
      <c r="N650" s="17"/>
      <c r="O650" s="1"/>
      <c r="P650" s="15"/>
      <c r="Q650" s="15"/>
      <c r="R650" s="1"/>
      <c r="S650" s="1"/>
    </row>
    <row r="651">
      <c r="A651" s="1"/>
      <c r="B651" s="3">
        <f t="shared" si="1"/>
        <v>647</v>
      </c>
      <c r="C651" s="31" t="s">
        <v>1392</v>
      </c>
      <c r="D651" s="37" t="s">
        <v>83</v>
      </c>
      <c r="E651" s="37" t="s">
        <v>1393</v>
      </c>
      <c r="F651" s="37" t="s">
        <v>1394</v>
      </c>
      <c r="G651" s="37"/>
      <c r="H651" s="46">
        <v>46120.0</v>
      </c>
      <c r="I651" s="37" t="s">
        <v>1289</v>
      </c>
      <c r="J651" s="49">
        <v>220.0</v>
      </c>
      <c r="K651" s="49">
        <v>250.0</v>
      </c>
      <c r="L651" s="37" t="s">
        <v>189</v>
      </c>
      <c r="M651" s="37"/>
      <c r="N651" s="17"/>
      <c r="O651" s="1"/>
      <c r="P651" s="15"/>
      <c r="Q651" s="15"/>
      <c r="R651" s="1"/>
      <c r="S651" s="1"/>
    </row>
    <row r="652">
      <c r="A652" s="1"/>
      <c r="B652" s="3">
        <f t="shared" si="1"/>
        <v>648</v>
      </c>
      <c r="C652" s="31" t="s">
        <v>1395</v>
      </c>
      <c r="D652" s="37" t="s">
        <v>38</v>
      </c>
      <c r="E652" s="37" t="s">
        <v>1396</v>
      </c>
      <c r="F652" s="1"/>
      <c r="G652" s="37"/>
      <c r="H652" s="46">
        <v>46120.0</v>
      </c>
      <c r="I652" s="37" t="s">
        <v>1289</v>
      </c>
      <c r="J652" s="49">
        <v>140.0</v>
      </c>
      <c r="K652" s="49">
        <v>200.0</v>
      </c>
      <c r="L652" s="37" t="s">
        <v>58</v>
      </c>
      <c r="M652" s="37"/>
      <c r="N652" s="17"/>
      <c r="O652" s="1"/>
      <c r="P652" s="15"/>
      <c r="Q652" s="15"/>
      <c r="R652" s="1"/>
      <c r="S652" s="1"/>
    </row>
    <row r="653">
      <c r="A653" s="1"/>
      <c r="B653" s="3">
        <f t="shared" si="1"/>
        <v>649</v>
      </c>
      <c r="C653" s="31" t="s">
        <v>1397</v>
      </c>
      <c r="D653" s="37" t="s">
        <v>49</v>
      </c>
      <c r="E653" s="37" t="s">
        <v>1398</v>
      </c>
      <c r="F653" s="43" t="s">
        <v>1399</v>
      </c>
      <c r="G653" s="37"/>
      <c r="H653" s="46">
        <v>46120.0</v>
      </c>
      <c r="I653" s="37" t="s">
        <v>1289</v>
      </c>
      <c r="J653" s="49">
        <v>360.0</v>
      </c>
      <c r="K653" s="49">
        <v>400.0</v>
      </c>
      <c r="L653" s="37" t="s">
        <v>58</v>
      </c>
      <c r="M653" s="37"/>
      <c r="N653" s="17"/>
      <c r="O653" s="1"/>
      <c r="P653" s="15"/>
      <c r="Q653" s="15"/>
      <c r="R653" s="1"/>
      <c r="S653" s="1"/>
    </row>
    <row r="654">
      <c r="A654" s="1"/>
      <c r="B654" s="3">
        <f t="shared" si="1"/>
        <v>650</v>
      </c>
      <c r="C654" s="31" t="s">
        <v>1400</v>
      </c>
      <c r="D654" s="37" t="s">
        <v>159</v>
      </c>
      <c r="E654" s="37" t="s">
        <v>1285</v>
      </c>
      <c r="F654" s="37" t="s">
        <v>1401</v>
      </c>
      <c r="G654" s="37"/>
      <c r="H654" s="46">
        <v>46120.0</v>
      </c>
      <c r="I654" s="37" t="s">
        <v>1289</v>
      </c>
      <c r="J654" s="49" t="s">
        <v>1374</v>
      </c>
      <c r="K654" s="49" t="s">
        <v>1402</v>
      </c>
      <c r="L654" s="37" t="s">
        <v>58</v>
      </c>
      <c r="M654" s="37"/>
      <c r="N654" s="17"/>
      <c r="O654" s="1"/>
      <c r="P654" s="15"/>
      <c r="Q654" s="15"/>
      <c r="R654" s="1"/>
      <c r="S654" s="1"/>
    </row>
    <row r="655">
      <c r="A655" s="1"/>
      <c r="B655" s="3">
        <f t="shared" si="1"/>
        <v>651</v>
      </c>
      <c r="C655" s="31" t="s">
        <v>1403</v>
      </c>
      <c r="D655" s="37" t="s">
        <v>497</v>
      </c>
      <c r="E655" s="37" t="s">
        <v>1404</v>
      </c>
      <c r="F655" s="37" t="s">
        <v>1405</v>
      </c>
      <c r="G655" s="37"/>
      <c r="H655" s="46">
        <v>46120.0</v>
      </c>
      <c r="I655" s="37" t="s">
        <v>1206</v>
      </c>
      <c r="J655" s="49"/>
      <c r="K655" s="49" t="s">
        <v>1374</v>
      </c>
      <c r="L655" s="37" t="s">
        <v>58</v>
      </c>
      <c r="M655" s="37" t="s">
        <v>57</v>
      </c>
      <c r="N655" s="17" t="s">
        <v>39</v>
      </c>
      <c r="O655" s="126">
        <v>46122.0</v>
      </c>
      <c r="P655" s="15"/>
      <c r="Q655" s="15"/>
      <c r="R655" s="1"/>
      <c r="S655" s="1"/>
    </row>
    <row r="656">
      <c r="A656" s="1"/>
      <c r="B656" s="3">
        <f t="shared" si="1"/>
        <v>652</v>
      </c>
      <c r="C656" s="31" t="s">
        <v>1406</v>
      </c>
      <c r="D656" s="37"/>
      <c r="E656" s="1"/>
      <c r="F656" s="37" t="s">
        <v>1407</v>
      </c>
      <c r="G656" s="37"/>
      <c r="H656" s="46">
        <v>46120.0</v>
      </c>
      <c r="I656" s="37" t="s">
        <v>1206</v>
      </c>
      <c r="J656" s="49"/>
      <c r="K656" s="49" t="s">
        <v>1329</v>
      </c>
      <c r="L656" s="37" t="s">
        <v>189</v>
      </c>
      <c r="M656" s="37"/>
      <c r="N656" s="17"/>
      <c r="O656" s="1"/>
      <c r="P656" s="15"/>
      <c r="Q656" s="15"/>
      <c r="R656" s="1"/>
      <c r="S656" s="1"/>
    </row>
    <row r="657">
      <c r="A657" s="1"/>
      <c r="B657" s="3">
        <f t="shared" si="1"/>
        <v>653</v>
      </c>
      <c r="C657" s="31" t="s">
        <v>1408</v>
      </c>
      <c r="D657" s="37" t="s">
        <v>83</v>
      </c>
      <c r="E657" s="37" t="s">
        <v>600</v>
      </c>
      <c r="F657" s="43" t="s">
        <v>1409</v>
      </c>
      <c r="G657" s="37"/>
      <c r="H657" s="46">
        <v>46120.0</v>
      </c>
      <c r="I657" s="37" t="s">
        <v>1289</v>
      </c>
      <c r="J657" s="49"/>
      <c r="K657" s="49"/>
      <c r="L657" s="37" t="s">
        <v>189</v>
      </c>
      <c r="M657" s="37"/>
      <c r="N657" s="17"/>
      <c r="O657" s="1"/>
      <c r="P657" s="15"/>
      <c r="Q657" s="15"/>
      <c r="R657" s="1"/>
      <c r="S657" s="1"/>
    </row>
    <row r="658">
      <c r="A658" s="1"/>
      <c r="B658" s="3">
        <f t="shared" si="1"/>
        <v>654</v>
      </c>
      <c r="C658" s="31" t="s">
        <v>1410</v>
      </c>
      <c r="D658" s="37" t="s">
        <v>38</v>
      </c>
      <c r="E658" s="37" t="s">
        <v>600</v>
      </c>
      <c r="F658" s="37" t="s">
        <v>1411</v>
      </c>
      <c r="G658" s="37"/>
      <c r="H658" s="46">
        <v>46120.0</v>
      </c>
      <c r="I658" s="37" t="s">
        <v>1289</v>
      </c>
      <c r="J658" s="49">
        <v>400.0</v>
      </c>
      <c r="K658" s="49">
        <v>500.0</v>
      </c>
      <c r="L658" s="37" t="s">
        <v>189</v>
      </c>
      <c r="M658" s="37"/>
      <c r="N658" s="17"/>
      <c r="O658" s="1"/>
      <c r="P658" s="15"/>
      <c r="Q658" s="15"/>
      <c r="R658" s="1"/>
      <c r="S658" s="1"/>
    </row>
    <row r="659">
      <c r="A659" s="1"/>
      <c r="B659" s="3">
        <f t="shared" si="1"/>
        <v>655</v>
      </c>
      <c r="C659" s="31" t="s">
        <v>1412</v>
      </c>
      <c r="D659" s="37" t="s">
        <v>47</v>
      </c>
      <c r="E659" s="37" t="s">
        <v>1413</v>
      </c>
      <c r="F659" s="1"/>
      <c r="G659" s="37"/>
      <c r="H659" s="46">
        <v>46120.0</v>
      </c>
      <c r="I659" s="37" t="s">
        <v>1289</v>
      </c>
      <c r="J659" s="49">
        <v>320.0</v>
      </c>
      <c r="K659" s="49">
        <v>240.0</v>
      </c>
      <c r="L659" s="37" t="s">
        <v>189</v>
      </c>
      <c r="M659" s="37"/>
      <c r="N659" s="17"/>
      <c r="O659" s="1"/>
      <c r="P659" s="15"/>
      <c r="Q659" s="15"/>
      <c r="R659" s="1"/>
      <c r="S659" s="1"/>
    </row>
    <row r="660">
      <c r="A660" s="1"/>
      <c r="B660" s="3">
        <f t="shared" si="1"/>
        <v>656</v>
      </c>
      <c r="C660" s="31" t="s">
        <v>1414</v>
      </c>
      <c r="D660" s="37" t="s">
        <v>112</v>
      </c>
      <c r="E660" s="37" t="s">
        <v>1415</v>
      </c>
      <c r="F660" s="43" t="s">
        <v>1416</v>
      </c>
      <c r="G660" s="37"/>
      <c r="H660" s="46">
        <v>46120.0</v>
      </c>
      <c r="I660" s="37" t="s">
        <v>1289</v>
      </c>
      <c r="J660" s="49"/>
      <c r="K660" s="49"/>
      <c r="L660" s="37" t="s">
        <v>58</v>
      </c>
      <c r="M660" s="37"/>
      <c r="N660" s="17"/>
      <c r="O660" s="1"/>
      <c r="P660" s="15"/>
      <c r="Q660" s="15"/>
      <c r="R660" s="1"/>
      <c r="S660" s="1"/>
    </row>
    <row r="661">
      <c r="A661" s="1"/>
      <c r="B661" s="3">
        <f t="shared" si="1"/>
        <v>657</v>
      </c>
      <c r="C661" s="31" t="s">
        <v>1417</v>
      </c>
      <c r="D661" s="37"/>
      <c r="E661" s="1"/>
      <c r="F661" s="43" t="s">
        <v>1418</v>
      </c>
      <c r="G661" s="37"/>
      <c r="H661" s="46">
        <v>46120.0</v>
      </c>
      <c r="I661" s="37"/>
      <c r="J661" s="49"/>
      <c r="K661" s="49"/>
      <c r="L661" s="37" t="s">
        <v>58</v>
      </c>
      <c r="M661" s="37"/>
      <c r="N661" s="17"/>
      <c r="O661" s="1"/>
      <c r="P661" s="15"/>
      <c r="Q661" s="15"/>
      <c r="R661" s="1"/>
      <c r="S661" s="1"/>
    </row>
    <row r="662">
      <c r="A662" s="1"/>
      <c r="B662" s="3">
        <f t="shared" si="1"/>
        <v>658</v>
      </c>
      <c r="C662" s="31" t="s">
        <v>1419</v>
      </c>
      <c r="D662" s="37" t="s">
        <v>497</v>
      </c>
      <c r="E662" s="37" t="s">
        <v>1420</v>
      </c>
      <c r="F662" s="43" t="s">
        <v>1421</v>
      </c>
      <c r="G662" s="37"/>
      <c r="H662" s="46">
        <v>46120.0</v>
      </c>
      <c r="I662" s="37" t="s">
        <v>1052</v>
      </c>
      <c r="J662" s="49"/>
      <c r="K662" s="49" t="s">
        <v>1422</v>
      </c>
      <c r="L662" s="37" t="s">
        <v>58</v>
      </c>
      <c r="M662" s="37" t="s">
        <v>78</v>
      </c>
      <c r="N662" s="17"/>
      <c r="O662" s="1"/>
      <c r="P662" s="15"/>
      <c r="Q662" s="15"/>
      <c r="R662" s="1"/>
      <c r="S662" s="1"/>
    </row>
    <row r="663">
      <c r="A663" s="1"/>
      <c r="B663" s="3">
        <f t="shared" si="1"/>
        <v>659</v>
      </c>
      <c r="C663" s="31" t="s">
        <v>1423</v>
      </c>
      <c r="D663" s="37" t="s">
        <v>38</v>
      </c>
      <c r="E663" s="37" t="s">
        <v>1424</v>
      </c>
      <c r="F663" s="43" t="s">
        <v>1425</v>
      </c>
      <c r="G663" s="37"/>
      <c r="H663" s="46">
        <v>46120.0</v>
      </c>
      <c r="I663" s="37" t="s">
        <v>1289</v>
      </c>
      <c r="J663" s="49">
        <v>300.0</v>
      </c>
      <c r="K663" s="49">
        <v>250.0</v>
      </c>
      <c r="L663" s="37" t="s">
        <v>58</v>
      </c>
      <c r="M663" s="37" t="s">
        <v>45</v>
      </c>
      <c r="N663" s="17" t="s">
        <v>28</v>
      </c>
      <c r="O663" s="37" t="s">
        <v>1426</v>
      </c>
      <c r="P663" s="15"/>
      <c r="Q663" s="15"/>
      <c r="R663" s="1"/>
      <c r="S663" s="1"/>
    </row>
    <row r="664">
      <c r="A664" s="1"/>
      <c r="B664" s="3">
        <f t="shared" si="1"/>
        <v>660</v>
      </c>
      <c r="C664" s="31" t="s">
        <v>1427</v>
      </c>
      <c r="D664" s="37" t="s">
        <v>218</v>
      </c>
      <c r="E664" s="37" t="s">
        <v>1428</v>
      </c>
      <c r="F664" s="43" t="s">
        <v>1429</v>
      </c>
      <c r="G664" s="37"/>
      <c r="H664" s="46">
        <v>46120.0</v>
      </c>
      <c r="I664" s="37" t="s">
        <v>1052</v>
      </c>
      <c r="J664" s="49"/>
      <c r="K664" s="49" t="s">
        <v>1430</v>
      </c>
      <c r="L664" s="37" t="s">
        <v>58</v>
      </c>
      <c r="M664" s="37" t="s">
        <v>45</v>
      </c>
      <c r="N664" s="17" t="s">
        <v>39</v>
      </c>
      <c r="O664" s="1"/>
      <c r="P664" s="15"/>
      <c r="Q664" s="15"/>
      <c r="R664" s="1"/>
      <c r="S664" s="1"/>
    </row>
    <row r="665">
      <c r="A665" s="1"/>
      <c r="B665" s="3">
        <f t="shared" si="1"/>
        <v>661</v>
      </c>
      <c r="C665" s="31" t="s">
        <v>1431</v>
      </c>
      <c r="D665" s="37" t="s">
        <v>44</v>
      </c>
      <c r="E665" s="37" t="s">
        <v>1432</v>
      </c>
      <c r="F665" s="43" t="s">
        <v>1433</v>
      </c>
      <c r="G665" s="37"/>
      <c r="H665" s="46">
        <v>46120.0</v>
      </c>
      <c r="I665" s="37" t="s">
        <v>1206</v>
      </c>
      <c r="J665" s="49"/>
      <c r="K665" s="49" t="s">
        <v>1350</v>
      </c>
      <c r="L665" s="37" t="s">
        <v>58</v>
      </c>
      <c r="M665" s="37" t="s">
        <v>60</v>
      </c>
      <c r="N665" s="17" t="s">
        <v>39</v>
      </c>
      <c r="O665" s="1"/>
      <c r="P665" s="15"/>
      <c r="Q665" s="67" t="s">
        <v>1434</v>
      </c>
      <c r="R665" s="1"/>
      <c r="S665" s="1"/>
    </row>
    <row r="666">
      <c r="A666" s="1"/>
      <c r="B666" s="3">
        <f t="shared" si="1"/>
        <v>662</v>
      </c>
      <c r="C666" s="31" t="s">
        <v>1435</v>
      </c>
      <c r="D666" s="37" t="s">
        <v>497</v>
      </c>
      <c r="E666" s="37" t="s">
        <v>1424</v>
      </c>
      <c r="F666" s="43" t="s">
        <v>1436</v>
      </c>
      <c r="G666" s="37"/>
      <c r="H666" s="46">
        <v>46120.0</v>
      </c>
      <c r="I666" s="37" t="s">
        <v>1052</v>
      </c>
      <c r="J666" s="49">
        <v>350.0</v>
      </c>
      <c r="K666" s="49">
        <v>180.0</v>
      </c>
      <c r="L666" s="37" t="s">
        <v>58</v>
      </c>
      <c r="M666" s="37" t="s">
        <v>53</v>
      </c>
      <c r="N666" s="17" t="s">
        <v>28</v>
      </c>
      <c r="O666" s="125">
        <v>46121.0</v>
      </c>
      <c r="P666" s="15"/>
      <c r="Q666" s="15"/>
      <c r="R666" s="1"/>
      <c r="S666" s="1"/>
    </row>
    <row r="667">
      <c r="A667" s="1"/>
      <c r="B667" s="3">
        <f t="shared" si="1"/>
        <v>663</v>
      </c>
      <c r="C667" s="31" t="s">
        <v>1437</v>
      </c>
      <c r="D667" s="37" t="s">
        <v>112</v>
      </c>
      <c r="E667" s="37" t="s">
        <v>1438</v>
      </c>
      <c r="F667" s="43" t="s">
        <v>1439</v>
      </c>
      <c r="G667" s="37"/>
      <c r="H667" s="46">
        <v>46120.0</v>
      </c>
      <c r="I667" s="37" t="s">
        <v>1289</v>
      </c>
      <c r="J667" s="49">
        <v>320.0</v>
      </c>
      <c r="K667" s="49">
        <v>240.0</v>
      </c>
      <c r="L667" s="37" t="s">
        <v>58</v>
      </c>
      <c r="M667" s="37" t="s">
        <v>60</v>
      </c>
      <c r="N667" s="17" t="s">
        <v>28</v>
      </c>
      <c r="O667" s="125">
        <v>46122.0</v>
      </c>
      <c r="P667" s="15"/>
      <c r="Q667" s="15"/>
      <c r="R667" s="1"/>
      <c r="S667" s="1"/>
    </row>
    <row r="668">
      <c r="A668" s="1"/>
      <c r="B668" s="3">
        <f t="shared" si="1"/>
        <v>664</v>
      </c>
      <c r="C668" s="31" t="s">
        <v>1440</v>
      </c>
      <c r="D668" s="37" t="s">
        <v>49</v>
      </c>
      <c r="E668" s="37" t="s">
        <v>1441</v>
      </c>
      <c r="F668" s="43" t="s">
        <v>1442</v>
      </c>
      <c r="G668" s="37"/>
      <c r="H668" s="46">
        <v>46120.0</v>
      </c>
      <c r="I668" s="37" t="s">
        <v>1289</v>
      </c>
      <c r="J668" s="49">
        <v>300.0</v>
      </c>
      <c r="K668" s="49" t="s">
        <v>749</v>
      </c>
      <c r="L668" s="37" t="s">
        <v>58</v>
      </c>
      <c r="M668" s="37" t="s">
        <v>78</v>
      </c>
      <c r="N668" s="17"/>
      <c r="O668" s="1"/>
      <c r="P668" s="15"/>
      <c r="Q668" s="15"/>
      <c r="R668" s="1"/>
      <c r="S668" s="1"/>
    </row>
    <row r="669">
      <c r="A669" s="1"/>
      <c r="B669" s="3">
        <f t="shared" si="1"/>
        <v>665</v>
      </c>
      <c r="C669" s="31" t="s">
        <v>1443</v>
      </c>
      <c r="D669" s="37" t="s">
        <v>112</v>
      </c>
      <c r="E669" s="37" t="s">
        <v>1444</v>
      </c>
      <c r="F669" s="43" t="s">
        <v>1445</v>
      </c>
      <c r="G669" s="37"/>
      <c r="H669" s="46">
        <v>46120.0</v>
      </c>
      <c r="I669" s="37" t="s">
        <v>1289</v>
      </c>
      <c r="J669" s="49"/>
      <c r="K669" s="49"/>
      <c r="L669" s="37" t="s">
        <v>58</v>
      </c>
      <c r="M669" s="37"/>
      <c r="N669" s="17"/>
      <c r="O669" s="1"/>
      <c r="P669" s="15"/>
      <c r="Q669" s="15"/>
      <c r="R669" s="1"/>
      <c r="S669" s="1"/>
    </row>
    <row r="670">
      <c r="A670" s="1"/>
      <c r="B670" s="3">
        <f t="shared" si="1"/>
        <v>666</v>
      </c>
      <c r="C670" s="31" t="s">
        <v>1446</v>
      </c>
      <c r="D670" s="37" t="s">
        <v>112</v>
      </c>
      <c r="E670" s="37" t="s">
        <v>1438</v>
      </c>
      <c r="F670" s="43" t="s">
        <v>1447</v>
      </c>
      <c r="G670" s="37"/>
      <c r="H670" s="46">
        <v>46120.0</v>
      </c>
      <c r="I670" s="37" t="s">
        <v>1289</v>
      </c>
      <c r="J670" s="49">
        <v>200.0</v>
      </c>
      <c r="K670" s="49" t="s">
        <v>1256</v>
      </c>
      <c r="L670" s="37" t="s">
        <v>58</v>
      </c>
      <c r="M670" s="37"/>
      <c r="N670" s="17"/>
      <c r="O670" s="1"/>
      <c r="P670" s="15"/>
      <c r="Q670" s="15"/>
      <c r="R670" s="1"/>
      <c r="S670" s="1"/>
    </row>
    <row r="671">
      <c r="A671" s="1"/>
      <c r="B671" s="3">
        <f t="shared" si="1"/>
        <v>667</v>
      </c>
      <c r="C671" s="31" t="s">
        <v>1448</v>
      </c>
      <c r="D671" s="37" t="s">
        <v>44</v>
      </c>
      <c r="E671" s="37" t="s">
        <v>1449</v>
      </c>
      <c r="F671" s="43" t="s">
        <v>1450</v>
      </c>
      <c r="G671" s="37"/>
      <c r="H671" s="46">
        <v>46120.0</v>
      </c>
      <c r="I671" s="37" t="s">
        <v>1289</v>
      </c>
      <c r="J671" s="49"/>
      <c r="K671" s="49"/>
      <c r="L671" s="37" t="s">
        <v>58</v>
      </c>
      <c r="M671" s="37" t="s">
        <v>78</v>
      </c>
      <c r="N671" s="17" t="s">
        <v>28</v>
      </c>
      <c r="O671" s="125">
        <v>46121.0</v>
      </c>
      <c r="P671" s="15"/>
      <c r="Q671" s="15"/>
      <c r="R671" s="1"/>
      <c r="S671" s="1"/>
    </row>
    <row r="672">
      <c r="A672" s="1"/>
      <c r="B672" s="3">
        <f t="shared" si="1"/>
        <v>668</v>
      </c>
      <c r="C672" s="31" t="s">
        <v>1451</v>
      </c>
      <c r="D672" s="37" t="s">
        <v>56</v>
      </c>
      <c r="E672" s="37" t="s">
        <v>1452</v>
      </c>
      <c r="F672" s="43" t="s">
        <v>1453</v>
      </c>
      <c r="G672" s="37"/>
      <c r="H672" s="46">
        <v>46120.0</v>
      </c>
      <c r="I672" s="37" t="s">
        <v>1289</v>
      </c>
      <c r="J672" s="49"/>
      <c r="K672" s="49"/>
      <c r="L672" s="37" t="s">
        <v>58</v>
      </c>
      <c r="M672" s="37" t="s">
        <v>60</v>
      </c>
      <c r="N672" s="17" t="s">
        <v>28</v>
      </c>
      <c r="O672" s="125">
        <v>46122.0</v>
      </c>
      <c r="P672" s="15"/>
      <c r="Q672" s="15"/>
      <c r="R672" s="1"/>
      <c r="S672" s="1"/>
    </row>
    <row r="673">
      <c r="A673" s="1"/>
      <c r="B673" s="3">
        <f t="shared" si="1"/>
        <v>669</v>
      </c>
      <c r="C673" s="31" t="s">
        <v>1454</v>
      </c>
      <c r="D673" s="37" t="s">
        <v>44</v>
      </c>
      <c r="E673" s="37" t="s">
        <v>1455</v>
      </c>
      <c r="F673" s="43" t="s">
        <v>1456</v>
      </c>
      <c r="G673" s="37"/>
      <c r="H673" s="46">
        <v>46120.0</v>
      </c>
      <c r="I673" s="37" t="s">
        <v>1289</v>
      </c>
      <c r="J673" s="49">
        <v>100.0</v>
      </c>
      <c r="K673" s="49">
        <v>150.0</v>
      </c>
      <c r="L673" s="37" t="s">
        <v>58</v>
      </c>
      <c r="M673" s="37" t="s">
        <v>74</v>
      </c>
      <c r="N673" s="17" t="s">
        <v>28</v>
      </c>
      <c r="O673" s="125">
        <v>46122.0</v>
      </c>
      <c r="P673" s="15"/>
      <c r="Q673" s="67" t="s">
        <v>1457</v>
      </c>
      <c r="R673" s="1"/>
      <c r="S673" s="1"/>
    </row>
    <row r="674">
      <c r="A674" s="1"/>
      <c r="B674" s="3">
        <f t="shared" si="1"/>
        <v>670</v>
      </c>
      <c r="C674" s="31" t="s">
        <v>1458</v>
      </c>
      <c r="D674" s="37" t="s">
        <v>49</v>
      </c>
      <c r="E674" s="37" t="s">
        <v>1459</v>
      </c>
      <c r="F674" s="43" t="s">
        <v>1460</v>
      </c>
      <c r="G674" s="37"/>
      <c r="H674" s="46">
        <v>46120.0</v>
      </c>
      <c r="I674" s="37" t="s">
        <v>1289</v>
      </c>
      <c r="J674" s="49"/>
      <c r="K674" s="49" t="s">
        <v>1256</v>
      </c>
      <c r="L674" s="37" t="s">
        <v>58</v>
      </c>
      <c r="M674" s="37" t="s">
        <v>78</v>
      </c>
      <c r="N674" s="17"/>
      <c r="O674" s="1"/>
      <c r="P674" s="15"/>
      <c r="Q674" s="15"/>
      <c r="R674" s="1"/>
      <c r="S674" s="1"/>
    </row>
    <row r="675">
      <c r="A675" s="1"/>
      <c r="B675" s="3">
        <f t="shared" si="1"/>
        <v>671</v>
      </c>
      <c r="C675" s="31" t="s">
        <v>1461</v>
      </c>
      <c r="D675" s="37" t="s">
        <v>497</v>
      </c>
      <c r="E675" s="37" t="s">
        <v>1438</v>
      </c>
      <c r="F675" s="43" t="s">
        <v>1462</v>
      </c>
      <c r="G675" s="37"/>
      <c r="H675" s="46">
        <v>46120.0</v>
      </c>
      <c r="I675" s="37" t="s">
        <v>1289</v>
      </c>
      <c r="J675" s="49"/>
      <c r="K675" s="49">
        <v>120.0</v>
      </c>
      <c r="L675" s="37" t="s">
        <v>189</v>
      </c>
      <c r="M675" s="37"/>
      <c r="N675" s="17"/>
      <c r="O675" s="1"/>
      <c r="P675" s="15"/>
      <c r="Q675" s="15"/>
      <c r="R675" s="1"/>
      <c r="S675" s="1"/>
    </row>
    <row r="676">
      <c r="A676" s="1"/>
      <c r="B676" s="3">
        <f t="shared" si="1"/>
        <v>672</v>
      </c>
      <c r="C676" s="31" t="s">
        <v>1463</v>
      </c>
      <c r="D676" s="37" t="s">
        <v>44</v>
      </c>
      <c r="E676" s="37" t="s">
        <v>1464</v>
      </c>
      <c r="F676" s="43" t="s">
        <v>1465</v>
      </c>
      <c r="G676" s="37"/>
      <c r="H676" s="46">
        <v>46120.0</v>
      </c>
      <c r="I676" s="37" t="s">
        <v>1289</v>
      </c>
      <c r="J676" s="49"/>
      <c r="K676" s="49"/>
      <c r="L676" s="37" t="s">
        <v>58</v>
      </c>
      <c r="M676" s="37" t="s">
        <v>45</v>
      </c>
      <c r="N676" s="17" t="s">
        <v>39</v>
      </c>
      <c r="O676" s="1"/>
      <c r="P676" s="15"/>
      <c r="Q676" s="15"/>
      <c r="R676" s="1"/>
      <c r="S676" s="1"/>
    </row>
    <row r="677">
      <c r="A677" s="1"/>
      <c r="B677" s="3">
        <f t="shared" si="1"/>
        <v>673</v>
      </c>
      <c r="C677" s="31" t="s">
        <v>1466</v>
      </c>
      <c r="D677" s="37" t="s">
        <v>44</v>
      </c>
      <c r="E677" s="37" t="s">
        <v>1357</v>
      </c>
      <c r="F677" s="43" t="s">
        <v>1467</v>
      </c>
      <c r="G677" s="37"/>
      <c r="H677" s="46">
        <v>46121.0</v>
      </c>
      <c r="I677" s="37" t="s">
        <v>1289</v>
      </c>
      <c r="J677" s="49">
        <v>100.0</v>
      </c>
      <c r="K677" s="49">
        <v>300.0</v>
      </c>
      <c r="L677" s="37" t="s">
        <v>58</v>
      </c>
      <c r="M677" s="37" t="s">
        <v>60</v>
      </c>
      <c r="N677" s="17" t="s">
        <v>28</v>
      </c>
      <c r="O677" s="125">
        <v>46122.0</v>
      </c>
      <c r="P677" s="15"/>
      <c r="Q677" s="15"/>
      <c r="R677" s="1"/>
      <c r="S677" s="1"/>
    </row>
    <row r="678">
      <c r="A678" s="1"/>
      <c r="B678" s="3">
        <f t="shared" si="1"/>
        <v>674</v>
      </c>
      <c r="C678" s="31" t="s">
        <v>1468</v>
      </c>
      <c r="D678" s="37" t="s">
        <v>83</v>
      </c>
      <c r="E678" s="37" t="s">
        <v>1469</v>
      </c>
      <c r="F678" s="43" t="s">
        <v>1470</v>
      </c>
      <c r="G678" s="37"/>
      <c r="H678" s="46">
        <v>46121.0</v>
      </c>
      <c r="I678" s="37" t="s">
        <v>1052</v>
      </c>
      <c r="J678" s="49" t="s">
        <v>1337</v>
      </c>
      <c r="K678" s="49" t="s">
        <v>1471</v>
      </c>
      <c r="L678" s="37" t="s">
        <v>58</v>
      </c>
      <c r="M678" s="37" t="s">
        <v>73</v>
      </c>
      <c r="N678" s="17" t="s">
        <v>28</v>
      </c>
      <c r="O678" s="125">
        <v>46122.0</v>
      </c>
      <c r="P678" s="15"/>
      <c r="Q678" s="15"/>
      <c r="R678" s="1"/>
      <c r="S678" s="1"/>
    </row>
    <row r="679">
      <c r="A679" s="1"/>
      <c r="B679" s="3">
        <f t="shared" si="1"/>
        <v>675</v>
      </c>
      <c r="C679" s="31" t="s">
        <v>1472</v>
      </c>
      <c r="D679" s="37" t="s">
        <v>96</v>
      </c>
      <c r="E679" s="37" t="s">
        <v>1473</v>
      </c>
      <c r="F679" s="43" t="s">
        <v>1474</v>
      </c>
      <c r="G679" s="37"/>
      <c r="H679" s="46">
        <v>46120.0</v>
      </c>
      <c r="I679" s="37" t="s">
        <v>1289</v>
      </c>
      <c r="J679" s="49"/>
      <c r="K679" s="49">
        <v>600.0</v>
      </c>
      <c r="L679" s="37" t="s">
        <v>189</v>
      </c>
      <c r="M679" s="37"/>
      <c r="N679" s="17" t="s">
        <v>28</v>
      </c>
      <c r="O679" s="37" t="s">
        <v>1340</v>
      </c>
      <c r="P679" s="15"/>
      <c r="Q679" s="67" t="s">
        <v>1475</v>
      </c>
      <c r="R679" s="1"/>
      <c r="S679" s="1"/>
    </row>
    <row r="680">
      <c r="A680" s="1"/>
      <c r="B680" s="3">
        <f t="shared" si="1"/>
        <v>676</v>
      </c>
      <c r="C680" s="31" t="s">
        <v>1476</v>
      </c>
      <c r="D680" s="37"/>
      <c r="E680" s="37" t="s">
        <v>1477</v>
      </c>
      <c r="F680" s="43" t="s">
        <v>1478</v>
      </c>
      <c r="G680" s="37"/>
      <c r="H680" s="46">
        <v>46121.0</v>
      </c>
      <c r="I680" s="37" t="s">
        <v>1289</v>
      </c>
      <c r="J680" s="49" t="s">
        <v>1479</v>
      </c>
      <c r="K680" s="49" t="s">
        <v>1480</v>
      </c>
      <c r="L680" s="37" t="s">
        <v>189</v>
      </c>
      <c r="M680" s="37"/>
      <c r="N680" s="17"/>
      <c r="O680" s="1"/>
      <c r="P680" s="15"/>
      <c r="Q680" s="15"/>
      <c r="R680" s="1"/>
      <c r="S680" s="1"/>
    </row>
    <row r="681">
      <c r="A681" s="1"/>
      <c r="B681" s="3">
        <f t="shared" si="1"/>
        <v>677</v>
      </c>
      <c r="C681" s="31" t="s">
        <v>1481</v>
      </c>
      <c r="D681" s="37" t="s">
        <v>112</v>
      </c>
      <c r="E681" s="37" t="s">
        <v>218</v>
      </c>
      <c r="F681" s="43" t="s">
        <v>1482</v>
      </c>
      <c r="G681" s="37"/>
      <c r="H681" s="46">
        <v>46121.0</v>
      </c>
      <c r="I681" s="37" t="s">
        <v>1289</v>
      </c>
      <c r="J681" s="49" t="s">
        <v>1329</v>
      </c>
      <c r="K681" s="49" t="s">
        <v>1483</v>
      </c>
      <c r="L681" s="37" t="s">
        <v>189</v>
      </c>
      <c r="M681" s="37"/>
      <c r="N681" s="17"/>
      <c r="O681" s="1"/>
      <c r="P681" s="15"/>
      <c r="Q681" s="15"/>
      <c r="R681" s="1"/>
      <c r="S681" s="1"/>
    </row>
    <row r="682">
      <c r="A682" s="1"/>
      <c r="B682" s="3">
        <f t="shared" si="1"/>
        <v>678</v>
      </c>
      <c r="C682" s="31" t="s">
        <v>1484</v>
      </c>
      <c r="D682" s="37" t="s">
        <v>83</v>
      </c>
      <c r="E682" s="37" t="s">
        <v>1485</v>
      </c>
      <c r="F682" s="43" t="s">
        <v>1486</v>
      </c>
      <c r="G682" s="37"/>
      <c r="H682" s="46">
        <v>46121.0</v>
      </c>
      <c r="I682" s="37" t="s">
        <v>1052</v>
      </c>
      <c r="J682" s="49" t="s">
        <v>1329</v>
      </c>
      <c r="K682" s="49" t="s">
        <v>1483</v>
      </c>
      <c r="L682" s="37" t="s">
        <v>58</v>
      </c>
      <c r="M682" s="37" t="s">
        <v>70</v>
      </c>
      <c r="N682" s="17" t="s">
        <v>28</v>
      </c>
      <c r="O682" s="125">
        <v>46122.0</v>
      </c>
      <c r="P682" s="15"/>
      <c r="Q682" s="15"/>
      <c r="R682" s="1"/>
      <c r="S682" s="1"/>
    </row>
    <row r="683">
      <c r="A683" s="1"/>
      <c r="B683" s="3">
        <f t="shared" si="1"/>
        <v>679</v>
      </c>
      <c r="C683" s="31" t="s">
        <v>1487</v>
      </c>
      <c r="D683" s="37" t="s">
        <v>44</v>
      </c>
      <c r="E683" s="37" t="s">
        <v>1488</v>
      </c>
      <c r="F683" s="43" t="s">
        <v>1489</v>
      </c>
      <c r="G683" s="37"/>
      <c r="H683" s="46">
        <v>46121.0</v>
      </c>
      <c r="I683" s="37" t="s">
        <v>1289</v>
      </c>
      <c r="J683" s="49">
        <v>200.0</v>
      </c>
      <c r="K683" s="49">
        <v>300.0</v>
      </c>
      <c r="L683" s="37" t="s">
        <v>58</v>
      </c>
      <c r="M683" s="37"/>
      <c r="N683" s="17"/>
      <c r="O683" s="1"/>
      <c r="P683" s="15"/>
      <c r="Q683" s="15"/>
      <c r="R683" s="1"/>
      <c r="S683" s="1"/>
    </row>
    <row r="684">
      <c r="A684" s="1"/>
      <c r="B684" s="3">
        <f t="shared" si="1"/>
        <v>680</v>
      </c>
      <c r="C684" s="31" t="s">
        <v>1490</v>
      </c>
      <c r="D684" s="37" t="s">
        <v>44</v>
      </c>
      <c r="E684" s="37" t="s">
        <v>1438</v>
      </c>
      <c r="F684" s="43" t="s">
        <v>1491</v>
      </c>
      <c r="G684" s="37"/>
      <c r="H684" s="46">
        <v>46121.0</v>
      </c>
      <c r="I684" s="37" t="s">
        <v>1289</v>
      </c>
      <c r="J684" s="49"/>
      <c r="K684" s="49"/>
      <c r="L684" s="37" t="s">
        <v>58</v>
      </c>
      <c r="M684" s="37"/>
      <c r="N684" s="17"/>
      <c r="O684" s="1"/>
      <c r="P684" s="15"/>
      <c r="Q684" s="15"/>
      <c r="R684" s="1"/>
      <c r="S684" s="1"/>
    </row>
    <row r="685">
      <c r="A685" s="1"/>
      <c r="B685" s="3">
        <f t="shared" si="1"/>
        <v>681</v>
      </c>
      <c r="C685" s="31" t="s">
        <v>1492</v>
      </c>
      <c r="D685" s="37" t="s">
        <v>44</v>
      </c>
      <c r="E685" s="37" t="s">
        <v>1493</v>
      </c>
      <c r="F685" s="43" t="s">
        <v>1494</v>
      </c>
      <c r="G685" s="37"/>
      <c r="H685" s="46">
        <v>46121.0</v>
      </c>
      <c r="I685" s="37" t="s">
        <v>1289</v>
      </c>
      <c r="J685" s="49" t="s">
        <v>1495</v>
      </c>
      <c r="K685" s="49" t="s">
        <v>1325</v>
      </c>
      <c r="L685" s="37" t="s">
        <v>189</v>
      </c>
      <c r="M685" s="37"/>
      <c r="N685" s="17"/>
      <c r="O685" s="1"/>
      <c r="P685" s="15"/>
      <c r="Q685" s="15"/>
      <c r="R685" s="1"/>
      <c r="S685" s="1"/>
    </row>
    <row r="686">
      <c r="A686" s="1"/>
      <c r="B686" s="3">
        <f t="shared" si="1"/>
        <v>682</v>
      </c>
      <c r="C686" s="31" t="s">
        <v>1496</v>
      </c>
      <c r="D686" s="37" t="s">
        <v>83</v>
      </c>
      <c r="E686" s="37" t="s">
        <v>1497</v>
      </c>
      <c r="F686" s="43" t="s">
        <v>1498</v>
      </c>
      <c r="G686" s="37"/>
      <c r="H686" s="46">
        <v>46121.0</v>
      </c>
      <c r="I686" s="37" t="s">
        <v>1289</v>
      </c>
      <c r="J686" s="49" t="s">
        <v>1325</v>
      </c>
      <c r="K686" s="49" t="s">
        <v>1480</v>
      </c>
      <c r="L686" s="37" t="s">
        <v>189</v>
      </c>
      <c r="M686" s="37"/>
      <c r="N686" s="17"/>
      <c r="O686" s="1"/>
      <c r="P686" s="15"/>
      <c r="Q686" s="15"/>
      <c r="R686" s="1"/>
      <c r="S686" s="1"/>
    </row>
    <row r="687">
      <c r="A687" s="1"/>
      <c r="B687" s="3">
        <f t="shared" si="1"/>
        <v>683</v>
      </c>
      <c r="C687" s="31" t="s">
        <v>1499</v>
      </c>
      <c r="D687" s="37" t="s">
        <v>112</v>
      </c>
      <c r="E687" s="37" t="s">
        <v>1500</v>
      </c>
      <c r="F687" s="43" t="s">
        <v>1501</v>
      </c>
      <c r="G687" s="37"/>
      <c r="H687" s="46">
        <v>46121.0</v>
      </c>
      <c r="I687" s="37" t="s">
        <v>1052</v>
      </c>
      <c r="J687" s="17" t="s">
        <v>1502</v>
      </c>
      <c r="K687" s="3"/>
      <c r="L687" s="37" t="s">
        <v>58</v>
      </c>
      <c r="M687" s="37"/>
      <c r="N687" s="17"/>
      <c r="O687" s="1"/>
      <c r="P687" s="15"/>
      <c r="Q687" s="67" t="s">
        <v>1503</v>
      </c>
      <c r="R687" s="1"/>
      <c r="S687" s="1"/>
    </row>
    <row r="688">
      <c r="A688" s="1"/>
      <c r="B688" s="3">
        <f t="shared" si="1"/>
        <v>684</v>
      </c>
      <c r="C688" s="31" t="s">
        <v>1504</v>
      </c>
      <c r="D688" s="37" t="s">
        <v>1505</v>
      </c>
      <c r="E688" s="37" t="s">
        <v>1506</v>
      </c>
      <c r="F688" s="43" t="s">
        <v>1507</v>
      </c>
      <c r="G688" s="37"/>
      <c r="H688" s="46">
        <v>46121.0</v>
      </c>
      <c r="I688" s="37" t="s">
        <v>1289</v>
      </c>
      <c r="J688" s="17" t="s">
        <v>1325</v>
      </c>
      <c r="K688" s="17" t="s">
        <v>1325</v>
      </c>
      <c r="L688" s="37" t="s">
        <v>58</v>
      </c>
      <c r="M688" s="37"/>
      <c r="N688" s="17"/>
      <c r="O688" s="1"/>
      <c r="P688" s="15"/>
      <c r="Q688" s="15"/>
      <c r="R688" s="1"/>
      <c r="S688" s="1"/>
    </row>
    <row r="689">
      <c r="A689" s="1"/>
      <c r="B689" s="3">
        <f t="shared" si="1"/>
        <v>685</v>
      </c>
      <c r="C689" s="31" t="s">
        <v>1508</v>
      </c>
      <c r="D689" s="37" t="s">
        <v>44</v>
      </c>
      <c r="E689" s="37" t="s">
        <v>1390</v>
      </c>
      <c r="F689" s="43" t="s">
        <v>1509</v>
      </c>
      <c r="G689" s="37"/>
      <c r="H689" s="46">
        <v>46121.0</v>
      </c>
      <c r="I689" s="37" t="s">
        <v>1289</v>
      </c>
      <c r="J689" s="17"/>
      <c r="K689" s="17" t="s">
        <v>1337</v>
      </c>
      <c r="L689" s="37" t="s">
        <v>58</v>
      </c>
      <c r="M689" s="37"/>
      <c r="N689" s="17"/>
      <c r="O689" s="1"/>
      <c r="P689" s="15"/>
      <c r="Q689" s="15"/>
      <c r="R689" s="1"/>
      <c r="S689" s="1"/>
    </row>
    <row r="690">
      <c r="A690" s="1"/>
      <c r="B690" s="3">
        <f t="shared" si="1"/>
        <v>686</v>
      </c>
      <c r="C690" s="31" t="s">
        <v>1510</v>
      </c>
      <c r="D690" s="37" t="s">
        <v>1511</v>
      </c>
      <c r="E690" s="37" t="s">
        <v>1512</v>
      </c>
      <c r="F690" s="43" t="s">
        <v>1513</v>
      </c>
      <c r="G690" s="37"/>
      <c r="H690" s="46">
        <v>46122.0</v>
      </c>
      <c r="I690" s="37" t="s">
        <v>77</v>
      </c>
      <c r="J690" s="17" t="s">
        <v>1514</v>
      </c>
      <c r="K690" s="3"/>
      <c r="L690" s="37" t="s">
        <v>58</v>
      </c>
      <c r="M690" s="37"/>
      <c r="N690" s="17"/>
      <c r="O690" s="1"/>
      <c r="P690" s="15"/>
      <c r="Q690" s="15"/>
      <c r="R690" s="1"/>
      <c r="S690" s="1"/>
    </row>
    <row r="691">
      <c r="A691" s="1"/>
      <c r="B691" s="3">
        <f t="shared" si="1"/>
        <v>687</v>
      </c>
      <c r="C691" s="31" t="s">
        <v>1515</v>
      </c>
      <c r="D691" s="37" t="s">
        <v>38</v>
      </c>
      <c r="E691" s="37" t="s">
        <v>1516</v>
      </c>
      <c r="F691" s="43" t="s">
        <v>1517</v>
      </c>
      <c r="G691" s="37"/>
      <c r="H691" s="46">
        <v>46122.0</v>
      </c>
      <c r="I691" s="37" t="s">
        <v>1289</v>
      </c>
      <c r="J691" s="17" t="s">
        <v>1518</v>
      </c>
      <c r="K691" s="17" t="s">
        <v>1374</v>
      </c>
      <c r="L691" s="37" t="s">
        <v>58</v>
      </c>
      <c r="M691" s="37"/>
      <c r="N691" s="17"/>
      <c r="O691" s="1"/>
      <c r="P691" s="15"/>
      <c r="Q691" s="15"/>
      <c r="R691" s="1"/>
      <c r="S691" s="1"/>
    </row>
    <row r="692">
      <c r="A692" s="1"/>
      <c r="B692" s="3">
        <f t="shared" si="1"/>
        <v>688</v>
      </c>
      <c r="C692" s="31" t="s">
        <v>1519</v>
      </c>
      <c r="D692" s="37" t="s">
        <v>47</v>
      </c>
      <c r="E692" s="37" t="s">
        <v>1520</v>
      </c>
      <c r="F692" s="43" t="s">
        <v>1521</v>
      </c>
      <c r="G692" s="37"/>
      <c r="H692" s="46">
        <v>46122.0</v>
      </c>
      <c r="I692" s="37" t="s">
        <v>1289</v>
      </c>
      <c r="J692" s="17" t="s">
        <v>1374</v>
      </c>
      <c r="K692" s="17" t="s">
        <v>1518</v>
      </c>
      <c r="L692" s="37" t="s">
        <v>58</v>
      </c>
      <c r="M692" s="37"/>
      <c r="N692" s="17"/>
      <c r="O692" s="1"/>
      <c r="P692" s="15"/>
      <c r="Q692" s="15"/>
      <c r="R692" s="1"/>
      <c r="S692" s="1"/>
    </row>
    <row r="693">
      <c r="A693" s="1"/>
      <c r="B693" s="3">
        <f t="shared" si="1"/>
        <v>689</v>
      </c>
      <c r="C693" s="31" t="s">
        <v>1522</v>
      </c>
      <c r="D693" s="37" t="s">
        <v>49</v>
      </c>
      <c r="E693" s="37" t="s">
        <v>1523</v>
      </c>
      <c r="F693" s="43" t="s">
        <v>1524</v>
      </c>
      <c r="G693" s="37"/>
      <c r="H693" s="46">
        <v>46122.0</v>
      </c>
      <c r="I693" s="37" t="s">
        <v>1289</v>
      </c>
      <c r="J693" s="17" t="s">
        <v>1525</v>
      </c>
      <c r="K693" s="3"/>
      <c r="L693" s="37" t="s">
        <v>58</v>
      </c>
      <c r="M693" s="37" t="s">
        <v>53</v>
      </c>
      <c r="N693" s="17" t="s">
        <v>28</v>
      </c>
      <c r="O693" s="125">
        <v>46122.0</v>
      </c>
      <c r="P693" s="15"/>
      <c r="Q693" s="15"/>
      <c r="R693" s="1"/>
      <c r="S693" s="1"/>
    </row>
    <row r="694">
      <c r="A694" s="1"/>
      <c r="B694" s="3">
        <f t="shared" si="1"/>
        <v>690</v>
      </c>
      <c r="C694" s="31" t="s">
        <v>1526</v>
      </c>
      <c r="D694" s="37" t="s">
        <v>159</v>
      </c>
      <c r="E694" s="37" t="s">
        <v>1527</v>
      </c>
      <c r="F694" s="43" t="s">
        <v>1528</v>
      </c>
      <c r="G694" s="37"/>
      <c r="H694" s="46">
        <v>46122.0</v>
      </c>
      <c r="I694" s="37" t="s">
        <v>1289</v>
      </c>
      <c r="J694" s="3"/>
      <c r="K694" s="3"/>
      <c r="L694" s="37" t="s">
        <v>189</v>
      </c>
      <c r="M694" s="37"/>
      <c r="N694" s="17"/>
      <c r="O694" s="1"/>
      <c r="P694" s="15"/>
      <c r="Q694" s="15"/>
      <c r="R694" s="1"/>
      <c r="S694" s="1"/>
    </row>
    <row r="695">
      <c r="A695" s="1"/>
      <c r="B695" s="3">
        <f t="shared" si="1"/>
        <v>691</v>
      </c>
      <c r="C695" s="31" t="s">
        <v>1529</v>
      </c>
      <c r="D695" s="37" t="s">
        <v>116</v>
      </c>
      <c r="E695" s="37" t="s">
        <v>1530</v>
      </c>
      <c r="F695" s="43" t="s">
        <v>1531</v>
      </c>
      <c r="G695" s="37"/>
      <c r="H695" s="46">
        <v>46122.0</v>
      </c>
      <c r="I695" s="37" t="s">
        <v>1289</v>
      </c>
      <c r="J695" s="3"/>
      <c r="K695" s="3"/>
      <c r="L695" s="37" t="s">
        <v>58</v>
      </c>
      <c r="M695" s="37"/>
      <c r="N695" s="17"/>
      <c r="O695" s="1"/>
      <c r="P695" s="15"/>
      <c r="Q695" s="15"/>
      <c r="R695" s="1"/>
      <c r="S695" s="1"/>
    </row>
    <row r="696">
      <c r="A696" s="1"/>
      <c r="B696" s="3">
        <f t="shared" si="1"/>
        <v>692</v>
      </c>
      <c r="C696" s="31" t="s">
        <v>1532</v>
      </c>
      <c r="D696" s="37" t="s">
        <v>96</v>
      </c>
      <c r="E696" s="37" t="s">
        <v>1533</v>
      </c>
      <c r="F696" s="127" t="s">
        <v>1531</v>
      </c>
      <c r="G696" s="37"/>
      <c r="H696" s="46">
        <v>46127.0</v>
      </c>
      <c r="I696" s="37" t="s">
        <v>77</v>
      </c>
      <c r="J696" s="17">
        <v>350.0</v>
      </c>
      <c r="K696" s="17">
        <v>350.0</v>
      </c>
      <c r="L696" s="37" t="s">
        <v>58</v>
      </c>
      <c r="M696" s="37"/>
      <c r="N696" s="17"/>
      <c r="O696" s="1"/>
      <c r="P696" s="15"/>
      <c r="Q696" s="15"/>
      <c r="R696" s="1"/>
      <c r="S696" s="1"/>
    </row>
    <row r="697">
      <c r="A697" s="1"/>
      <c r="B697" s="3">
        <f t="shared" si="1"/>
        <v>693</v>
      </c>
      <c r="C697" s="31" t="s">
        <v>1534</v>
      </c>
      <c r="D697" s="37" t="s">
        <v>56</v>
      </c>
      <c r="E697" s="37" t="s">
        <v>1535</v>
      </c>
      <c r="F697" s="1"/>
      <c r="G697" s="37"/>
      <c r="H697" s="46">
        <v>46127.0</v>
      </c>
      <c r="I697" s="37" t="s">
        <v>1289</v>
      </c>
      <c r="J697" s="17">
        <v>230.0</v>
      </c>
      <c r="K697" s="17">
        <v>200.0</v>
      </c>
      <c r="L697" s="37" t="s">
        <v>58</v>
      </c>
      <c r="M697" s="37"/>
      <c r="N697" s="17"/>
      <c r="O697" s="1"/>
      <c r="P697" s="15"/>
      <c r="Q697" s="15"/>
      <c r="R697" s="1"/>
      <c r="S697" s="1"/>
    </row>
    <row r="698">
      <c r="A698" s="1"/>
      <c r="B698" s="3">
        <f t="shared" si="1"/>
        <v>694</v>
      </c>
      <c r="C698" s="31" t="s">
        <v>1536</v>
      </c>
      <c r="D698" s="37" t="s">
        <v>96</v>
      </c>
      <c r="E698" s="37" t="s">
        <v>1533</v>
      </c>
      <c r="F698" s="1"/>
      <c r="G698" s="37"/>
      <c r="H698" s="46">
        <v>46127.0</v>
      </c>
      <c r="I698" s="37" t="s">
        <v>77</v>
      </c>
      <c r="J698" s="3"/>
      <c r="K698" s="3"/>
      <c r="L698" s="37" t="s">
        <v>58</v>
      </c>
      <c r="M698" s="37"/>
      <c r="N698" s="17"/>
      <c r="O698" s="1"/>
      <c r="P698" s="15"/>
      <c r="Q698" s="15"/>
      <c r="R698" s="1"/>
      <c r="S698" s="1"/>
    </row>
    <row r="699">
      <c r="A699" s="1"/>
      <c r="B699" s="3">
        <f t="shared" si="1"/>
        <v>695</v>
      </c>
      <c r="C699" s="31" t="s">
        <v>1537</v>
      </c>
      <c r="D699" s="37" t="s">
        <v>96</v>
      </c>
      <c r="E699" s="37" t="s">
        <v>1393</v>
      </c>
      <c r="F699" s="1"/>
      <c r="G699" s="37"/>
      <c r="H699" s="46">
        <v>46127.0</v>
      </c>
      <c r="I699" s="37" t="s">
        <v>1289</v>
      </c>
      <c r="J699" s="17">
        <v>460.0</v>
      </c>
      <c r="K699" s="17">
        <v>400.0</v>
      </c>
      <c r="L699" s="37" t="s">
        <v>189</v>
      </c>
      <c r="M699" s="37"/>
      <c r="N699" s="17"/>
      <c r="O699" s="1"/>
      <c r="P699" s="15"/>
      <c r="Q699" s="15"/>
      <c r="R699" s="1"/>
      <c r="S699" s="1"/>
    </row>
    <row r="700">
      <c r="A700" s="1"/>
      <c r="B700" s="3">
        <f t="shared" si="1"/>
        <v>696</v>
      </c>
      <c r="C700" s="31" t="s">
        <v>1538</v>
      </c>
      <c r="D700" s="37" t="s">
        <v>186</v>
      </c>
      <c r="E700" s="37" t="s">
        <v>1539</v>
      </c>
      <c r="F700" s="1"/>
      <c r="G700" s="37"/>
      <c r="H700" s="17" t="s">
        <v>1540</v>
      </c>
      <c r="I700" s="37" t="s">
        <v>1289</v>
      </c>
      <c r="J700" s="17">
        <v>450.0</v>
      </c>
      <c r="K700" s="17" t="s">
        <v>1256</v>
      </c>
      <c r="L700" s="37" t="s">
        <v>58</v>
      </c>
      <c r="M700" s="37"/>
      <c r="N700" s="17"/>
      <c r="O700" s="1"/>
      <c r="P700" s="15"/>
      <c r="Q700" s="15"/>
      <c r="R700" s="1"/>
      <c r="S700" s="1"/>
    </row>
    <row r="701">
      <c r="A701" s="1"/>
      <c r="B701" s="3">
        <f t="shared" si="1"/>
        <v>697</v>
      </c>
      <c r="C701" s="31" t="s">
        <v>1541</v>
      </c>
      <c r="D701" s="37" t="s">
        <v>83</v>
      </c>
      <c r="E701" s="37" t="s">
        <v>1459</v>
      </c>
      <c r="F701" s="1"/>
      <c r="G701" s="37"/>
      <c r="H701" s="17" t="s">
        <v>1540</v>
      </c>
      <c r="I701" s="37" t="s">
        <v>1289</v>
      </c>
      <c r="J701" s="3"/>
      <c r="K701" s="17" t="s">
        <v>1542</v>
      </c>
      <c r="L701" s="37" t="s">
        <v>58</v>
      </c>
      <c r="M701" s="37" t="s">
        <v>73</v>
      </c>
      <c r="N701" s="17"/>
      <c r="O701" s="1"/>
      <c r="P701" s="15"/>
      <c r="Q701" s="15"/>
      <c r="R701" s="1"/>
      <c r="S701" s="1"/>
    </row>
    <row r="702">
      <c r="A702" s="1"/>
      <c r="B702" s="3">
        <f t="shared" si="1"/>
        <v>698</v>
      </c>
      <c r="C702" s="31" t="s">
        <v>1543</v>
      </c>
      <c r="D702" s="37" t="s">
        <v>49</v>
      </c>
      <c r="E702" s="37" t="s">
        <v>1530</v>
      </c>
      <c r="F702" s="1"/>
      <c r="G702" s="37"/>
      <c r="H702" s="17" t="s">
        <v>1540</v>
      </c>
      <c r="I702" s="37" t="s">
        <v>1289</v>
      </c>
      <c r="J702" s="17" t="s">
        <v>860</v>
      </c>
      <c r="K702" s="17" t="s">
        <v>1544</v>
      </c>
      <c r="L702" s="37" t="s">
        <v>58</v>
      </c>
      <c r="M702" s="37"/>
      <c r="N702" s="17"/>
      <c r="O702" s="1"/>
      <c r="P702" s="15"/>
      <c r="Q702" s="15"/>
      <c r="R702" s="1"/>
      <c r="S702" s="1"/>
    </row>
    <row r="703">
      <c r="A703" s="1"/>
      <c r="B703" s="3">
        <f t="shared" si="1"/>
        <v>699</v>
      </c>
      <c r="C703" s="31" t="s">
        <v>1545</v>
      </c>
      <c r="D703" s="37" t="s">
        <v>116</v>
      </c>
      <c r="E703" s="37" t="s">
        <v>1477</v>
      </c>
      <c r="F703" s="1"/>
      <c r="G703" s="37"/>
      <c r="H703" s="17" t="s">
        <v>1540</v>
      </c>
      <c r="I703" s="37" t="s">
        <v>1289</v>
      </c>
      <c r="J703" s="3"/>
      <c r="K703" s="17" t="s">
        <v>860</v>
      </c>
      <c r="L703" s="37" t="s">
        <v>189</v>
      </c>
      <c r="M703" s="37"/>
      <c r="N703" s="17"/>
      <c r="O703" s="1"/>
      <c r="P703" s="15"/>
      <c r="Q703" s="15"/>
      <c r="R703" s="1"/>
      <c r="S703" s="1"/>
    </row>
    <row r="704">
      <c r="A704" s="1"/>
      <c r="B704" s="3">
        <f t="shared" si="1"/>
        <v>700</v>
      </c>
      <c r="C704" s="31" t="s">
        <v>1546</v>
      </c>
      <c r="D704" s="37" t="s">
        <v>44</v>
      </c>
      <c r="E704" s="37" t="s">
        <v>1535</v>
      </c>
      <c r="F704" s="1"/>
      <c r="G704" s="37"/>
      <c r="H704" s="17" t="s">
        <v>1540</v>
      </c>
      <c r="I704" s="37" t="s">
        <v>77</v>
      </c>
      <c r="J704" s="3"/>
      <c r="K704" s="3"/>
      <c r="L704" s="37" t="s">
        <v>189</v>
      </c>
      <c r="M704" s="37"/>
      <c r="N704" s="17"/>
      <c r="O704" s="1"/>
      <c r="P704" s="15"/>
      <c r="Q704" s="15"/>
      <c r="R704" s="1"/>
      <c r="S704" s="1"/>
    </row>
    <row r="705">
      <c r="A705" s="1"/>
      <c r="B705" s="3">
        <f t="shared" si="1"/>
        <v>701</v>
      </c>
      <c r="C705" s="31" t="s">
        <v>1547</v>
      </c>
      <c r="D705" s="37" t="s">
        <v>44</v>
      </c>
      <c r="E705" s="37" t="s">
        <v>1438</v>
      </c>
      <c r="F705" s="1"/>
      <c r="G705" s="37"/>
      <c r="H705" s="17" t="s">
        <v>1540</v>
      </c>
      <c r="I705" s="37" t="s">
        <v>77</v>
      </c>
      <c r="J705" s="3"/>
      <c r="K705" s="3"/>
      <c r="L705" s="37" t="s">
        <v>189</v>
      </c>
      <c r="M705" s="37"/>
      <c r="N705" s="17"/>
      <c r="O705" s="1"/>
      <c r="P705" s="15"/>
      <c r="Q705" s="15"/>
      <c r="R705" s="1"/>
      <c r="S705" s="1"/>
    </row>
    <row r="706">
      <c r="A706" s="1"/>
      <c r="B706" s="3">
        <f t="shared" si="1"/>
        <v>702</v>
      </c>
      <c r="C706" s="31" t="s">
        <v>1548</v>
      </c>
      <c r="D706" s="37" t="s">
        <v>56</v>
      </c>
      <c r="E706" s="37" t="s">
        <v>1535</v>
      </c>
      <c r="F706" s="1"/>
      <c r="G706" s="37"/>
      <c r="H706" s="17" t="s">
        <v>1540</v>
      </c>
      <c r="I706" s="37" t="s">
        <v>77</v>
      </c>
      <c r="J706" s="3"/>
      <c r="K706" s="3"/>
      <c r="L706" s="37" t="s">
        <v>189</v>
      </c>
      <c r="M706" s="37"/>
      <c r="N706" s="17"/>
      <c r="O706" s="1"/>
      <c r="P706" s="15"/>
      <c r="Q706" s="15"/>
      <c r="R706" s="1"/>
      <c r="S706" s="1"/>
    </row>
    <row r="707">
      <c r="A707" s="1"/>
      <c r="B707" s="3">
        <f t="shared" si="1"/>
        <v>703</v>
      </c>
      <c r="C707" s="31" t="s">
        <v>1549</v>
      </c>
      <c r="D707" s="37" t="s">
        <v>83</v>
      </c>
      <c r="E707" s="37" t="s">
        <v>1550</v>
      </c>
      <c r="F707" s="1"/>
      <c r="G707" s="37"/>
      <c r="H707" s="17" t="s">
        <v>1540</v>
      </c>
      <c r="I707" s="37" t="s">
        <v>1289</v>
      </c>
      <c r="J707" s="17">
        <v>400.0</v>
      </c>
      <c r="K707" s="17" t="s">
        <v>1544</v>
      </c>
      <c r="L707" s="37" t="s">
        <v>189</v>
      </c>
      <c r="M707" s="37"/>
      <c r="N707" s="17"/>
      <c r="O707" s="1"/>
      <c r="P707" s="15"/>
      <c r="Q707" s="15"/>
      <c r="R707" s="1"/>
      <c r="S707" s="1"/>
    </row>
    <row r="708">
      <c r="A708" s="1"/>
      <c r="B708" s="3">
        <f t="shared" si="1"/>
        <v>704</v>
      </c>
      <c r="C708" s="31" t="s">
        <v>1551</v>
      </c>
      <c r="D708" s="37" t="s">
        <v>56</v>
      </c>
      <c r="E708" s="37" t="s">
        <v>1535</v>
      </c>
      <c r="F708" s="1"/>
      <c r="G708" s="37"/>
      <c r="H708" s="17" t="s">
        <v>1540</v>
      </c>
      <c r="I708" s="37" t="s">
        <v>1289</v>
      </c>
      <c r="J708" s="17">
        <v>250.0</v>
      </c>
      <c r="K708" s="17" t="s">
        <v>1256</v>
      </c>
      <c r="L708" s="37" t="s">
        <v>189</v>
      </c>
      <c r="M708" s="37"/>
      <c r="N708" s="17"/>
      <c r="O708" s="1"/>
      <c r="P708" s="15"/>
      <c r="Q708" s="15"/>
      <c r="R708" s="1"/>
      <c r="S708" s="1"/>
    </row>
    <row r="709">
      <c r="A709" s="1"/>
      <c r="B709" s="3">
        <f t="shared" si="1"/>
        <v>705</v>
      </c>
      <c r="C709" s="31" t="s">
        <v>1552</v>
      </c>
      <c r="D709" s="37" t="s">
        <v>159</v>
      </c>
      <c r="E709" s="37" t="s">
        <v>1300</v>
      </c>
      <c r="F709" s="1"/>
      <c r="G709" s="37"/>
      <c r="H709" s="17" t="s">
        <v>1540</v>
      </c>
      <c r="I709" s="37" t="s">
        <v>1289</v>
      </c>
      <c r="J709" s="17">
        <v>300.0</v>
      </c>
      <c r="K709" s="17">
        <v>250.0</v>
      </c>
      <c r="L709" s="37" t="s">
        <v>189</v>
      </c>
      <c r="M709" s="37"/>
      <c r="N709" s="17"/>
      <c r="O709" s="1"/>
      <c r="P709" s="15"/>
      <c r="Q709" s="15"/>
      <c r="R709" s="1"/>
      <c r="S709" s="1"/>
    </row>
    <row r="710">
      <c r="A710" s="1"/>
      <c r="B710" s="3">
        <f t="shared" si="1"/>
        <v>706</v>
      </c>
      <c r="C710" s="31" t="s">
        <v>1553</v>
      </c>
      <c r="D710" s="37" t="s">
        <v>1511</v>
      </c>
      <c r="E710" s="37" t="s">
        <v>1535</v>
      </c>
      <c r="F710" s="1"/>
      <c r="G710" s="37"/>
      <c r="H710" s="17" t="s">
        <v>1540</v>
      </c>
      <c r="I710" s="37" t="s">
        <v>1289</v>
      </c>
      <c r="J710" s="17">
        <v>700.0</v>
      </c>
      <c r="K710" s="17">
        <v>800.0</v>
      </c>
      <c r="L710" s="37" t="s">
        <v>189</v>
      </c>
      <c r="M710" s="37"/>
      <c r="N710" s="17"/>
      <c r="O710" s="1"/>
      <c r="P710" s="15"/>
      <c r="Q710" s="15"/>
      <c r="R710" s="1"/>
      <c r="S710" s="1"/>
    </row>
    <row r="711">
      <c r="A711" s="1"/>
      <c r="B711" s="3">
        <f t="shared" si="1"/>
        <v>707</v>
      </c>
      <c r="C711" s="31" t="s">
        <v>1534</v>
      </c>
      <c r="D711" s="37" t="s">
        <v>56</v>
      </c>
      <c r="E711" s="37" t="s">
        <v>1535</v>
      </c>
      <c r="F711" s="43" t="s">
        <v>1554</v>
      </c>
      <c r="G711" s="37"/>
      <c r="H711" s="17" t="s">
        <v>1555</v>
      </c>
      <c r="I711" s="37" t="s">
        <v>1289</v>
      </c>
      <c r="J711" s="3"/>
      <c r="K711" s="17">
        <v>200.0</v>
      </c>
      <c r="L711" s="37" t="s">
        <v>58</v>
      </c>
      <c r="M711" s="37" t="s">
        <v>45</v>
      </c>
      <c r="N711" s="17"/>
      <c r="O711" s="1"/>
      <c r="P711" s="15"/>
      <c r="Q711" s="15"/>
      <c r="R711" s="1"/>
      <c r="S711" s="1"/>
    </row>
    <row r="712">
      <c r="A712" s="1"/>
      <c r="B712" s="3">
        <f t="shared" si="1"/>
        <v>708</v>
      </c>
      <c r="C712" s="31" t="s">
        <v>1537</v>
      </c>
      <c r="D712" s="37" t="s">
        <v>96</v>
      </c>
      <c r="E712" s="37" t="s">
        <v>1393</v>
      </c>
      <c r="F712" s="1"/>
      <c r="G712" s="37"/>
      <c r="H712" s="17" t="s">
        <v>1555</v>
      </c>
      <c r="I712" s="37" t="s">
        <v>1289</v>
      </c>
      <c r="J712" s="17"/>
      <c r="K712" s="17">
        <v>500.0</v>
      </c>
      <c r="L712" s="37" t="s">
        <v>189</v>
      </c>
      <c r="M712" s="37"/>
      <c r="N712" s="17"/>
      <c r="O712" s="1"/>
      <c r="P712" s="15"/>
      <c r="Q712" s="15"/>
      <c r="R712" s="1"/>
      <c r="S712" s="1"/>
    </row>
    <row r="713">
      <c r="A713" s="1"/>
      <c r="B713" s="3">
        <f t="shared" si="1"/>
        <v>709</v>
      </c>
      <c r="C713" s="31" t="s">
        <v>1532</v>
      </c>
      <c r="D713" s="37" t="s">
        <v>96</v>
      </c>
      <c r="E713" s="1"/>
      <c r="F713" s="1"/>
      <c r="G713" s="37"/>
      <c r="H713" s="17" t="s">
        <v>1555</v>
      </c>
      <c r="I713" s="37" t="s">
        <v>1289</v>
      </c>
      <c r="J713" s="3"/>
      <c r="K713" s="17">
        <v>350.0</v>
      </c>
      <c r="L713" s="37" t="s">
        <v>58</v>
      </c>
      <c r="M713" s="37"/>
      <c r="N713" s="17"/>
      <c r="O713" s="1"/>
      <c r="P713" s="15"/>
      <c r="Q713" s="15"/>
      <c r="R713" s="1"/>
      <c r="S713" s="1"/>
    </row>
    <row r="714">
      <c r="A714" s="1"/>
      <c r="B714" s="3">
        <f t="shared" si="1"/>
        <v>710</v>
      </c>
      <c r="C714" s="31" t="s">
        <v>1536</v>
      </c>
      <c r="D714" s="37" t="s">
        <v>96</v>
      </c>
      <c r="E714" s="1"/>
      <c r="F714" s="1"/>
      <c r="G714" s="37"/>
      <c r="H714" s="17" t="s">
        <v>1555</v>
      </c>
      <c r="I714" s="37" t="s">
        <v>77</v>
      </c>
      <c r="J714" s="3"/>
      <c r="K714" s="3"/>
      <c r="L714" s="37" t="s">
        <v>58</v>
      </c>
      <c r="M714" s="37"/>
      <c r="N714" s="17"/>
      <c r="O714" s="1"/>
      <c r="P714" s="15"/>
      <c r="Q714" s="15"/>
      <c r="R714" s="1"/>
      <c r="S714" s="1"/>
    </row>
    <row r="715">
      <c r="A715" s="1"/>
      <c r="B715" s="3">
        <f t="shared" si="1"/>
        <v>711</v>
      </c>
      <c r="C715" s="31" t="s">
        <v>1556</v>
      </c>
      <c r="D715" s="37" t="s">
        <v>1505</v>
      </c>
      <c r="E715" s="37" t="s">
        <v>1438</v>
      </c>
      <c r="F715" s="1"/>
      <c r="G715" s="37"/>
      <c r="H715" s="17" t="s">
        <v>1540</v>
      </c>
      <c r="I715" s="37" t="s">
        <v>77</v>
      </c>
      <c r="K715" s="17">
        <v>300.0</v>
      </c>
      <c r="L715" s="37" t="s">
        <v>58</v>
      </c>
      <c r="M715" s="37"/>
      <c r="N715" s="17"/>
      <c r="O715" s="1"/>
      <c r="P715" s="15"/>
      <c r="Q715" s="15"/>
      <c r="R715" s="1"/>
      <c r="S715" s="1"/>
    </row>
    <row r="716">
      <c r="A716" s="1"/>
      <c r="B716" s="3">
        <f t="shared" si="1"/>
        <v>712</v>
      </c>
      <c r="C716" s="31" t="s">
        <v>1557</v>
      </c>
      <c r="D716" s="37" t="s">
        <v>1505</v>
      </c>
      <c r="E716" s="37" t="s">
        <v>1558</v>
      </c>
      <c r="F716" s="1"/>
      <c r="G716" s="37"/>
      <c r="H716" s="17" t="s">
        <v>1540</v>
      </c>
      <c r="I716" s="37" t="s">
        <v>77</v>
      </c>
      <c r="J716" s="3"/>
      <c r="K716" s="17">
        <v>400.0</v>
      </c>
      <c r="L716" s="37" t="s">
        <v>58</v>
      </c>
      <c r="M716" s="37"/>
      <c r="N716" s="17"/>
      <c r="O716" s="37" t="s">
        <v>1559</v>
      </c>
      <c r="P716" s="15"/>
      <c r="Q716" s="15"/>
      <c r="R716" s="1"/>
      <c r="S716" s="1"/>
    </row>
    <row r="717">
      <c r="A717" s="1"/>
      <c r="B717" s="3">
        <f t="shared" si="1"/>
        <v>713</v>
      </c>
      <c r="C717" s="31" t="s">
        <v>1560</v>
      </c>
      <c r="D717" s="37" t="s">
        <v>1505</v>
      </c>
      <c r="E717" s="37" t="s">
        <v>1285</v>
      </c>
      <c r="F717" s="1"/>
      <c r="G717" s="37"/>
      <c r="H717" s="17" t="s">
        <v>1540</v>
      </c>
      <c r="I717" s="37" t="s">
        <v>1289</v>
      </c>
      <c r="J717" s="17">
        <v>200.0</v>
      </c>
      <c r="K717" s="17">
        <v>300.0</v>
      </c>
      <c r="L717" s="37" t="s">
        <v>58</v>
      </c>
      <c r="M717" s="37"/>
      <c r="N717" s="17" t="s">
        <v>28</v>
      </c>
      <c r="O717" s="37" t="s">
        <v>1561</v>
      </c>
      <c r="P717" s="15"/>
      <c r="Q717" s="15"/>
      <c r="R717" s="1"/>
      <c r="S717" s="1"/>
    </row>
    <row r="718">
      <c r="A718" s="1"/>
      <c r="B718" s="3">
        <f t="shared" si="1"/>
        <v>714</v>
      </c>
      <c r="C718" s="31" t="s">
        <v>1562</v>
      </c>
      <c r="D718" s="37" t="s">
        <v>83</v>
      </c>
      <c r="E718" s="37" t="s">
        <v>1563</v>
      </c>
      <c r="F718" s="1"/>
      <c r="G718" s="37"/>
      <c r="H718" s="17" t="s">
        <v>1564</v>
      </c>
      <c r="I718" s="37" t="s">
        <v>1289</v>
      </c>
      <c r="J718" s="17">
        <v>215.0</v>
      </c>
      <c r="K718" s="17">
        <v>300.0</v>
      </c>
      <c r="L718" s="37" t="s">
        <v>189</v>
      </c>
      <c r="M718" s="37"/>
      <c r="N718" s="17"/>
      <c r="O718" s="1"/>
      <c r="P718" s="15"/>
      <c r="Q718" s="15"/>
      <c r="R718" s="1"/>
      <c r="S718" s="1"/>
    </row>
    <row r="719">
      <c r="A719" s="1"/>
      <c r="B719" s="3">
        <f t="shared" si="1"/>
        <v>715</v>
      </c>
      <c r="C719" s="31" t="s">
        <v>1565</v>
      </c>
      <c r="D719" s="37" t="s">
        <v>83</v>
      </c>
      <c r="E719" s="37" t="s">
        <v>1566</v>
      </c>
      <c r="F719" s="1"/>
      <c r="G719" s="37"/>
      <c r="H719" s="17" t="s">
        <v>1564</v>
      </c>
      <c r="I719" s="37" t="s">
        <v>1289</v>
      </c>
      <c r="J719" s="3"/>
      <c r="K719" s="17">
        <v>400.0</v>
      </c>
      <c r="L719" s="37" t="s">
        <v>189</v>
      </c>
      <c r="M719" s="37"/>
      <c r="N719" s="17"/>
      <c r="O719" s="1"/>
      <c r="P719" s="15"/>
      <c r="Q719" s="15"/>
      <c r="R719" s="1"/>
      <c r="S719" s="1"/>
    </row>
    <row r="720">
      <c r="A720" s="1"/>
      <c r="B720" s="3">
        <f t="shared" si="1"/>
        <v>716</v>
      </c>
      <c r="C720" s="31" t="s">
        <v>1567</v>
      </c>
      <c r="D720" s="37" t="s">
        <v>159</v>
      </c>
      <c r="E720" s="37" t="s">
        <v>1568</v>
      </c>
      <c r="F720" s="1"/>
      <c r="G720" s="37"/>
      <c r="H720" s="17" t="s">
        <v>1564</v>
      </c>
      <c r="I720" s="37" t="s">
        <v>1289</v>
      </c>
      <c r="J720" s="17">
        <v>240.0</v>
      </c>
      <c r="K720" s="17">
        <v>350.0</v>
      </c>
      <c r="L720" s="37" t="s">
        <v>189</v>
      </c>
      <c r="M720" s="37"/>
      <c r="N720" s="17"/>
      <c r="O720" s="1"/>
      <c r="P720" s="15"/>
      <c r="Q720" s="15"/>
      <c r="R720" s="1"/>
      <c r="S720" s="1"/>
    </row>
    <row r="721">
      <c r="A721" s="1"/>
      <c r="B721" s="3">
        <f t="shared" si="1"/>
        <v>717</v>
      </c>
      <c r="C721" s="31" t="s">
        <v>1569</v>
      </c>
      <c r="D721" s="37" t="s">
        <v>83</v>
      </c>
      <c r="E721" s="37" t="s">
        <v>1570</v>
      </c>
      <c r="F721" s="1"/>
      <c r="G721" s="37"/>
      <c r="H721" s="17" t="s">
        <v>1564</v>
      </c>
      <c r="I721" s="37" t="s">
        <v>1289</v>
      </c>
      <c r="J721" s="3"/>
      <c r="K721" s="3"/>
      <c r="L721" s="37" t="s">
        <v>189</v>
      </c>
      <c r="M721" s="37"/>
      <c r="N721" s="17"/>
      <c r="O721" s="1"/>
      <c r="P721" s="15"/>
      <c r="Q721" s="15"/>
      <c r="R721" s="1"/>
      <c r="S721" s="1"/>
    </row>
    <row r="722">
      <c r="A722" s="1"/>
      <c r="B722" s="3">
        <f t="shared" si="1"/>
        <v>718</v>
      </c>
      <c r="C722" s="31" t="s">
        <v>1571</v>
      </c>
      <c r="D722" s="37" t="s">
        <v>44</v>
      </c>
      <c r="E722" s="37" t="s">
        <v>1572</v>
      </c>
      <c r="F722" s="1"/>
      <c r="G722" s="37"/>
      <c r="H722" s="17" t="s">
        <v>1564</v>
      </c>
      <c r="I722" s="37" t="s">
        <v>77</v>
      </c>
      <c r="J722" s="3"/>
      <c r="K722" s="3"/>
      <c r="L722" s="37" t="s">
        <v>189</v>
      </c>
      <c r="M722" s="37"/>
      <c r="N722" s="17"/>
      <c r="O722" s="1"/>
      <c r="P722" s="15"/>
      <c r="Q722" s="15"/>
      <c r="R722" s="1"/>
      <c r="S722" s="1"/>
    </row>
    <row r="723">
      <c r="A723" s="1"/>
      <c r="B723" s="3">
        <f t="shared" si="1"/>
        <v>719</v>
      </c>
      <c r="C723" s="31" t="s">
        <v>1573</v>
      </c>
      <c r="D723" s="37" t="s">
        <v>44</v>
      </c>
      <c r="E723" s="37" t="s">
        <v>1574</v>
      </c>
      <c r="F723" s="1"/>
      <c r="G723" s="37"/>
      <c r="H723" s="17" t="s">
        <v>1564</v>
      </c>
      <c r="I723" s="37" t="s">
        <v>77</v>
      </c>
      <c r="J723" s="3"/>
      <c r="K723" s="17">
        <v>250.0</v>
      </c>
      <c r="L723" s="37" t="s">
        <v>189</v>
      </c>
      <c r="M723" s="37"/>
      <c r="N723" s="17"/>
      <c r="O723" s="1"/>
      <c r="P723" s="15"/>
      <c r="Q723" s="15"/>
      <c r="R723" s="1"/>
      <c r="S723" s="1"/>
    </row>
    <row r="724">
      <c r="A724" s="1"/>
      <c r="B724" s="3">
        <f t="shared" si="1"/>
        <v>720</v>
      </c>
      <c r="C724" s="31" t="s">
        <v>1575</v>
      </c>
      <c r="D724" s="37" t="s">
        <v>83</v>
      </c>
      <c r="E724" s="37" t="s">
        <v>1576</v>
      </c>
      <c r="F724" s="1"/>
      <c r="G724" s="37"/>
      <c r="H724" s="17" t="s">
        <v>1564</v>
      </c>
      <c r="I724" s="37" t="s">
        <v>1289</v>
      </c>
      <c r="J724" s="3"/>
      <c r="K724" s="3"/>
      <c r="L724" s="37" t="s">
        <v>189</v>
      </c>
      <c r="M724" s="37"/>
      <c r="N724" s="17"/>
      <c r="O724" s="1"/>
      <c r="P724" s="15"/>
      <c r="Q724" s="15"/>
      <c r="R724" s="1"/>
      <c r="S724" s="1"/>
    </row>
    <row r="725">
      <c r="A725" s="1"/>
      <c r="B725" s="3">
        <f t="shared" si="1"/>
        <v>721</v>
      </c>
      <c r="C725" s="31" t="s">
        <v>1577</v>
      </c>
      <c r="D725" s="37" t="s">
        <v>44</v>
      </c>
      <c r="E725" s="37" t="s">
        <v>1578</v>
      </c>
      <c r="F725" s="1"/>
      <c r="G725" s="37"/>
      <c r="H725" s="17" t="s">
        <v>1564</v>
      </c>
      <c r="I725" s="37" t="s">
        <v>77</v>
      </c>
      <c r="J725" s="3"/>
      <c r="K725" s="3"/>
      <c r="L725" s="37" t="s">
        <v>189</v>
      </c>
      <c r="M725" s="37"/>
      <c r="N725" s="17"/>
      <c r="O725" s="1"/>
      <c r="P725" s="15"/>
      <c r="Q725" s="15"/>
      <c r="R725" s="1"/>
      <c r="S725" s="1"/>
    </row>
    <row r="726">
      <c r="A726" s="1"/>
      <c r="B726" s="3">
        <f t="shared" si="1"/>
        <v>722</v>
      </c>
      <c r="C726" s="31" t="s">
        <v>1579</v>
      </c>
      <c r="D726" s="37" t="s">
        <v>49</v>
      </c>
      <c r="E726" s="37" t="s">
        <v>1580</v>
      </c>
      <c r="F726" s="1"/>
      <c r="G726" s="37"/>
      <c r="H726" s="17" t="s">
        <v>1564</v>
      </c>
      <c r="I726" s="37" t="s">
        <v>1289</v>
      </c>
      <c r="J726" s="3"/>
      <c r="K726" s="3"/>
      <c r="L726" s="37" t="s">
        <v>189</v>
      </c>
      <c r="M726" s="37"/>
      <c r="N726" s="17"/>
      <c r="O726" s="1"/>
      <c r="P726" s="15"/>
      <c r="Q726" s="15"/>
      <c r="R726" s="1"/>
      <c r="S726" s="1"/>
    </row>
    <row r="727">
      <c r="A727" s="1"/>
      <c r="B727" s="3">
        <f t="shared" si="1"/>
        <v>723</v>
      </c>
      <c r="C727" s="31" t="s">
        <v>1581</v>
      </c>
      <c r="D727" s="37" t="s">
        <v>44</v>
      </c>
      <c r="E727" s="37" t="s">
        <v>1285</v>
      </c>
      <c r="F727" s="1"/>
      <c r="G727" s="37"/>
      <c r="H727" s="17" t="s">
        <v>1564</v>
      </c>
      <c r="I727" s="37" t="s">
        <v>77</v>
      </c>
      <c r="J727" s="3"/>
      <c r="K727" s="3"/>
      <c r="L727" s="37" t="s">
        <v>189</v>
      </c>
      <c r="M727" s="37"/>
      <c r="N727" s="17"/>
      <c r="O727" s="1"/>
      <c r="P727" s="15"/>
      <c r="Q727" s="15"/>
      <c r="R727" s="1"/>
      <c r="S727" s="1"/>
    </row>
    <row r="728">
      <c r="A728" s="1"/>
      <c r="B728" s="3">
        <f t="shared" si="1"/>
        <v>724</v>
      </c>
      <c r="C728" s="31" t="s">
        <v>1582</v>
      </c>
      <c r="D728" s="37" t="s">
        <v>159</v>
      </c>
      <c r="E728" s="37" t="s">
        <v>1583</v>
      </c>
      <c r="F728" s="1"/>
      <c r="G728" s="37"/>
      <c r="H728" s="17" t="s">
        <v>1564</v>
      </c>
      <c r="I728" s="37" t="s">
        <v>1289</v>
      </c>
      <c r="J728" s="3"/>
      <c r="K728" s="3"/>
      <c r="L728" s="37" t="s">
        <v>189</v>
      </c>
      <c r="M728" s="37"/>
      <c r="N728" s="17"/>
      <c r="O728" s="1"/>
      <c r="P728" s="15"/>
      <c r="Q728" s="15"/>
      <c r="R728" s="1"/>
      <c r="S728" s="1"/>
    </row>
    <row r="729">
      <c r="A729" s="1"/>
      <c r="B729" s="3">
        <f t="shared" si="1"/>
        <v>725</v>
      </c>
      <c r="C729" s="31" t="s">
        <v>1584</v>
      </c>
      <c r="D729" s="37" t="s">
        <v>159</v>
      </c>
      <c r="E729" s="37" t="s">
        <v>1585</v>
      </c>
      <c r="F729" s="1"/>
      <c r="G729" s="37"/>
      <c r="H729" s="17" t="s">
        <v>1564</v>
      </c>
      <c r="I729" s="37" t="s">
        <v>1289</v>
      </c>
      <c r="J729" s="3"/>
      <c r="K729" s="3"/>
      <c r="L729" s="37" t="s">
        <v>189</v>
      </c>
      <c r="M729" s="37"/>
      <c r="N729" s="17"/>
      <c r="O729" s="1"/>
      <c r="P729" s="15"/>
      <c r="Q729" s="15"/>
      <c r="R729" s="1"/>
      <c r="S729" s="1"/>
    </row>
    <row r="730">
      <c r="A730" s="1"/>
      <c r="B730" s="3">
        <f t="shared" si="1"/>
        <v>726</v>
      </c>
      <c r="C730" s="31" t="s">
        <v>1586</v>
      </c>
      <c r="D730" s="37" t="s">
        <v>44</v>
      </c>
      <c r="E730" s="37" t="s">
        <v>1587</v>
      </c>
      <c r="F730" s="1"/>
      <c r="G730" s="37"/>
      <c r="H730" s="17" t="s">
        <v>1564</v>
      </c>
      <c r="I730" s="37" t="s">
        <v>1289</v>
      </c>
      <c r="J730" s="3"/>
      <c r="K730" s="3"/>
      <c r="L730" s="37" t="s">
        <v>189</v>
      </c>
      <c r="M730" s="37"/>
      <c r="N730" s="17"/>
      <c r="O730" s="1"/>
      <c r="P730" s="15"/>
      <c r="Q730" s="15"/>
      <c r="R730" s="1"/>
      <c r="S730" s="1"/>
    </row>
    <row r="731">
      <c r="A731" s="1"/>
      <c r="B731" s="3">
        <f t="shared" si="1"/>
        <v>727</v>
      </c>
      <c r="C731" s="31" t="s">
        <v>1588</v>
      </c>
      <c r="D731" s="37" t="s">
        <v>44</v>
      </c>
      <c r="E731" s="37" t="s">
        <v>1589</v>
      </c>
      <c r="F731" s="1"/>
      <c r="G731" s="37"/>
      <c r="H731" s="17" t="s">
        <v>1564</v>
      </c>
      <c r="I731" s="37" t="s">
        <v>1289</v>
      </c>
      <c r="J731" s="3"/>
      <c r="K731" s="3"/>
      <c r="L731" s="37" t="s">
        <v>189</v>
      </c>
      <c r="M731" s="37"/>
      <c r="N731" s="17"/>
      <c r="O731" s="1"/>
      <c r="P731" s="15"/>
      <c r="Q731" s="15"/>
      <c r="R731" s="1"/>
      <c r="S731" s="1"/>
    </row>
    <row r="732">
      <c r="A732" s="1"/>
      <c r="B732" s="3">
        <f t="shared" si="1"/>
        <v>728</v>
      </c>
      <c r="C732" s="31" t="s">
        <v>1590</v>
      </c>
      <c r="D732" s="37" t="s">
        <v>159</v>
      </c>
      <c r="E732" s="37" t="s">
        <v>600</v>
      </c>
      <c r="F732" s="1"/>
      <c r="G732" s="37"/>
      <c r="H732" s="17" t="s">
        <v>1564</v>
      </c>
      <c r="I732" s="37" t="s">
        <v>1289</v>
      </c>
      <c r="J732" s="3"/>
      <c r="K732" s="3"/>
      <c r="L732" s="37" t="s">
        <v>189</v>
      </c>
      <c r="M732" s="37"/>
      <c r="N732" s="17"/>
      <c r="O732" s="1"/>
      <c r="P732" s="15"/>
      <c r="Q732" s="15"/>
      <c r="R732" s="1"/>
      <c r="S732" s="1"/>
    </row>
    <row r="733">
      <c r="A733" s="1"/>
      <c r="B733" s="3">
        <f t="shared" si="1"/>
        <v>729</v>
      </c>
      <c r="C733" s="31" t="s">
        <v>1591</v>
      </c>
      <c r="D733" s="37" t="s">
        <v>83</v>
      </c>
      <c r="E733" s="37" t="s">
        <v>1589</v>
      </c>
      <c r="F733" s="1"/>
      <c r="G733" s="37"/>
      <c r="H733" s="17" t="s">
        <v>1564</v>
      </c>
      <c r="I733" s="37" t="s">
        <v>77</v>
      </c>
      <c r="J733" s="3"/>
      <c r="K733" s="3"/>
      <c r="L733" s="37" t="s">
        <v>189</v>
      </c>
      <c r="M733" s="37"/>
      <c r="N733" s="17"/>
      <c r="O733" s="1"/>
      <c r="P733" s="15"/>
      <c r="Q733" s="15"/>
      <c r="R733" s="1"/>
      <c r="S733" s="1"/>
    </row>
    <row r="734">
      <c r="A734" s="1"/>
      <c r="B734" s="3">
        <f t="shared" si="1"/>
        <v>730</v>
      </c>
      <c r="C734" s="31" t="s">
        <v>1592</v>
      </c>
      <c r="D734" s="37" t="s">
        <v>44</v>
      </c>
      <c r="E734" s="37" t="s">
        <v>1593</v>
      </c>
      <c r="F734" s="1"/>
      <c r="G734" s="37"/>
      <c r="H734" s="17" t="s">
        <v>1564</v>
      </c>
      <c r="I734" s="37" t="s">
        <v>1206</v>
      </c>
      <c r="J734" s="3"/>
      <c r="K734" s="3"/>
      <c r="L734" s="37" t="s">
        <v>189</v>
      </c>
      <c r="M734" s="37"/>
      <c r="N734" s="17"/>
      <c r="O734" s="1"/>
      <c r="P734" s="15"/>
      <c r="Q734" s="15"/>
      <c r="R734" s="1"/>
      <c r="S734" s="1"/>
    </row>
    <row r="735">
      <c r="A735" s="1"/>
      <c r="B735" s="3">
        <f t="shared" si="1"/>
        <v>731</v>
      </c>
      <c r="C735" s="31" t="s">
        <v>1594</v>
      </c>
      <c r="D735" s="37" t="s">
        <v>44</v>
      </c>
      <c r="E735" s="37" t="s">
        <v>1595</v>
      </c>
      <c r="F735" s="1"/>
      <c r="G735" s="37"/>
      <c r="H735" s="17" t="s">
        <v>1564</v>
      </c>
      <c r="I735" s="37" t="s">
        <v>1289</v>
      </c>
      <c r="J735" s="3"/>
      <c r="K735" s="3"/>
      <c r="L735" s="37" t="s">
        <v>189</v>
      </c>
      <c r="M735" s="37"/>
      <c r="N735" s="17"/>
      <c r="O735" s="1"/>
      <c r="P735" s="15"/>
      <c r="Q735" s="15"/>
      <c r="R735" s="1"/>
      <c r="S735" s="1"/>
    </row>
    <row r="736">
      <c r="A736" s="1"/>
      <c r="B736" s="3">
        <f t="shared" si="1"/>
        <v>732</v>
      </c>
      <c r="C736" s="31" t="s">
        <v>1596</v>
      </c>
      <c r="D736" s="37" t="s">
        <v>56</v>
      </c>
      <c r="E736" s="37" t="s">
        <v>1285</v>
      </c>
      <c r="F736" s="1"/>
      <c r="G736" s="37"/>
      <c r="H736" s="17" t="s">
        <v>1564</v>
      </c>
      <c r="I736" s="37" t="s">
        <v>1289</v>
      </c>
      <c r="J736" s="3"/>
      <c r="K736" s="17">
        <v>300.0</v>
      </c>
      <c r="L736" s="37" t="s">
        <v>189</v>
      </c>
      <c r="M736" s="37"/>
      <c r="N736" s="17"/>
      <c r="O736" s="1"/>
      <c r="P736" s="15"/>
      <c r="Q736" s="15"/>
      <c r="R736" s="1"/>
      <c r="S736" s="1"/>
    </row>
    <row r="737">
      <c r="A737" s="1"/>
      <c r="B737" s="3">
        <f t="shared" si="1"/>
        <v>733</v>
      </c>
      <c r="C737" s="31" t="s">
        <v>1597</v>
      </c>
      <c r="D737" s="37" t="s">
        <v>112</v>
      </c>
      <c r="E737" s="37" t="s">
        <v>1598</v>
      </c>
      <c r="F737" s="1"/>
      <c r="G737" s="37"/>
      <c r="H737" s="17" t="s">
        <v>1540</v>
      </c>
      <c r="I737" s="37" t="s">
        <v>77</v>
      </c>
      <c r="J737" s="3"/>
      <c r="K737" s="3"/>
      <c r="L737" s="37" t="s">
        <v>58</v>
      </c>
      <c r="M737" s="37" t="s">
        <v>60</v>
      </c>
      <c r="N737" s="17"/>
      <c r="O737" s="1"/>
      <c r="P737" s="15"/>
      <c r="Q737" s="15"/>
      <c r="R737" s="1"/>
      <c r="S737" s="1"/>
    </row>
    <row r="738">
      <c r="A738" s="1"/>
      <c r="B738" s="3">
        <f t="shared" si="1"/>
        <v>734</v>
      </c>
      <c r="C738" s="31" t="s">
        <v>1599</v>
      </c>
      <c r="D738" s="37" t="s">
        <v>121</v>
      </c>
      <c r="E738" s="37" t="s">
        <v>1600</v>
      </c>
      <c r="F738" s="1"/>
      <c r="G738" s="37"/>
      <c r="H738" s="46">
        <v>46133.0</v>
      </c>
      <c r="I738" s="37" t="s">
        <v>1289</v>
      </c>
      <c r="J738" s="3"/>
      <c r="K738" s="3"/>
      <c r="L738" s="37" t="s">
        <v>58</v>
      </c>
      <c r="M738" s="37" t="s">
        <v>45</v>
      </c>
      <c r="N738" s="17"/>
      <c r="O738" s="1"/>
      <c r="P738" s="15"/>
      <c r="Q738" s="15"/>
      <c r="R738" s="1"/>
      <c r="S738" s="1"/>
    </row>
    <row r="739">
      <c r="A739" s="1"/>
      <c r="B739" s="3">
        <f t="shared" si="1"/>
        <v>735</v>
      </c>
      <c r="C739" s="31" t="s">
        <v>1601</v>
      </c>
      <c r="D739" s="37" t="s">
        <v>44</v>
      </c>
      <c r="E739" s="37" t="s">
        <v>1602</v>
      </c>
      <c r="F739" s="43" t="s">
        <v>1601</v>
      </c>
      <c r="G739" s="37"/>
      <c r="H739" s="17" t="s">
        <v>1540</v>
      </c>
      <c r="I739" s="37" t="s">
        <v>1289</v>
      </c>
      <c r="J739" s="3"/>
      <c r="K739" s="3"/>
      <c r="L739" s="37" t="s">
        <v>58</v>
      </c>
      <c r="M739" s="37" t="s">
        <v>45</v>
      </c>
      <c r="N739" s="17" t="s">
        <v>39</v>
      </c>
      <c r="O739" s="1"/>
      <c r="P739" s="15"/>
      <c r="Q739" s="15"/>
      <c r="R739" s="1"/>
      <c r="S739" s="1"/>
    </row>
    <row r="740">
      <c r="A740" s="1"/>
      <c r="B740" s="3">
        <f t="shared" si="1"/>
        <v>736</v>
      </c>
      <c r="C740" s="31" t="s">
        <v>1603</v>
      </c>
      <c r="D740" s="37" t="s">
        <v>38</v>
      </c>
      <c r="E740" s="37" t="s">
        <v>1604</v>
      </c>
      <c r="F740" s="43" t="s">
        <v>1605</v>
      </c>
      <c r="G740" s="37"/>
      <c r="H740" s="17" t="s">
        <v>1540</v>
      </c>
      <c r="I740" s="37" t="s">
        <v>1289</v>
      </c>
      <c r="J740" s="3"/>
      <c r="K740" s="3"/>
      <c r="L740" s="37" t="s">
        <v>58</v>
      </c>
      <c r="M740" s="37" t="s">
        <v>59</v>
      </c>
      <c r="N740" s="17" t="s">
        <v>39</v>
      </c>
      <c r="O740" s="1"/>
      <c r="P740" s="15"/>
      <c r="Q740" s="15"/>
      <c r="R740" s="1"/>
      <c r="S740" s="1"/>
    </row>
    <row r="741">
      <c r="A741" s="1"/>
      <c r="B741" s="3">
        <f t="shared" si="1"/>
        <v>737</v>
      </c>
      <c r="C741" s="37" t="s">
        <v>1543</v>
      </c>
      <c r="D741" s="37" t="s">
        <v>49</v>
      </c>
      <c r="E741" s="104" t="s">
        <v>1535</v>
      </c>
      <c r="F741" s="43" t="s">
        <v>1606</v>
      </c>
      <c r="G741" s="37"/>
      <c r="H741" s="17" t="s">
        <v>1540</v>
      </c>
      <c r="I741" s="37" t="s">
        <v>1289</v>
      </c>
      <c r="J741" s="3"/>
      <c r="K741" s="3"/>
      <c r="L741" s="37" t="s">
        <v>58</v>
      </c>
      <c r="M741" s="37" t="s">
        <v>45</v>
      </c>
      <c r="N741" s="17" t="s">
        <v>28</v>
      </c>
      <c r="O741" s="1"/>
      <c r="P741" s="15"/>
      <c r="Q741" s="15"/>
      <c r="R741" s="1"/>
      <c r="S741" s="1"/>
    </row>
    <row r="742">
      <c r="A742" s="1"/>
      <c r="B742" s="3">
        <f t="shared" si="1"/>
        <v>738</v>
      </c>
      <c r="C742" s="31" t="s">
        <v>1607</v>
      </c>
      <c r="D742" s="37" t="s">
        <v>38</v>
      </c>
      <c r="E742" s="37" t="s">
        <v>1285</v>
      </c>
      <c r="F742" s="43" t="s">
        <v>1607</v>
      </c>
      <c r="G742" s="37"/>
      <c r="H742" s="17" t="s">
        <v>1540</v>
      </c>
      <c r="I742" s="37" t="s">
        <v>77</v>
      </c>
      <c r="J742" s="3"/>
      <c r="K742" s="3"/>
      <c r="L742" s="37" t="s">
        <v>58</v>
      </c>
      <c r="M742" s="37" t="s">
        <v>59</v>
      </c>
      <c r="N742" s="17" t="s">
        <v>39</v>
      </c>
      <c r="O742" s="1"/>
      <c r="P742" s="15"/>
      <c r="Q742" s="15"/>
      <c r="R742" s="1"/>
      <c r="S742" s="1"/>
    </row>
    <row r="743">
      <c r="A743" s="1"/>
      <c r="B743" s="3">
        <f t="shared" si="1"/>
        <v>739</v>
      </c>
      <c r="C743" s="31" t="s">
        <v>1608</v>
      </c>
      <c r="D743" s="37" t="s">
        <v>44</v>
      </c>
      <c r="E743" s="37" t="s">
        <v>1609</v>
      </c>
      <c r="F743" s="43" t="s">
        <v>6</v>
      </c>
      <c r="G743" s="37"/>
      <c r="H743" s="17" t="s">
        <v>1540</v>
      </c>
      <c r="I743" s="37" t="s">
        <v>77</v>
      </c>
      <c r="J743" s="3"/>
      <c r="K743" s="3"/>
      <c r="L743" s="37" t="s">
        <v>58</v>
      </c>
      <c r="M743" s="37" t="s">
        <v>78</v>
      </c>
      <c r="N743" s="17"/>
      <c r="O743" s="1"/>
      <c r="P743" s="15"/>
      <c r="Q743" s="15"/>
      <c r="R743" s="1"/>
      <c r="S743" s="1"/>
    </row>
    <row r="744">
      <c r="A744" s="1"/>
      <c r="B744" s="3">
        <f t="shared" si="1"/>
        <v>740</v>
      </c>
      <c r="C744" s="31" t="s">
        <v>1610</v>
      </c>
      <c r="D744" s="37" t="s">
        <v>56</v>
      </c>
      <c r="E744" s="37" t="s">
        <v>1611</v>
      </c>
      <c r="F744" s="43" t="s">
        <v>1612</v>
      </c>
      <c r="G744" s="37"/>
      <c r="H744" s="17" t="s">
        <v>1540</v>
      </c>
      <c r="I744" s="37" t="s">
        <v>1289</v>
      </c>
      <c r="J744" s="3"/>
      <c r="K744" s="3"/>
      <c r="L744" s="37" t="s">
        <v>58</v>
      </c>
      <c r="M744" s="37" t="s">
        <v>78</v>
      </c>
      <c r="N744" s="17"/>
      <c r="O744" s="1"/>
      <c r="P744" s="15"/>
      <c r="Q744" s="15"/>
      <c r="R744" s="1"/>
      <c r="S744" s="1"/>
    </row>
    <row r="745">
      <c r="A745" s="1"/>
      <c r="B745" s="3">
        <f t="shared" si="1"/>
        <v>741</v>
      </c>
      <c r="C745" s="31" t="s">
        <v>1613</v>
      </c>
      <c r="D745" s="37" t="s">
        <v>49</v>
      </c>
      <c r="E745" s="37" t="s">
        <v>1614</v>
      </c>
      <c r="F745" s="1"/>
      <c r="G745" s="37"/>
      <c r="H745" s="17" t="s">
        <v>1540</v>
      </c>
      <c r="I745" s="37" t="s">
        <v>1289</v>
      </c>
      <c r="J745" s="3"/>
      <c r="K745" s="3"/>
      <c r="L745" s="37" t="s">
        <v>58</v>
      </c>
      <c r="M745" s="37" t="s">
        <v>78</v>
      </c>
      <c r="N745" s="17"/>
      <c r="O745" s="1"/>
      <c r="P745" s="15"/>
      <c r="Q745" s="15"/>
      <c r="R745" s="1"/>
      <c r="S745" s="1"/>
    </row>
    <row r="746">
      <c r="A746" s="1"/>
      <c r="B746" s="3">
        <f t="shared" si="1"/>
        <v>742</v>
      </c>
      <c r="C746" s="31" t="s">
        <v>1615</v>
      </c>
      <c r="D746" s="37" t="s">
        <v>49</v>
      </c>
      <c r="E746" s="37" t="s">
        <v>1576</v>
      </c>
      <c r="F746" s="43" t="s">
        <v>1616</v>
      </c>
      <c r="G746" s="37"/>
      <c r="H746" s="17" t="s">
        <v>1540</v>
      </c>
      <c r="I746" s="37" t="s">
        <v>1289</v>
      </c>
      <c r="J746" s="3"/>
      <c r="K746" s="3"/>
      <c r="L746" s="37" t="s">
        <v>58</v>
      </c>
      <c r="M746" s="37" t="s">
        <v>78</v>
      </c>
      <c r="N746" s="17"/>
      <c r="O746" s="1"/>
      <c r="P746" s="15"/>
      <c r="Q746" s="15"/>
      <c r="R746" s="1"/>
      <c r="S746" s="1"/>
    </row>
    <row r="747">
      <c r="A747" s="1"/>
      <c r="B747" s="3">
        <f t="shared" si="1"/>
        <v>743</v>
      </c>
      <c r="C747" s="31" t="s">
        <v>1617</v>
      </c>
      <c r="D747" s="37" t="s">
        <v>49</v>
      </c>
      <c r="E747" s="37" t="s">
        <v>1589</v>
      </c>
      <c r="F747" s="1"/>
      <c r="G747" s="37"/>
      <c r="H747" s="17" t="s">
        <v>1540</v>
      </c>
      <c r="I747" s="37" t="s">
        <v>1289</v>
      </c>
      <c r="J747" s="3"/>
      <c r="K747" s="3"/>
      <c r="L747" s="37" t="s">
        <v>58</v>
      </c>
      <c r="M747" s="37" t="s">
        <v>78</v>
      </c>
      <c r="N747" s="17"/>
      <c r="O747" s="1"/>
      <c r="P747" s="15"/>
      <c r="Q747" s="15"/>
      <c r="R747" s="1"/>
      <c r="S747" s="1"/>
    </row>
    <row r="748">
      <c r="A748" s="1"/>
      <c r="B748" s="3">
        <f t="shared" si="1"/>
        <v>744</v>
      </c>
      <c r="C748" s="31" t="s">
        <v>1618</v>
      </c>
      <c r="D748" s="37" t="s">
        <v>497</v>
      </c>
      <c r="E748" s="37" t="s">
        <v>1619</v>
      </c>
      <c r="F748" s="1"/>
      <c r="G748" s="37"/>
      <c r="H748" s="17" t="s">
        <v>1540</v>
      </c>
      <c r="I748" s="37" t="s">
        <v>1289</v>
      </c>
      <c r="J748" s="3"/>
      <c r="K748" s="3"/>
      <c r="L748" s="37" t="s">
        <v>58</v>
      </c>
      <c r="M748" s="37" t="s">
        <v>78</v>
      </c>
      <c r="N748" s="17"/>
      <c r="O748" s="1"/>
      <c r="P748" s="15"/>
      <c r="Q748" s="15"/>
      <c r="R748" s="1"/>
      <c r="S748" s="1"/>
    </row>
    <row r="749">
      <c r="A749" s="1"/>
      <c r="B749" s="3">
        <f t="shared" si="1"/>
        <v>745</v>
      </c>
      <c r="C749" s="31" t="s">
        <v>1620</v>
      </c>
      <c r="D749" s="37" t="s">
        <v>497</v>
      </c>
      <c r="E749" s="37" t="s">
        <v>1438</v>
      </c>
      <c r="F749" s="1"/>
      <c r="G749" s="37"/>
      <c r="H749" s="17" t="s">
        <v>1540</v>
      </c>
      <c r="I749" s="37" t="s">
        <v>1289</v>
      </c>
      <c r="J749" s="3"/>
      <c r="K749" s="3"/>
      <c r="L749" s="37" t="s">
        <v>58</v>
      </c>
      <c r="M749" s="37" t="s">
        <v>78</v>
      </c>
      <c r="N749" s="17"/>
      <c r="O749" s="1"/>
      <c r="P749" s="15"/>
      <c r="Q749" s="15"/>
      <c r="R749" s="1"/>
      <c r="S749" s="1"/>
    </row>
    <row r="750">
      <c r="A750" s="1"/>
      <c r="B750" s="3">
        <f t="shared" si="1"/>
        <v>746</v>
      </c>
      <c r="C750" s="31" t="s">
        <v>1621</v>
      </c>
      <c r="D750" s="37" t="s">
        <v>497</v>
      </c>
      <c r="E750" s="37" t="s">
        <v>1459</v>
      </c>
      <c r="F750" s="1"/>
      <c r="G750" s="37"/>
      <c r="H750" s="17" t="s">
        <v>1540</v>
      </c>
      <c r="I750" s="37" t="s">
        <v>1206</v>
      </c>
      <c r="J750" s="3"/>
      <c r="K750" s="3"/>
      <c r="L750" s="37" t="s">
        <v>58</v>
      </c>
      <c r="M750" s="37" t="s">
        <v>78</v>
      </c>
      <c r="N750" s="17"/>
      <c r="O750" s="1"/>
      <c r="P750" s="15"/>
      <c r="Q750" s="15"/>
      <c r="R750" s="1"/>
      <c r="S750" s="1"/>
    </row>
    <row r="751">
      <c r="A751" s="1"/>
      <c r="B751" s="3">
        <f t="shared" si="1"/>
        <v>747</v>
      </c>
      <c r="C751" s="31" t="s">
        <v>1622</v>
      </c>
      <c r="D751" s="37" t="s">
        <v>49</v>
      </c>
      <c r="E751" s="37" t="s">
        <v>1623</v>
      </c>
      <c r="F751" s="43" t="s">
        <v>1624</v>
      </c>
      <c r="G751" s="37"/>
      <c r="H751" s="17" t="s">
        <v>1540</v>
      </c>
      <c r="I751" s="37" t="s">
        <v>77</v>
      </c>
      <c r="J751" s="3"/>
      <c r="K751" s="3"/>
      <c r="L751" s="37" t="s">
        <v>58</v>
      </c>
      <c r="M751" s="37" t="s">
        <v>78</v>
      </c>
      <c r="N751" s="17"/>
      <c r="O751" s="1"/>
      <c r="P751" s="15"/>
      <c r="Q751" s="15"/>
      <c r="R751" s="1"/>
      <c r="S751" s="1"/>
    </row>
    <row r="752">
      <c r="A752" s="1"/>
      <c r="B752" s="3">
        <f t="shared" si="1"/>
        <v>748</v>
      </c>
      <c r="C752" s="31" t="s">
        <v>1625</v>
      </c>
      <c r="D752" s="37" t="s">
        <v>497</v>
      </c>
      <c r="E752" s="37" t="s">
        <v>1455</v>
      </c>
      <c r="F752" s="1"/>
      <c r="G752" s="37"/>
      <c r="H752" s="17" t="s">
        <v>1540</v>
      </c>
      <c r="I752" s="37" t="s">
        <v>77</v>
      </c>
      <c r="J752" s="3"/>
      <c r="K752" s="3"/>
      <c r="L752" s="37" t="s">
        <v>58</v>
      </c>
      <c r="M752" s="37" t="s">
        <v>78</v>
      </c>
      <c r="N752" s="17"/>
      <c r="O752" s="1"/>
      <c r="P752" s="15"/>
      <c r="Q752" s="15"/>
      <c r="R752" s="1"/>
      <c r="S752" s="1"/>
    </row>
    <row r="753">
      <c r="A753" s="1"/>
      <c r="B753" s="3">
        <f t="shared" si="1"/>
        <v>749</v>
      </c>
      <c r="C753" s="31" t="s">
        <v>1626</v>
      </c>
      <c r="D753" s="37" t="s">
        <v>497</v>
      </c>
      <c r="E753" s="37" t="s">
        <v>1600</v>
      </c>
      <c r="F753" s="43" t="s">
        <v>1627</v>
      </c>
      <c r="G753" s="37"/>
      <c r="H753" s="17" t="s">
        <v>1540</v>
      </c>
      <c r="I753" s="37" t="s">
        <v>77</v>
      </c>
      <c r="J753" s="3"/>
      <c r="K753" s="3"/>
      <c r="L753" s="37" t="s">
        <v>58</v>
      </c>
      <c r="M753" s="37" t="s">
        <v>54</v>
      </c>
      <c r="N753" s="17"/>
      <c r="O753" s="1"/>
      <c r="P753" s="15"/>
      <c r="Q753" s="15"/>
      <c r="R753" s="1"/>
      <c r="S753" s="1"/>
    </row>
    <row r="754">
      <c r="A754" s="1"/>
      <c r="B754" s="3">
        <f t="shared" si="1"/>
        <v>750</v>
      </c>
      <c r="C754" s="31" t="s">
        <v>1628</v>
      </c>
      <c r="D754" s="37" t="s">
        <v>49</v>
      </c>
      <c r="E754" s="37" t="s">
        <v>1285</v>
      </c>
      <c r="F754" s="43" t="s">
        <v>1629</v>
      </c>
      <c r="G754" s="37"/>
      <c r="H754" s="46">
        <v>46139.0</v>
      </c>
      <c r="I754" s="37" t="s">
        <v>77</v>
      </c>
      <c r="J754" s="3"/>
      <c r="K754" s="3"/>
      <c r="L754" s="37" t="s">
        <v>58</v>
      </c>
      <c r="M754" s="37"/>
      <c r="N754" s="17"/>
      <c r="O754" s="1"/>
      <c r="P754" s="15"/>
      <c r="Q754" s="15"/>
      <c r="R754" s="1"/>
      <c r="S754" s="1"/>
    </row>
    <row r="755">
      <c r="A755" s="1"/>
      <c r="B755" s="17">
        <v>751.0</v>
      </c>
      <c r="C755" s="31" t="s">
        <v>1630</v>
      </c>
      <c r="D755" s="37" t="s">
        <v>83</v>
      </c>
      <c r="E755" s="37" t="s">
        <v>1285</v>
      </c>
      <c r="F755" s="43" t="s">
        <v>1630</v>
      </c>
      <c r="G755" s="37"/>
      <c r="H755" s="46">
        <v>46139.0</v>
      </c>
      <c r="I755" s="37" t="s">
        <v>77</v>
      </c>
      <c r="J755" s="3"/>
      <c r="K755" s="3"/>
      <c r="L755" s="37" t="s">
        <v>58</v>
      </c>
      <c r="M755" s="37"/>
      <c r="N755" s="17"/>
      <c r="O755" s="1"/>
      <c r="P755" s="15"/>
      <c r="Q755" s="15"/>
      <c r="R755" s="1"/>
      <c r="S755" s="1"/>
    </row>
    <row r="756">
      <c r="A756" s="1"/>
      <c r="B756" s="3">
        <f t="shared" ref="B756:B980" si="2">IF(C756&gt;"",B755+1,"")</f>
        <v>752</v>
      </c>
      <c r="C756" s="31" t="s">
        <v>1631</v>
      </c>
      <c r="D756" s="37" t="s">
        <v>83</v>
      </c>
      <c r="E756" s="37" t="s">
        <v>1632</v>
      </c>
      <c r="F756" s="127" t="s">
        <v>1633</v>
      </c>
      <c r="G756" s="37"/>
      <c r="H756" s="46">
        <v>46139.0</v>
      </c>
      <c r="I756" s="37" t="s">
        <v>77</v>
      </c>
      <c r="J756" s="3"/>
      <c r="K756" s="3"/>
      <c r="L756" s="37" t="s">
        <v>58</v>
      </c>
      <c r="M756" s="37"/>
      <c r="N756" s="17"/>
      <c r="O756" s="1"/>
      <c r="P756" s="15"/>
      <c r="Q756" s="15"/>
      <c r="R756" s="1"/>
      <c r="S756" s="1"/>
    </row>
    <row r="757">
      <c r="A757" s="1"/>
      <c r="B757" s="3">
        <f t="shared" si="2"/>
        <v>753</v>
      </c>
      <c r="C757" s="31" t="s">
        <v>1634</v>
      </c>
      <c r="D757" s="37" t="s">
        <v>83</v>
      </c>
      <c r="E757" s="37" t="s">
        <v>1635</v>
      </c>
      <c r="F757" s="43" t="s">
        <v>1636</v>
      </c>
      <c r="G757" s="37"/>
      <c r="H757" s="46">
        <v>46139.0</v>
      </c>
      <c r="I757" s="37" t="s">
        <v>77</v>
      </c>
      <c r="J757" s="3"/>
      <c r="K757" s="3"/>
      <c r="L757" s="37" t="s">
        <v>58</v>
      </c>
      <c r="M757" s="37"/>
      <c r="N757" s="17"/>
      <c r="O757" s="1"/>
      <c r="P757" s="15"/>
      <c r="Q757" s="15"/>
      <c r="R757" s="1"/>
      <c r="S757" s="1"/>
    </row>
    <row r="758">
      <c r="A758" s="1"/>
      <c r="B758" s="3">
        <f t="shared" si="2"/>
        <v>754</v>
      </c>
      <c r="C758" s="31" t="s">
        <v>1637</v>
      </c>
      <c r="D758" s="37" t="s">
        <v>112</v>
      </c>
      <c r="E758" s="37" t="s">
        <v>1285</v>
      </c>
      <c r="F758" s="43" t="s">
        <v>1638</v>
      </c>
      <c r="G758" s="37"/>
      <c r="H758" s="46">
        <v>46139.0</v>
      </c>
      <c r="I758" s="37" t="s">
        <v>77</v>
      </c>
      <c r="J758" s="3"/>
      <c r="K758" s="3"/>
      <c r="L758" s="37" t="s">
        <v>58</v>
      </c>
      <c r="M758" s="37"/>
      <c r="N758" s="17"/>
      <c r="O758" s="1"/>
      <c r="P758" s="15"/>
      <c r="Q758" s="15"/>
      <c r="R758" s="1"/>
      <c r="S758" s="1"/>
    </row>
    <row r="759">
      <c r="A759" s="1"/>
      <c r="B759" s="3">
        <f t="shared" si="2"/>
        <v>755</v>
      </c>
      <c r="C759" s="31" t="s">
        <v>1639</v>
      </c>
      <c r="D759" s="37" t="s">
        <v>1505</v>
      </c>
      <c r="E759" s="128" t="s">
        <v>1285</v>
      </c>
      <c r="F759" s="43" t="s">
        <v>1640</v>
      </c>
      <c r="G759" s="37"/>
      <c r="H759" s="129">
        <v>46139.0</v>
      </c>
      <c r="I759" s="37" t="s">
        <v>77</v>
      </c>
      <c r="J759" s="3"/>
      <c r="K759" s="3"/>
      <c r="L759" s="37" t="s">
        <v>58</v>
      </c>
      <c r="M759" s="37"/>
      <c r="N759" s="17"/>
      <c r="O759" s="1"/>
      <c r="P759" s="15"/>
      <c r="Q759" s="15"/>
      <c r="R759" s="1"/>
      <c r="S759" s="1"/>
    </row>
    <row r="760">
      <c r="A760" s="1"/>
      <c r="B760" s="3">
        <f t="shared" si="2"/>
        <v>756</v>
      </c>
      <c r="C760" s="31" t="s">
        <v>1641</v>
      </c>
      <c r="D760" s="37" t="s">
        <v>159</v>
      </c>
      <c r="E760" s="128" t="s">
        <v>1589</v>
      </c>
      <c r="F760" s="43" t="s">
        <v>1642</v>
      </c>
      <c r="G760" s="37"/>
      <c r="H760" s="46">
        <v>46139.0</v>
      </c>
      <c r="I760" s="37" t="s">
        <v>77</v>
      </c>
      <c r="J760" s="3"/>
      <c r="K760" s="3"/>
      <c r="L760" s="37" t="s">
        <v>58</v>
      </c>
      <c r="M760" s="37"/>
      <c r="N760" s="17"/>
      <c r="O760" s="1"/>
      <c r="P760" s="15"/>
      <c r="Q760" s="15"/>
      <c r="R760" s="1"/>
      <c r="S760" s="1"/>
    </row>
    <row r="761">
      <c r="A761" s="1"/>
      <c r="B761" s="3">
        <f t="shared" si="2"/>
        <v>757</v>
      </c>
      <c r="C761" s="31" t="s">
        <v>1643</v>
      </c>
      <c r="D761" s="37" t="s">
        <v>159</v>
      </c>
      <c r="E761" s="37" t="s">
        <v>1593</v>
      </c>
      <c r="F761" s="43" t="s">
        <v>1644</v>
      </c>
      <c r="G761" s="37"/>
      <c r="H761" s="46">
        <v>46139.0</v>
      </c>
      <c r="I761" s="37" t="s">
        <v>1289</v>
      </c>
      <c r="J761" s="3"/>
      <c r="K761" s="3"/>
      <c r="L761" s="37" t="s">
        <v>58</v>
      </c>
      <c r="M761" s="37"/>
      <c r="N761" s="17"/>
      <c r="O761" s="1"/>
      <c r="P761" s="15"/>
      <c r="Q761" s="15"/>
      <c r="R761" s="1"/>
      <c r="S761" s="1"/>
    </row>
    <row r="762">
      <c r="A762" s="1"/>
      <c r="B762" s="3">
        <f t="shared" si="2"/>
        <v>758</v>
      </c>
      <c r="C762" s="31" t="s">
        <v>1645</v>
      </c>
      <c r="D762" s="37" t="s">
        <v>159</v>
      </c>
      <c r="E762" s="37" t="s">
        <v>1646</v>
      </c>
      <c r="F762" s="43" t="s">
        <v>1647</v>
      </c>
      <c r="G762" s="37"/>
      <c r="H762" s="46">
        <v>46139.0</v>
      </c>
      <c r="I762" s="37" t="s">
        <v>77</v>
      </c>
      <c r="J762" s="3"/>
      <c r="K762" s="3"/>
      <c r="L762" s="37" t="s">
        <v>58</v>
      </c>
      <c r="M762" s="37"/>
      <c r="N762" s="17"/>
      <c r="O762" s="1"/>
      <c r="P762" s="15"/>
      <c r="Q762" s="15"/>
      <c r="R762" s="1"/>
      <c r="S762" s="1"/>
    </row>
    <row r="763">
      <c r="A763" s="1"/>
      <c r="B763" s="3">
        <f t="shared" si="2"/>
        <v>759</v>
      </c>
      <c r="C763" s="31" t="s">
        <v>1648</v>
      </c>
      <c r="D763" s="37" t="s">
        <v>159</v>
      </c>
      <c r="E763" s="37" t="s">
        <v>1649</v>
      </c>
      <c r="F763" s="43" t="s">
        <v>1650</v>
      </c>
      <c r="G763" s="37"/>
      <c r="H763" s="46">
        <v>46139.0</v>
      </c>
      <c r="I763" s="37" t="s">
        <v>77</v>
      </c>
      <c r="J763" s="3"/>
      <c r="K763" s="3"/>
      <c r="L763" s="37" t="s">
        <v>58</v>
      </c>
      <c r="M763" s="37"/>
      <c r="N763" s="17"/>
      <c r="O763" s="1"/>
      <c r="P763" s="15"/>
      <c r="Q763" s="15"/>
      <c r="R763" s="1"/>
      <c r="S763" s="1"/>
    </row>
    <row r="764">
      <c r="A764" s="1"/>
      <c r="B764" s="3">
        <f t="shared" si="2"/>
        <v>760</v>
      </c>
      <c r="C764" s="31" t="s">
        <v>1651</v>
      </c>
      <c r="D764" s="37" t="s">
        <v>159</v>
      </c>
      <c r="E764" s="37" t="s">
        <v>1285</v>
      </c>
      <c r="F764" s="43" t="s">
        <v>1652</v>
      </c>
      <c r="G764" s="37"/>
      <c r="H764" s="46">
        <v>46139.0</v>
      </c>
      <c r="I764" s="37" t="s">
        <v>77</v>
      </c>
      <c r="J764" s="3"/>
      <c r="K764" s="3"/>
      <c r="L764" s="37" t="s">
        <v>58</v>
      </c>
      <c r="M764" s="37"/>
      <c r="N764" s="17"/>
      <c r="O764" s="1"/>
      <c r="P764" s="15"/>
      <c r="Q764" s="15"/>
      <c r="R764" s="1"/>
      <c r="S764" s="1"/>
    </row>
    <row r="765">
      <c r="A765" s="1"/>
      <c r="B765" s="3">
        <f t="shared" si="2"/>
        <v>761</v>
      </c>
      <c r="C765" s="31" t="s">
        <v>1653</v>
      </c>
      <c r="D765" s="37" t="s">
        <v>159</v>
      </c>
      <c r="E765" s="37" t="s">
        <v>1285</v>
      </c>
      <c r="F765" s="43" t="s">
        <v>1654</v>
      </c>
      <c r="G765" s="37"/>
      <c r="H765" s="46">
        <v>46139.0</v>
      </c>
      <c r="I765" s="37" t="s">
        <v>77</v>
      </c>
      <c r="J765" s="3"/>
      <c r="K765" s="3"/>
      <c r="L765" s="37" t="s">
        <v>58</v>
      </c>
      <c r="M765" s="37"/>
      <c r="N765" s="17"/>
      <c r="O765" s="1"/>
      <c r="P765" s="15"/>
      <c r="Q765" s="15"/>
      <c r="R765" s="1"/>
      <c r="S765" s="1"/>
    </row>
    <row r="766">
      <c r="A766" s="1"/>
      <c r="B766" s="3">
        <f t="shared" si="2"/>
        <v>762</v>
      </c>
      <c r="C766" s="31" t="s">
        <v>1655</v>
      </c>
      <c r="D766" s="37" t="s">
        <v>56</v>
      </c>
      <c r="E766" s="37" t="s">
        <v>1656</v>
      </c>
      <c r="F766" s="43" t="s">
        <v>1657</v>
      </c>
      <c r="G766" s="37"/>
      <c r="H766" s="46">
        <v>46139.0</v>
      </c>
      <c r="I766" s="37" t="s">
        <v>1289</v>
      </c>
      <c r="J766" s="3"/>
      <c r="K766" s="3"/>
      <c r="L766" s="37" t="s">
        <v>58</v>
      </c>
      <c r="M766" s="37"/>
      <c r="N766" s="17"/>
      <c r="O766" s="1"/>
      <c r="P766" s="15"/>
      <c r="Q766" s="15"/>
      <c r="R766" s="1"/>
      <c r="S766" s="1"/>
    </row>
    <row r="767">
      <c r="A767" s="1"/>
      <c r="B767" s="3">
        <f t="shared" si="2"/>
        <v>763</v>
      </c>
      <c r="C767" s="31" t="s">
        <v>1658</v>
      </c>
      <c r="D767" s="37" t="s">
        <v>56</v>
      </c>
      <c r="E767" s="37" t="s">
        <v>1659</v>
      </c>
      <c r="F767" s="43" t="s">
        <v>1660</v>
      </c>
      <c r="G767" s="37"/>
      <c r="H767" s="46">
        <v>46139.0</v>
      </c>
      <c r="I767" s="37" t="s">
        <v>77</v>
      </c>
      <c r="J767" s="3"/>
      <c r="K767" s="3"/>
      <c r="L767" s="37" t="s">
        <v>58</v>
      </c>
      <c r="M767" s="37"/>
      <c r="N767" s="17"/>
      <c r="O767" s="1"/>
      <c r="P767" s="15"/>
      <c r="Q767" s="15"/>
      <c r="R767" s="1"/>
      <c r="S767" s="1"/>
    </row>
    <row r="768">
      <c r="A768" s="1"/>
      <c r="B768" s="3">
        <f t="shared" si="2"/>
        <v>764</v>
      </c>
      <c r="C768" s="31" t="s">
        <v>1661</v>
      </c>
      <c r="D768" s="37" t="s">
        <v>56</v>
      </c>
      <c r="E768" s="37" t="s">
        <v>1398</v>
      </c>
      <c r="F768" s="43" t="s">
        <v>1662</v>
      </c>
      <c r="G768" s="37"/>
      <c r="H768" s="46">
        <v>46139.0</v>
      </c>
      <c r="I768" s="37" t="s">
        <v>77</v>
      </c>
      <c r="J768" s="3"/>
      <c r="K768" s="3"/>
      <c r="L768" s="37" t="s">
        <v>58</v>
      </c>
      <c r="M768" s="37"/>
      <c r="N768" s="17"/>
      <c r="O768" s="1"/>
      <c r="P768" s="15"/>
      <c r="Q768" s="15"/>
      <c r="R768" s="1"/>
      <c r="S768" s="1"/>
    </row>
    <row r="769">
      <c r="A769" s="1"/>
      <c r="B769" s="3">
        <f t="shared" si="2"/>
        <v>765</v>
      </c>
      <c r="C769" s="31" t="s">
        <v>1663</v>
      </c>
      <c r="D769" s="37" t="s">
        <v>56</v>
      </c>
      <c r="E769" s="37" t="s">
        <v>1664</v>
      </c>
      <c r="F769" s="43" t="s">
        <v>1665</v>
      </c>
      <c r="G769" s="37"/>
      <c r="H769" s="46">
        <v>46139.0</v>
      </c>
      <c r="I769" s="37" t="s">
        <v>77</v>
      </c>
      <c r="J769" s="3"/>
      <c r="K769" s="3"/>
      <c r="L769" s="37" t="s">
        <v>58</v>
      </c>
      <c r="M769" s="37"/>
      <c r="N769" s="17"/>
      <c r="O769" s="1"/>
      <c r="P769" s="15"/>
      <c r="Q769" s="15"/>
      <c r="R769" s="1"/>
      <c r="S769" s="1"/>
    </row>
    <row r="770">
      <c r="A770" s="1"/>
      <c r="B770" s="3">
        <f t="shared" si="2"/>
        <v>766</v>
      </c>
      <c r="C770" s="31" t="s">
        <v>1666</v>
      </c>
      <c r="D770" s="37" t="s">
        <v>56</v>
      </c>
      <c r="E770" s="37" t="s">
        <v>1659</v>
      </c>
      <c r="F770" s="43" t="s">
        <v>1667</v>
      </c>
      <c r="G770" s="37"/>
      <c r="H770" s="46">
        <v>46139.0</v>
      </c>
      <c r="I770" s="37" t="s">
        <v>1289</v>
      </c>
      <c r="J770" s="3"/>
      <c r="K770" s="3"/>
      <c r="L770" s="37" t="s">
        <v>58</v>
      </c>
      <c r="M770" s="37"/>
      <c r="N770" s="17"/>
      <c r="O770" s="1"/>
      <c r="P770" s="15"/>
      <c r="Q770" s="15"/>
      <c r="R770" s="1"/>
      <c r="S770" s="1"/>
    </row>
    <row r="771">
      <c r="A771" s="1"/>
      <c r="B771" s="3">
        <f t="shared" si="2"/>
        <v>767</v>
      </c>
      <c r="C771" s="31" t="s">
        <v>1668</v>
      </c>
      <c r="D771" s="37" t="s">
        <v>44</v>
      </c>
      <c r="E771" s="37" t="s">
        <v>1669</v>
      </c>
      <c r="F771" s="43" t="s">
        <v>1670</v>
      </c>
      <c r="G771" s="37"/>
      <c r="H771" s="46">
        <v>46139.0</v>
      </c>
      <c r="I771" s="37" t="s">
        <v>1289</v>
      </c>
      <c r="J771" s="3"/>
      <c r="K771" s="3"/>
      <c r="L771" s="37" t="s">
        <v>58</v>
      </c>
      <c r="M771" s="37"/>
      <c r="N771" s="17"/>
      <c r="O771" s="1"/>
      <c r="P771" s="15"/>
      <c r="Q771" s="15"/>
      <c r="R771" s="1"/>
      <c r="S771" s="1"/>
    </row>
    <row r="772">
      <c r="A772" s="1"/>
      <c r="B772" s="3">
        <f t="shared" si="2"/>
        <v>768</v>
      </c>
      <c r="C772" s="31" t="s">
        <v>1671</v>
      </c>
      <c r="D772" s="37" t="s">
        <v>44</v>
      </c>
      <c r="E772" s="37" t="s">
        <v>1672</v>
      </c>
      <c r="F772" s="43" t="s">
        <v>1673</v>
      </c>
      <c r="G772" s="37"/>
      <c r="H772" s="46">
        <v>46139.0</v>
      </c>
      <c r="I772" s="37" t="s">
        <v>77</v>
      </c>
      <c r="J772" s="3"/>
      <c r="K772" s="3"/>
      <c r="L772" s="37" t="s">
        <v>58</v>
      </c>
      <c r="M772" s="37"/>
      <c r="N772" s="17"/>
      <c r="O772" s="1"/>
      <c r="P772" s="15"/>
      <c r="Q772" s="15"/>
      <c r="R772" s="1"/>
      <c r="S772" s="1"/>
    </row>
    <row r="773">
      <c r="A773" s="1"/>
      <c r="B773" s="3">
        <f t="shared" si="2"/>
        <v>769</v>
      </c>
      <c r="C773" s="31" t="s">
        <v>1674</v>
      </c>
      <c r="D773" s="37" t="s">
        <v>44</v>
      </c>
      <c r="E773" s="37" t="s">
        <v>1675</v>
      </c>
      <c r="F773" s="43" t="s">
        <v>1676</v>
      </c>
      <c r="G773" s="37"/>
      <c r="H773" s="46">
        <v>46139.0</v>
      </c>
      <c r="I773" s="37" t="s">
        <v>1289</v>
      </c>
      <c r="J773" s="3"/>
      <c r="K773" s="3"/>
      <c r="L773" s="37" t="s">
        <v>58</v>
      </c>
      <c r="M773" s="37"/>
      <c r="N773" s="17"/>
      <c r="O773" s="1"/>
      <c r="P773" s="15"/>
      <c r="Q773" s="15"/>
      <c r="R773" s="1"/>
      <c r="S773" s="1"/>
    </row>
    <row r="774">
      <c r="A774" s="1"/>
      <c r="B774" s="3">
        <f t="shared" si="2"/>
        <v>770</v>
      </c>
      <c r="C774" s="31" t="s">
        <v>1677</v>
      </c>
      <c r="D774" s="37" t="s">
        <v>44</v>
      </c>
      <c r="E774" s="37" t="s">
        <v>1459</v>
      </c>
      <c r="F774" s="43" t="s">
        <v>1678</v>
      </c>
      <c r="G774" s="37"/>
      <c r="H774" s="46">
        <v>46139.0</v>
      </c>
      <c r="I774" s="37" t="s">
        <v>1289</v>
      </c>
      <c r="J774" s="3"/>
      <c r="K774" s="3"/>
      <c r="L774" s="37" t="s">
        <v>58</v>
      </c>
      <c r="M774" s="37"/>
      <c r="N774" s="17"/>
      <c r="O774" s="1"/>
      <c r="P774" s="15"/>
      <c r="Q774" s="15"/>
      <c r="R774" s="1"/>
      <c r="S774" s="1"/>
    </row>
    <row r="775">
      <c r="A775" s="1"/>
      <c r="B775" s="3">
        <f t="shared" si="2"/>
        <v>771</v>
      </c>
      <c r="C775" s="31" t="s">
        <v>1679</v>
      </c>
      <c r="D775" s="37" t="s">
        <v>49</v>
      </c>
      <c r="E775" s="37" t="s">
        <v>1680</v>
      </c>
      <c r="F775" s="43" t="s">
        <v>1681</v>
      </c>
      <c r="G775" s="37"/>
      <c r="H775" s="46">
        <v>46139.0</v>
      </c>
      <c r="I775" s="37" t="s">
        <v>1289</v>
      </c>
      <c r="J775" s="3"/>
      <c r="K775" s="3"/>
      <c r="L775" s="37" t="s">
        <v>58</v>
      </c>
      <c r="M775" s="37"/>
      <c r="N775" s="17"/>
      <c r="O775" s="1"/>
      <c r="P775" s="15"/>
      <c r="Q775" s="15"/>
      <c r="R775" s="1"/>
      <c r="S775" s="1"/>
    </row>
    <row r="776">
      <c r="A776" s="1"/>
      <c r="B776" s="3">
        <f t="shared" si="2"/>
        <v>772</v>
      </c>
      <c r="C776" s="31" t="s">
        <v>1682</v>
      </c>
      <c r="D776" s="37" t="s">
        <v>44</v>
      </c>
      <c r="E776" s="37" t="s">
        <v>1576</v>
      </c>
      <c r="F776" s="43" t="s">
        <v>1683</v>
      </c>
      <c r="G776" s="37"/>
      <c r="H776" s="46">
        <v>46139.0</v>
      </c>
      <c r="I776" s="37" t="s">
        <v>1289</v>
      </c>
      <c r="J776" s="3"/>
      <c r="K776" s="3"/>
      <c r="L776" s="37" t="s">
        <v>58</v>
      </c>
      <c r="M776" s="37"/>
      <c r="N776" s="17"/>
      <c r="O776" s="1"/>
      <c r="P776" s="15"/>
      <c r="Q776" s="15"/>
      <c r="R776" s="1"/>
      <c r="S776" s="1"/>
    </row>
    <row r="777">
      <c r="A777" s="1"/>
      <c r="B777" s="3">
        <f t="shared" si="2"/>
        <v>773</v>
      </c>
      <c r="C777" s="31" t="s">
        <v>1684</v>
      </c>
      <c r="D777" s="37" t="s">
        <v>44</v>
      </c>
      <c r="E777" s="37" t="s">
        <v>1685</v>
      </c>
      <c r="F777" s="43" t="s">
        <v>1686</v>
      </c>
      <c r="G777" s="37"/>
      <c r="H777" s="46">
        <v>46139.0</v>
      </c>
      <c r="I777" s="37" t="s">
        <v>1289</v>
      </c>
      <c r="J777" s="3"/>
      <c r="K777" s="3"/>
      <c r="L777" s="37" t="s">
        <v>58</v>
      </c>
      <c r="M777" s="37"/>
      <c r="N777" s="17"/>
      <c r="O777" s="1"/>
      <c r="P777" s="15"/>
      <c r="Q777" s="15"/>
      <c r="R777" s="1"/>
      <c r="S777" s="1"/>
    </row>
    <row r="778">
      <c r="A778" s="1"/>
      <c r="B778" s="3">
        <f t="shared" si="2"/>
        <v>774</v>
      </c>
      <c r="C778" s="31" t="s">
        <v>1687</v>
      </c>
      <c r="D778" s="37" t="s">
        <v>44</v>
      </c>
      <c r="E778" s="37" t="s">
        <v>1285</v>
      </c>
      <c r="F778" s="43" t="s">
        <v>1688</v>
      </c>
      <c r="G778" s="37"/>
      <c r="H778" s="46">
        <v>46139.0</v>
      </c>
      <c r="I778" s="37" t="s">
        <v>1289</v>
      </c>
      <c r="J778" s="3"/>
      <c r="K778" s="3"/>
      <c r="L778" s="37" t="s">
        <v>58</v>
      </c>
      <c r="M778" s="37"/>
      <c r="N778" s="17"/>
      <c r="O778" s="1"/>
      <c r="P778" s="15"/>
      <c r="Q778" s="15"/>
      <c r="R778" s="1"/>
      <c r="S778" s="1"/>
    </row>
    <row r="779">
      <c r="A779" s="1"/>
      <c r="B779" s="3">
        <f t="shared" si="2"/>
        <v>775</v>
      </c>
      <c r="C779" s="31" t="s">
        <v>1689</v>
      </c>
      <c r="D779" s="37" t="s">
        <v>44</v>
      </c>
      <c r="E779" s="37" t="s">
        <v>1576</v>
      </c>
      <c r="F779" s="43" t="s">
        <v>1690</v>
      </c>
      <c r="G779" s="37"/>
      <c r="H779" s="46">
        <v>46139.0</v>
      </c>
      <c r="I779" s="37" t="s">
        <v>77</v>
      </c>
      <c r="J779" s="3"/>
      <c r="K779" s="3"/>
      <c r="L779" s="37" t="s">
        <v>58</v>
      </c>
      <c r="M779" s="37"/>
      <c r="N779" s="17"/>
      <c r="O779" s="1"/>
      <c r="P779" s="15"/>
      <c r="Q779" s="15"/>
      <c r="R779" s="1"/>
      <c r="S779" s="1"/>
    </row>
    <row r="780">
      <c r="A780" s="1"/>
      <c r="B780" s="3">
        <f t="shared" si="2"/>
        <v>776</v>
      </c>
      <c r="C780" s="31" t="s">
        <v>1691</v>
      </c>
      <c r="D780" s="37" t="s">
        <v>44</v>
      </c>
      <c r="E780" s="37" t="s">
        <v>1692</v>
      </c>
      <c r="F780" s="43" t="s">
        <v>1693</v>
      </c>
      <c r="G780" s="37"/>
      <c r="H780" s="46">
        <v>46139.0</v>
      </c>
      <c r="I780" s="37" t="s">
        <v>77</v>
      </c>
      <c r="J780" s="3"/>
      <c r="K780" s="3"/>
      <c r="L780" s="37" t="s">
        <v>58</v>
      </c>
      <c r="M780" s="37"/>
      <c r="N780" s="17"/>
      <c r="O780" s="1"/>
      <c r="P780" s="15"/>
      <c r="Q780" s="15"/>
      <c r="R780" s="1"/>
      <c r="S780" s="1"/>
    </row>
    <row r="781">
      <c r="A781" s="1"/>
      <c r="B781" s="3">
        <f t="shared" si="2"/>
        <v>777</v>
      </c>
      <c r="C781" s="31" t="s">
        <v>1694</v>
      </c>
      <c r="D781" s="37" t="s">
        <v>44</v>
      </c>
      <c r="E781" s="37" t="s">
        <v>1428</v>
      </c>
      <c r="F781" s="43" t="s">
        <v>1695</v>
      </c>
      <c r="G781" s="37"/>
      <c r="H781" s="46">
        <v>46139.0</v>
      </c>
      <c r="I781" s="37" t="s">
        <v>77</v>
      </c>
      <c r="J781" s="3"/>
      <c r="K781" s="3"/>
      <c r="L781" s="37" t="s">
        <v>58</v>
      </c>
      <c r="M781" s="37"/>
      <c r="N781" s="17"/>
      <c r="O781" s="1"/>
      <c r="P781" s="15"/>
      <c r="Q781" s="15"/>
      <c r="R781" s="1"/>
      <c r="S781" s="1"/>
    </row>
    <row r="782">
      <c r="A782" s="130"/>
      <c r="B782" s="131">
        <f t="shared" si="2"/>
        <v>778</v>
      </c>
      <c r="C782" s="132" t="s">
        <v>1696</v>
      </c>
      <c r="D782" s="133" t="s">
        <v>44</v>
      </c>
      <c r="E782" s="133" t="s">
        <v>1285</v>
      </c>
      <c r="F782" s="134" t="s">
        <v>1697</v>
      </c>
      <c r="G782" s="133"/>
      <c r="H782" s="135">
        <v>46139.0</v>
      </c>
      <c r="I782" s="133" t="s">
        <v>77</v>
      </c>
      <c r="J782" s="131"/>
      <c r="K782" s="131"/>
      <c r="L782" s="133" t="s">
        <v>58</v>
      </c>
      <c r="M782" s="133"/>
      <c r="N782" s="136"/>
      <c r="O782" s="130"/>
      <c r="P782" s="137"/>
      <c r="Q782" s="138" t="s">
        <v>1698</v>
      </c>
      <c r="R782" s="130"/>
      <c r="S782" s="130"/>
    </row>
    <row r="783">
      <c r="A783" s="1"/>
      <c r="B783" s="3">
        <f t="shared" si="2"/>
        <v>779</v>
      </c>
      <c r="C783" s="31" t="s">
        <v>1699</v>
      </c>
      <c r="D783" s="37" t="s">
        <v>44</v>
      </c>
      <c r="E783" s="37" t="s">
        <v>1700</v>
      </c>
      <c r="F783" s="43" t="s">
        <v>1701</v>
      </c>
      <c r="G783" s="37"/>
      <c r="H783" s="46">
        <v>46139.0</v>
      </c>
      <c r="I783" s="37" t="s">
        <v>77</v>
      </c>
      <c r="J783" s="3"/>
      <c r="K783" s="3"/>
      <c r="L783" s="37" t="s">
        <v>58</v>
      </c>
      <c r="M783" s="37"/>
      <c r="N783" s="17"/>
      <c r="O783" s="1"/>
      <c r="P783" s="15"/>
      <c r="Q783" s="15"/>
      <c r="R783" s="1"/>
      <c r="S783" s="1"/>
    </row>
    <row r="784">
      <c r="A784" s="1"/>
      <c r="B784" s="3">
        <f t="shared" si="2"/>
        <v>780</v>
      </c>
      <c r="C784" s="31" t="s">
        <v>1702</v>
      </c>
      <c r="D784" s="37" t="s">
        <v>44</v>
      </c>
      <c r="E784" s="37" t="s">
        <v>1703</v>
      </c>
      <c r="F784" s="43" t="s">
        <v>1704</v>
      </c>
      <c r="G784" s="37"/>
      <c r="H784" s="46">
        <v>46139.0</v>
      </c>
      <c r="I784" s="37" t="s">
        <v>77</v>
      </c>
      <c r="J784" s="3"/>
      <c r="K784" s="3"/>
      <c r="L784" s="37" t="s">
        <v>58</v>
      </c>
      <c r="M784" s="37"/>
      <c r="N784" s="17"/>
      <c r="O784" s="1"/>
      <c r="P784" s="15"/>
      <c r="Q784" s="15"/>
      <c r="R784" s="1"/>
      <c r="S784" s="1"/>
    </row>
    <row r="785">
      <c r="A785" s="1"/>
      <c r="B785" s="3">
        <f t="shared" si="2"/>
        <v>781</v>
      </c>
      <c r="C785" s="31" t="s">
        <v>1705</v>
      </c>
      <c r="D785" s="37" t="s">
        <v>121</v>
      </c>
      <c r="E785" s="37" t="s">
        <v>1692</v>
      </c>
      <c r="F785" s="43" t="s">
        <v>1706</v>
      </c>
      <c r="G785" s="37"/>
      <c r="H785" s="46">
        <v>46139.0</v>
      </c>
      <c r="I785" s="37" t="s">
        <v>77</v>
      </c>
      <c r="J785" s="3"/>
      <c r="K785" s="3"/>
      <c r="L785" s="37" t="s">
        <v>58</v>
      </c>
      <c r="M785" s="37"/>
      <c r="N785" s="17"/>
      <c r="O785" s="1"/>
      <c r="P785" s="15"/>
      <c r="Q785" s="15"/>
      <c r="R785" s="1"/>
      <c r="S785" s="1"/>
    </row>
    <row r="786">
      <c r="A786" s="1"/>
      <c r="B786" s="3">
        <f t="shared" si="2"/>
        <v>782</v>
      </c>
      <c r="C786" s="31" t="s">
        <v>1707</v>
      </c>
      <c r="D786" s="37" t="s">
        <v>112</v>
      </c>
      <c r="E786" s="37" t="s">
        <v>1692</v>
      </c>
      <c r="F786" s="43" t="s">
        <v>1708</v>
      </c>
      <c r="G786" s="37"/>
      <c r="H786" s="46">
        <v>46139.0</v>
      </c>
      <c r="I786" s="37" t="s">
        <v>77</v>
      </c>
      <c r="J786" s="3"/>
      <c r="K786" s="3"/>
      <c r="L786" s="37" t="s">
        <v>189</v>
      </c>
      <c r="M786" s="37"/>
      <c r="N786" s="17"/>
      <c r="O786" s="1"/>
      <c r="P786" s="15"/>
      <c r="Q786" s="15"/>
      <c r="R786" s="1"/>
      <c r="S786" s="1"/>
    </row>
    <row r="787">
      <c r="A787" s="1"/>
      <c r="B787" s="3">
        <f t="shared" si="2"/>
        <v>783</v>
      </c>
      <c r="C787" s="31" t="s">
        <v>1709</v>
      </c>
      <c r="D787" s="37" t="s">
        <v>83</v>
      </c>
      <c r="E787" s="37" t="s">
        <v>1710</v>
      </c>
      <c r="F787" s="43" t="s">
        <v>1711</v>
      </c>
      <c r="G787" s="37"/>
      <c r="H787" s="46">
        <v>46139.0</v>
      </c>
      <c r="I787" s="37" t="s">
        <v>77</v>
      </c>
      <c r="J787" s="3"/>
      <c r="K787" s="3"/>
      <c r="L787" s="37" t="s">
        <v>189</v>
      </c>
      <c r="M787" s="37"/>
      <c r="N787" s="17"/>
      <c r="O787" s="1"/>
      <c r="P787" s="15"/>
      <c r="Q787" s="15"/>
      <c r="R787" s="1"/>
      <c r="S787" s="1"/>
    </row>
    <row r="788">
      <c r="A788" s="1"/>
      <c r="B788" s="3">
        <f t="shared" si="2"/>
        <v>784</v>
      </c>
      <c r="C788" s="31" t="s">
        <v>1712</v>
      </c>
      <c r="D788" s="37" t="s">
        <v>112</v>
      </c>
      <c r="E788" s="37" t="s">
        <v>1568</v>
      </c>
      <c r="F788" s="43" t="s">
        <v>1713</v>
      </c>
      <c r="G788" s="37"/>
      <c r="H788" s="46">
        <v>46139.0</v>
      </c>
      <c r="I788" s="37" t="s">
        <v>77</v>
      </c>
      <c r="J788" s="3"/>
      <c r="K788" s="3"/>
      <c r="L788" s="37" t="s">
        <v>189</v>
      </c>
      <c r="M788" s="37"/>
      <c r="N788" s="17"/>
      <c r="O788" s="1"/>
      <c r="P788" s="15"/>
      <c r="Q788" s="15"/>
      <c r="R788" s="1"/>
      <c r="S788" s="1"/>
    </row>
    <row r="789">
      <c r="A789" s="1"/>
      <c r="B789" s="3">
        <f t="shared" si="2"/>
        <v>785</v>
      </c>
      <c r="C789" s="31" t="s">
        <v>1714</v>
      </c>
      <c r="D789" s="37" t="s">
        <v>44</v>
      </c>
      <c r="E789" s="37" t="s">
        <v>1692</v>
      </c>
      <c r="F789" s="43" t="s">
        <v>1715</v>
      </c>
      <c r="G789" s="37"/>
      <c r="H789" s="46">
        <v>46139.0</v>
      </c>
      <c r="I789" s="37" t="s">
        <v>77</v>
      </c>
      <c r="J789" s="3"/>
      <c r="K789" s="3"/>
      <c r="L789" s="37" t="s">
        <v>189</v>
      </c>
      <c r="M789" s="37"/>
      <c r="N789" s="17"/>
      <c r="O789" s="1"/>
      <c r="P789" s="15"/>
      <c r="Q789" s="15"/>
      <c r="R789" s="1"/>
      <c r="S789" s="1"/>
    </row>
    <row r="790">
      <c r="A790" s="1"/>
      <c r="B790" s="3">
        <f t="shared" si="2"/>
        <v>786</v>
      </c>
      <c r="C790" s="31" t="s">
        <v>1716</v>
      </c>
      <c r="D790" s="37" t="s">
        <v>96</v>
      </c>
      <c r="E790" s="37" t="s">
        <v>1685</v>
      </c>
      <c r="F790" s="43" t="s">
        <v>1717</v>
      </c>
      <c r="G790" s="37"/>
      <c r="H790" s="46">
        <v>46139.0</v>
      </c>
      <c r="I790" s="37" t="s">
        <v>1289</v>
      </c>
      <c r="J790" s="3"/>
      <c r="K790" s="3"/>
      <c r="L790" s="37" t="s">
        <v>189</v>
      </c>
      <c r="M790" s="37"/>
      <c r="N790" s="17"/>
      <c r="O790" s="1"/>
      <c r="P790" s="15"/>
      <c r="Q790" s="15"/>
      <c r="R790" s="1"/>
      <c r="S790" s="1"/>
    </row>
    <row r="791">
      <c r="A791" s="1"/>
      <c r="B791" s="3">
        <f t="shared" si="2"/>
        <v>787</v>
      </c>
      <c r="C791" s="31" t="s">
        <v>1718</v>
      </c>
      <c r="D791" s="37" t="s">
        <v>83</v>
      </c>
      <c r="E791" s="37" t="s">
        <v>1672</v>
      </c>
      <c r="F791" s="43" t="s">
        <v>1719</v>
      </c>
      <c r="G791" s="37"/>
      <c r="H791" s="46">
        <v>46139.0</v>
      </c>
      <c r="I791" s="37" t="s">
        <v>77</v>
      </c>
      <c r="J791" s="3"/>
      <c r="K791" s="3"/>
      <c r="L791" s="37" t="s">
        <v>189</v>
      </c>
      <c r="M791" s="37"/>
      <c r="N791" s="17"/>
      <c r="O791" s="1"/>
      <c r="P791" s="15"/>
      <c r="Q791" s="15"/>
      <c r="R791" s="1"/>
      <c r="S791" s="1"/>
    </row>
    <row r="792">
      <c r="A792" s="1"/>
      <c r="B792" s="3">
        <f t="shared" si="2"/>
        <v>788</v>
      </c>
      <c r="C792" s="31" t="s">
        <v>1720</v>
      </c>
      <c r="D792" s="37" t="s">
        <v>49</v>
      </c>
      <c r="E792" s="1"/>
      <c r="F792" s="43" t="s">
        <v>1721</v>
      </c>
      <c r="G792" s="37"/>
      <c r="H792" s="46">
        <v>46139.0</v>
      </c>
      <c r="I792" s="37" t="s">
        <v>77</v>
      </c>
      <c r="J792" s="3"/>
      <c r="K792" s="3"/>
      <c r="L792" s="37" t="s">
        <v>189</v>
      </c>
      <c r="M792" s="37"/>
      <c r="N792" s="17"/>
      <c r="O792" s="1"/>
      <c r="P792" s="15"/>
      <c r="Q792" s="15"/>
      <c r="R792" s="1"/>
      <c r="S792" s="1"/>
    </row>
    <row r="793">
      <c r="A793" s="1"/>
      <c r="B793" s="3">
        <f t="shared" si="2"/>
        <v>789</v>
      </c>
      <c r="C793" s="31" t="s">
        <v>1722</v>
      </c>
      <c r="D793" s="37" t="s">
        <v>1505</v>
      </c>
      <c r="E793" s="37" t="s">
        <v>1723</v>
      </c>
      <c r="F793" s="43" t="s">
        <v>1724</v>
      </c>
      <c r="G793" s="37"/>
      <c r="H793" s="46">
        <v>46139.0</v>
      </c>
      <c r="I793" s="37" t="s">
        <v>77</v>
      </c>
      <c r="J793" s="3"/>
      <c r="K793" s="3"/>
      <c r="L793" s="37" t="s">
        <v>189</v>
      </c>
      <c r="M793" s="37"/>
      <c r="N793" s="17"/>
      <c r="O793" s="1"/>
      <c r="P793" s="15"/>
      <c r="Q793" s="15"/>
      <c r="R793" s="1"/>
      <c r="S793" s="1"/>
    </row>
    <row r="794">
      <c r="A794" s="1"/>
      <c r="B794" s="3">
        <f t="shared" si="2"/>
        <v>790</v>
      </c>
      <c r="C794" s="31" t="s">
        <v>1725</v>
      </c>
      <c r="D794" s="37" t="s">
        <v>1505</v>
      </c>
      <c r="E794" s="1"/>
      <c r="F794" s="43" t="s">
        <v>1726</v>
      </c>
      <c r="G794" s="37"/>
      <c r="H794" s="46">
        <v>46139.0</v>
      </c>
      <c r="I794" s="37" t="s">
        <v>77</v>
      </c>
      <c r="J794" s="3"/>
      <c r="K794" s="3"/>
      <c r="L794" s="37" t="s">
        <v>189</v>
      </c>
      <c r="M794" s="37"/>
      <c r="N794" s="17"/>
      <c r="O794" s="1"/>
      <c r="P794" s="15"/>
      <c r="Q794" s="15"/>
      <c r="R794" s="1"/>
      <c r="S794" s="1"/>
    </row>
    <row r="795">
      <c r="A795" s="1"/>
      <c r="B795" s="3">
        <f t="shared" si="2"/>
        <v>791</v>
      </c>
      <c r="C795" s="31" t="s">
        <v>1727</v>
      </c>
      <c r="D795" s="37" t="s">
        <v>1505</v>
      </c>
      <c r="E795" s="37" t="s">
        <v>1728</v>
      </c>
      <c r="F795" s="43" t="s">
        <v>1729</v>
      </c>
      <c r="G795" s="37"/>
      <c r="H795" s="46">
        <v>46139.0</v>
      </c>
      <c r="I795" s="37" t="s">
        <v>77</v>
      </c>
      <c r="J795" s="3"/>
      <c r="K795" s="3"/>
      <c r="L795" s="37" t="s">
        <v>189</v>
      </c>
      <c r="M795" s="37"/>
      <c r="N795" s="17"/>
      <c r="O795" s="1"/>
      <c r="P795" s="15"/>
      <c r="Q795" s="15"/>
      <c r="R795" s="1"/>
      <c r="S795" s="1"/>
    </row>
    <row r="796">
      <c r="A796" s="1"/>
      <c r="B796" s="3">
        <f t="shared" si="2"/>
        <v>792</v>
      </c>
      <c r="C796" s="31" t="s">
        <v>1730</v>
      </c>
      <c r="D796" s="37" t="s">
        <v>44</v>
      </c>
      <c r="E796" s="37" t="s">
        <v>1731</v>
      </c>
      <c r="F796" s="43" t="s">
        <v>1732</v>
      </c>
      <c r="G796" s="37"/>
      <c r="H796" s="46">
        <v>46139.0</v>
      </c>
      <c r="I796" s="37" t="s">
        <v>77</v>
      </c>
      <c r="J796" s="3"/>
      <c r="K796" s="3"/>
      <c r="L796" s="37" t="s">
        <v>189</v>
      </c>
      <c r="M796" s="37"/>
      <c r="N796" s="17"/>
      <c r="O796" s="1"/>
      <c r="P796" s="15"/>
      <c r="Q796" s="15"/>
      <c r="R796" s="1"/>
      <c r="S796" s="1"/>
    </row>
    <row r="797">
      <c r="A797" s="1"/>
      <c r="B797" s="3">
        <f t="shared" si="2"/>
        <v>793</v>
      </c>
      <c r="C797" s="31" t="s">
        <v>1733</v>
      </c>
      <c r="D797" s="37" t="s">
        <v>159</v>
      </c>
      <c r="E797" s="37" t="s">
        <v>1734</v>
      </c>
      <c r="F797" s="43" t="s">
        <v>1735</v>
      </c>
      <c r="G797" s="37"/>
      <c r="H797" s="46">
        <v>46139.0</v>
      </c>
      <c r="I797" s="37" t="s">
        <v>77</v>
      </c>
      <c r="J797" s="3"/>
      <c r="K797" s="3"/>
      <c r="L797" s="37" t="s">
        <v>189</v>
      </c>
      <c r="M797" s="37"/>
      <c r="N797" s="17"/>
      <c r="O797" s="1"/>
      <c r="P797" s="15"/>
      <c r="Q797" s="15"/>
      <c r="R797" s="1"/>
      <c r="S797" s="1"/>
    </row>
    <row r="798">
      <c r="A798" s="1"/>
      <c r="B798" s="3">
        <f t="shared" si="2"/>
        <v>794</v>
      </c>
      <c r="C798" s="31" t="s">
        <v>1736</v>
      </c>
      <c r="D798" s="37" t="s">
        <v>96</v>
      </c>
      <c r="E798" s="37" t="s">
        <v>1737</v>
      </c>
      <c r="F798" s="43" t="s">
        <v>1738</v>
      </c>
      <c r="G798" s="37"/>
      <c r="H798" s="46">
        <v>46139.0</v>
      </c>
      <c r="I798" s="37" t="s">
        <v>1289</v>
      </c>
      <c r="J798" s="3"/>
      <c r="K798" s="3"/>
      <c r="L798" s="37" t="s">
        <v>189</v>
      </c>
      <c r="M798" s="37"/>
      <c r="N798" s="17"/>
      <c r="O798" s="1"/>
      <c r="P798" s="15"/>
      <c r="Q798" s="15"/>
      <c r="R798" s="1"/>
      <c r="S798" s="1"/>
    </row>
    <row r="799">
      <c r="A799" s="1"/>
      <c r="B799" s="3">
        <f t="shared" si="2"/>
        <v>795</v>
      </c>
      <c r="C799" s="31" t="s">
        <v>1739</v>
      </c>
      <c r="D799" s="37" t="s">
        <v>83</v>
      </c>
      <c r="E799" s="37" t="s">
        <v>1740</v>
      </c>
      <c r="F799" s="43" t="s">
        <v>1741</v>
      </c>
      <c r="G799" s="37"/>
      <c r="H799" s="46">
        <v>46139.0</v>
      </c>
      <c r="I799" s="37" t="s">
        <v>77</v>
      </c>
      <c r="J799" s="3"/>
      <c r="K799" s="3"/>
      <c r="L799" s="37" t="s">
        <v>189</v>
      </c>
      <c r="M799" s="37"/>
      <c r="N799" s="17"/>
      <c r="O799" s="1"/>
      <c r="P799" s="15"/>
      <c r="Q799" s="15"/>
      <c r="R799" s="1"/>
      <c r="S799" s="1"/>
    </row>
    <row r="800">
      <c r="A800" s="1"/>
      <c r="B800" s="3">
        <f t="shared" si="2"/>
        <v>796</v>
      </c>
      <c r="C800" s="31" t="s">
        <v>1742</v>
      </c>
      <c r="D800" s="37" t="s">
        <v>591</v>
      </c>
      <c r="E800" s="37" t="s">
        <v>1285</v>
      </c>
      <c r="F800" s="43" t="s">
        <v>1743</v>
      </c>
      <c r="G800" s="37"/>
      <c r="H800" s="46">
        <v>46139.0</v>
      </c>
      <c r="I800" s="37" t="s">
        <v>1289</v>
      </c>
      <c r="J800" s="3"/>
      <c r="K800" s="3"/>
      <c r="L800" s="37" t="s">
        <v>58</v>
      </c>
      <c r="M800" s="37"/>
      <c r="N800" s="17"/>
      <c r="O800" s="1"/>
      <c r="P800" s="15"/>
      <c r="Q800" s="15"/>
      <c r="R800" s="1"/>
      <c r="S800" s="1"/>
    </row>
    <row r="801">
      <c r="A801" s="1"/>
      <c r="B801" s="3">
        <f t="shared" si="2"/>
        <v>797</v>
      </c>
      <c r="C801" s="31" t="s">
        <v>1744</v>
      </c>
      <c r="D801" s="37" t="s">
        <v>116</v>
      </c>
      <c r="E801" s="37" t="s">
        <v>1285</v>
      </c>
      <c r="F801" s="43" t="s">
        <v>1745</v>
      </c>
      <c r="G801" s="37"/>
      <c r="H801" s="46">
        <v>46139.0</v>
      </c>
      <c r="I801" s="37" t="s">
        <v>1289</v>
      </c>
      <c r="J801" s="3"/>
      <c r="K801" s="3"/>
      <c r="L801" s="37" t="s">
        <v>58</v>
      </c>
      <c r="M801" s="37"/>
      <c r="N801" s="17"/>
      <c r="O801" s="1"/>
      <c r="P801" s="15"/>
      <c r="Q801" s="15"/>
      <c r="R801" s="1"/>
      <c r="S801" s="1"/>
    </row>
    <row r="802">
      <c r="A802" s="1"/>
      <c r="B802" s="3">
        <f t="shared" si="2"/>
        <v>798</v>
      </c>
      <c r="C802" s="31" t="s">
        <v>1746</v>
      </c>
      <c r="D802" s="37" t="s">
        <v>116</v>
      </c>
      <c r="E802" s="37" t="s">
        <v>1747</v>
      </c>
      <c r="F802" s="43" t="s">
        <v>1748</v>
      </c>
      <c r="G802" s="37"/>
      <c r="H802" s="46">
        <v>46139.0</v>
      </c>
      <c r="I802" s="37" t="s">
        <v>1289</v>
      </c>
      <c r="J802" s="3"/>
      <c r="K802" s="3"/>
      <c r="L802" s="37" t="s">
        <v>58</v>
      </c>
      <c r="M802" s="37"/>
      <c r="N802" s="17"/>
      <c r="O802" s="1"/>
      <c r="P802" s="15"/>
      <c r="Q802" s="15"/>
      <c r="R802" s="1"/>
      <c r="S802" s="1"/>
    </row>
    <row r="803">
      <c r="A803" s="1"/>
      <c r="B803" s="3">
        <f t="shared" si="2"/>
        <v>799</v>
      </c>
      <c r="C803" s="31" t="s">
        <v>1749</v>
      </c>
      <c r="D803" s="37" t="s">
        <v>116</v>
      </c>
      <c r="E803" s="37" t="s">
        <v>1320</v>
      </c>
      <c r="F803" s="43" t="s">
        <v>1750</v>
      </c>
      <c r="G803" s="37"/>
      <c r="H803" s="46">
        <v>46139.0</v>
      </c>
      <c r="I803" s="37" t="s">
        <v>1289</v>
      </c>
      <c r="J803" s="3"/>
      <c r="K803" s="3"/>
      <c r="L803" s="37" t="s">
        <v>58</v>
      </c>
      <c r="M803" s="37"/>
      <c r="N803" s="17"/>
      <c r="O803" s="1"/>
      <c r="P803" s="15"/>
      <c r="Q803" s="15"/>
      <c r="R803" s="1"/>
      <c r="S803" s="1"/>
    </row>
    <row r="804">
      <c r="A804" s="1"/>
      <c r="B804" s="3">
        <f t="shared" si="2"/>
        <v>800</v>
      </c>
      <c r="C804" s="31" t="s">
        <v>1751</v>
      </c>
      <c r="D804" s="37" t="s">
        <v>116</v>
      </c>
      <c r="E804" s="37" t="s">
        <v>1285</v>
      </c>
      <c r="F804" s="43" t="s">
        <v>1752</v>
      </c>
      <c r="G804" s="37"/>
      <c r="H804" s="46">
        <v>46139.0</v>
      </c>
      <c r="I804" s="37" t="s">
        <v>1289</v>
      </c>
      <c r="J804" s="3"/>
      <c r="K804" s="3"/>
      <c r="L804" s="37" t="s">
        <v>58</v>
      </c>
      <c r="M804" s="37"/>
      <c r="N804" s="17"/>
      <c r="O804" s="1"/>
      <c r="P804" s="15"/>
      <c r="Q804" s="15"/>
      <c r="R804" s="1"/>
      <c r="S804" s="1"/>
    </row>
    <row r="805">
      <c r="A805" s="1"/>
      <c r="B805" s="3">
        <f t="shared" si="2"/>
        <v>801</v>
      </c>
      <c r="C805" s="31" t="s">
        <v>1753</v>
      </c>
      <c r="D805" s="37" t="s">
        <v>116</v>
      </c>
      <c r="E805" s="1"/>
      <c r="F805" s="43" t="s">
        <v>1754</v>
      </c>
      <c r="G805" s="37"/>
      <c r="H805" s="46">
        <v>46139.0</v>
      </c>
      <c r="I805" s="37" t="s">
        <v>1289</v>
      </c>
      <c r="J805" s="3"/>
      <c r="K805" s="3"/>
      <c r="L805" s="37" t="s">
        <v>58</v>
      </c>
      <c r="M805" s="37"/>
      <c r="N805" s="17"/>
      <c r="O805" s="1"/>
      <c r="P805" s="15"/>
      <c r="Q805" s="15"/>
      <c r="R805" s="1"/>
      <c r="S805" s="1"/>
    </row>
    <row r="806">
      <c r="A806" s="1"/>
      <c r="B806" s="3">
        <f t="shared" si="2"/>
        <v>802</v>
      </c>
      <c r="C806" s="31" t="s">
        <v>1755</v>
      </c>
      <c r="D806" s="37" t="s">
        <v>116</v>
      </c>
      <c r="E806" s="37" t="s">
        <v>1357</v>
      </c>
      <c r="F806" s="43" t="s">
        <v>1756</v>
      </c>
      <c r="G806" s="37"/>
      <c r="H806" s="46">
        <v>46139.0</v>
      </c>
      <c r="I806" s="37" t="s">
        <v>1289</v>
      </c>
      <c r="J806" s="3"/>
      <c r="K806" s="3"/>
      <c r="L806" s="37" t="s">
        <v>58</v>
      </c>
      <c r="M806" s="37"/>
      <c r="N806" s="17"/>
      <c r="O806" s="1"/>
      <c r="P806" s="15"/>
      <c r="Q806" s="15"/>
      <c r="R806" s="1"/>
      <c r="S806" s="1"/>
    </row>
    <row r="807">
      <c r="A807" s="1"/>
      <c r="B807" s="3">
        <f t="shared" si="2"/>
        <v>803</v>
      </c>
      <c r="C807" s="31" t="s">
        <v>1757</v>
      </c>
      <c r="D807" s="37" t="s">
        <v>116</v>
      </c>
      <c r="E807" s="37" t="s">
        <v>1758</v>
      </c>
      <c r="F807" s="120" t="s">
        <v>1759</v>
      </c>
      <c r="G807" s="37"/>
      <c r="H807" s="46">
        <v>46139.0</v>
      </c>
      <c r="I807" s="37" t="s">
        <v>1289</v>
      </c>
      <c r="J807" s="3"/>
      <c r="K807" s="3"/>
      <c r="L807" s="37" t="s">
        <v>58</v>
      </c>
      <c r="M807" s="37"/>
      <c r="N807" s="17"/>
      <c r="O807" s="1"/>
      <c r="P807" s="15"/>
      <c r="Q807" s="15"/>
      <c r="R807" s="1"/>
      <c r="S807" s="1"/>
    </row>
    <row r="808">
      <c r="A808" s="1"/>
      <c r="B808" s="3">
        <f t="shared" si="2"/>
        <v>804</v>
      </c>
      <c r="C808" s="31" t="s">
        <v>1760</v>
      </c>
      <c r="D808" s="37" t="s">
        <v>116</v>
      </c>
      <c r="E808" s="37" t="s">
        <v>1761</v>
      </c>
      <c r="F808" s="43" t="s">
        <v>1762</v>
      </c>
      <c r="G808" s="37"/>
      <c r="H808" s="46">
        <v>46139.0</v>
      </c>
      <c r="I808" s="37" t="s">
        <v>1289</v>
      </c>
      <c r="J808" s="3"/>
      <c r="K808" s="3"/>
      <c r="L808" s="37" t="s">
        <v>58</v>
      </c>
      <c r="M808" s="37"/>
      <c r="N808" s="17"/>
      <c r="O808" s="1"/>
      <c r="P808" s="15"/>
      <c r="Q808" s="15"/>
      <c r="R808" s="1"/>
      <c r="S808" s="1"/>
    </row>
    <row r="809">
      <c r="A809" s="1"/>
      <c r="B809" s="3">
        <f t="shared" si="2"/>
        <v>805</v>
      </c>
      <c r="C809" s="31" t="s">
        <v>1763</v>
      </c>
      <c r="D809" s="37" t="s">
        <v>116</v>
      </c>
      <c r="E809" s="37" t="s">
        <v>1764</v>
      </c>
      <c r="F809" s="43" t="s">
        <v>1765</v>
      </c>
      <c r="G809" s="37"/>
      <c r="H809" s="46">
        <v>46139.0</v>
      </c>
      <c r="I809" s="37" t="s">
        <v>1289</v>
      </c>
      <c r="J809" s="3"/>
      <c r="K809" s="3"/>
      <c r="L809" s="37" t="s">
        <v>58</v>
      </c>
      <c r="M809" s="37"/>
      <c r="N809" s="17"/>
      <c r="O809" s="1"/>
      <c r="P809" s="15"/>
      <c r="Q809" s="15"/>
      <c r="R809" s="1"/>
      <c r="S809" s="1"/>
    </row>
    <row r="810">
      <c r="A810" s="1"/>
      <c r="B810" s="3">
        <f t="shared" si="2"/>
        <v>806</v>
      </c>
      <c r="C810" s="31" t="s">
        <v>1766</v>
      </c>
      <c r="D810" s="37" t="s">
        <v>116</v>
      </c>
      <c r="E810" s="37" t="s">
        <v>1589</v>
      </c>
      <c r="F810" s="43" t="s">
        <v>1767</v>
      </c>
      <c r="G810" s="37"/>
      <c r="H810" s="46">
        <v>46139.0</v>
      </c>
      <c r="I810" s="37" t="s">
        <v>1289</v>
      </c>
      <c r="J810" s="3"/>
      <c r="K810" s="3"/>
      <c r="L810" s="37" t="s">
        <v>58</v>
      </c>
      <c r="M810" s="37"/>
      <c r="N810" s="17"/>
      <c r="O810" s="1"/>
      <c r="P810" s="15"/>
      <c r="Q810" s="15"/>
      <c r="R810" s="1"/>
      <c r="S810" s="1"/>
    </row>
    <row r="811">
      <c r="A811" s="1"/>
      <c r="B811" s="3">
        <f t="shared" si="2"/>
        <v>807</v>
      </c>
      <c r="C811" s="31" t="s">
        <v>1768</v>
      </c>
      <c r="D811" s="37" t="s">
        <v>116</v>
      </c>
      <c r="E811" s="37" t="s">
        <v>1769</v>
      </c>
      <c r="F811" s="43" t="s">
        <v>1770</v>
      </c>
      <c r="G811" s="37"/>
      <c r="H811" s="46">
        <v>46139.0</v>
      </c>
      <c r="I811" s="37" t="s">
        <v>1289</v>
      </c>
      <c r="J811" s="3"/>
      <c r="K811" s="3"/>
      <c r="L811" s="37" t="s">
        <v>58</v>
      </c>
      <c r="M811" s="37"/>
      <c r="N811" s="17"/>
      <c r="O811" s="1"/>
      <c r="P811" s="15"/>
      <c r="Q811" s="15"/>
      <c r="R811" s="1"/>
      <c r="S811" s="1"/>
    </row>
    <row r="812">
      <c r="A812" s="1"/>
      <c r="B812" s="3">
        <f t="shared" si="2"/>
        <v>808</v>
      </c>
      <c r="C812" s="31" t="s">
        <v>1771</v>
      </c>
      <c r="D812" s="37" t="s">
        <v>112</v>
      </c>
      <c r="E812" s="37" t="s">
        <v>1772</v>
      </c>
      <c r="F812" s="43" t="s">
        <v>1773</v>
      </c>
      <c r="G812" s="37"/>
      <c r="H812" s="17" t="s">
        <v>1774</v>
      </c>
      <c r="I812" s="37" t="s">
        <v>1289</v>
      </c>
      <c r="J812" s="3"/>
      <c r="K812" s="3"/>
      <c r="L812" s="37" t="s">
        <v>58</v>
      </c>
      <c r="M812" s="37"/>
      <c r="N812" s="17"/>
      <c r="O812" s="1"/>
      <c r="P812" s="15"/>
      <c r="Q812" s="15"/>
      <c r="R812" s="1"/>
      <c r="S812" s="1"/>
    </row>
    <row r="813">
      <c r="A813" s="1"/>
      <c r="B813" s="3">
        <f t="shared" si="2"/>
        <v>809</v>
      </c>
      <c r="C813" s="31" t="s">
        <v>1775</v>
      </c>
      <c r="D813" s="37" t="s">
        <v>49</v>
      </c>
      <c r="E813" s="37" t="s">
        <v>1776</v>
      </c>
      <c r="F813" s="43" t="s">
        <v>1777</v>
      </c>
      <c r="G813" s="37"/>
      <c r="H813" s="46">
        <v>46139.0</v>
      </c>
      <c r="I813" s="37" t="s">
        <v>1289</v>
      </c>
      <c r="J813" s="3"/>
      <c r="K813" s="3"/>
      <c r="L813" s="37" t="s">
        <v>58</v>
      </c>
      <c r="M813" s="37"/>
      <c r="N813" s="17"/>
      <c r="O813" s="1"/>
      <c r="P813" s="15"/>
      <c r="Q813" s="15"/>
      <c r="R813" s="1"/>
      <c r="S813" s="1"/>
    </row>
    <row r="814">
      <c r="A814" s="1"/>
      <c r="B814" s="3">
        <f t="shared" si="2"/>
        <v>810</v>
      </c>
      <c r="C814" s="31" t="s">
        <v>1778</v>
      </c>
      <c r="D814" s="37" t="s">
        <v>112</v>
      </c>
      <c r="E814" s="37" t="s">
        <v>1779</v>
      </c>
      <c r="F814" s="43" t="s">
        <v>1780</v>
      </c>
      <c r="G814" s="37"/>
      <c r="H814" s="46">
        <v>46139.0</v>
      </c>
      <c r="I814" s="37" t="s">
        <v>1289</v>
      </c>
      <c r="J814" s="3"/>
      <c r="K814" s="3"/>
      <c r="L814" s="37" t="s">
        <v>58</v>
      </c>
      <c r="M814" s="37"/>
      <c r="N814" s="17"/>
      <c r="O814" s="1"/>
      <c r="P814" s="15"/>
      <c r="Q814" s="15"/>
      <c r="R814" s="1"/>
      <c r="S814" s="1"/>
    </row>
    <row r="815">
      <c r="A815" s="1"/>
      <c r="B815" s="3">
        <f t="shared" si="2"/>
        <v>811</v>
      </c>
      <c r="C815" s="31" t="s">
        <v>1781</v>
      </c>
      <c r="D815" s="37" t="s">
        <v>112</v>
      </c>
      <c r="E815" s="37" t="s">
        <v>1782</v>
      </c>
      <c r="F815" s="43" t="s">
        <v>1783</v>
      </c>
      <c r="G815" s="37"/>
      <c r="H815" s="17" t="s">
        <v>1774</v>
      </c>
      <c r="I815" s="37" t="s">
        <v>1289</v>
      </c>
      <c r="J815" s="3"/>
      <c r="K815" s="3"/>
      <c r="L815" s="37" t="s">
        <v>58</v>
      </c>
      <c r="M815" s="37"/>
      <c r="N815" s="17"/>
      <c r="O815" s="1"/>
      <c r="P815" s="15"/>
      <c r="Q815" s="15"/>
      <c r="R815" s="1"/>
      <c r="S815" s="1"/>
    </row>
    <row r="816">
      <c r="A816" s="1"/>
      <c r="B816" s="3">
        <f t="shared" si="2"/>
        <v>812</v>
      </c>
      <c r="C816" s="31" t="s">
        <v>1784</v>
      </c>
      <c r="D816" s="37" t="s">
        <v>44</v>
      </c>
      <c r="E816" s="37" t="s">
        <v>1785</v>
      </c>
      <c r="F816" s="43" t="s">
        <v>1786</v>
      </c>
      <c r="G816" s="37"/>
      <c r="H816" s="17" t="s">
        <v>1774</v>
      </c>
      <c r="I816" s="37" t="s">
        <v>1289</v>
      </c>
      <c r="J816" s="3"/>
      <c r="K816" s="3"/>
      <c r="L816" s="37" t="s">
        <v>58</v>
      </c>
      <c r="M816" s="37"/>
      <c r="N816" s="17"/>
      <c r="O816" s="1"/>
      <c r="P816" s="15"/>
      <c r="Q816" s="15"/>
      <c r="R816" s="1"/>
      <c r="S816" s="1"/>
    </row>
    <row r="817">
      <c r="A817" s="1"/>
      <c r="B817" s="3">
        <f t="shared" si="2"/>
        <v>813</v>
      </c>
      <c r="C817" s="31" t="s">
        <v>1787</v>
      </c>
      <c r="D817" s="37" t="s">
        <v>112</v>
      </c>
      <c r="E817" s="37" t="s">
        <v>1285</v>
      </c>
      <c r="F817" s="43" t="s">
        <v>1788</v>
      </c>
      <c r="G817" s="37"/>
      <c r="H817" s="17" t="s">
        <v>1774</v>
      </c>
      <c r="I817" s="37" t="s">
        <v>1289</v>
      </c>
      <c r="J817" s="3"/>
      <c r="K817" s="3"/>
      <c r="L817" s="37" t="s">
        <v>58</v>
      </c>
      <c r="M817" s="37"/>
      <c r="N817" s="17"/>
      <c r="O817" s="1"/>
      <c r="P817" s="15"/>
      <c r="Q817" s="15"/>
      <c r="R817" s="1"/>
      <c r="S817" s="1"/>
    </row>
    <row r="818">
      <c r="A818" s="1"/>
      <c r="B818" s="3">
        <f t="shared" si="2"/>
        <v>814</v>
      </c>
      <c r="C818" s="31" t="s">
        <v>1789</v>
      </c>
      <c r="D818" s="37" t="s">
        <v>49</v>
      </c>
      <c r="E818" s="37" t="s">
        <v>1790</v>
      </c>
      <c r="F818" s="43" t="s">
        <v>1791</v>
      </c>
      <c r="G818" s="37"/>
      <c r="H818" s="17" t="s">
        <v>1774</v>
      </c>
      <c r="I818" s="37" t="s">
        <v>77</v>
      </c>
      <c r="J818" s="3"/>
      <c r="K818" s="3"/>
      <c r="L818" s="37" t="s">
        <v>58</v>
      </c>
      <c r="M818" s="37"/>
      <c r="N818" s="17"/>
      <c r="O818" s="1"/>
      <c r="P818" s="15"/>
      <c r="Q818" s="15"/>
      <c r="R818" s="1"/>
      <c r="S818" s="1"/>
    </row>
    <row r="819">
      <c r="A819" s="1"/>
      <c r="B819" s="3">
        <f t="shared" si="2"/>
        <v>815</v>
      </c>
      <c r="C819" s="31" t="s">
        <v>1792</v>
      </c>
      <c r="D819" s="37" t="s">
        <v>103</v>
      </c>
      <c r="E819" s="1"/>
      <c r="F819" s="43" t="s">
        <v>1793</v>
      </c>
      <c r="G819" s="37"/>
      <c r="H819" s="17" t="s">
        <v>1774</v>
      </c>
      <c r="I819" s="37" t="s">
        <v>1289</v>
      </c>
      <c r="J819" s="3"/>
      <c r="K819" s="3"/>
      <c r="L819" s="37" t="s">
        <v>58</v>
      </c>
      <c r="M819" s="37"/>
      <c r="N819" s="17"/>
      <c r="O819" s="1"/>
      <c r="P819" s="15"/>
      <c r="Q819" s="15"/>
      <c r="R819" s="1"/>
      <c r="S819" s="1"/>
    </row>
    <row r="820">
      <c r="A820" s="1"/>
      <c r="B820" s="3">
        <f t="shared" si="2"/>
        <v>816</v>
      </c>
      <c r="C820" s="31" t="s">
        <v>1794</v>
      </c>
      <c r="D820" s="37" t="s">
        <v>44</v>
      </c>
      <c r="E820" s="37" t="s">
        <v>1795</v>
      </c>
      <c r="F820" s="43" t="s">
        <v>1796</v>
      </c>
      <c r="G820" s="37"/>
      <c r="H820" s="46">
        <v>46139.0</v>
      </c>
      <c r="I820" s="37" t="s">
        <v>77</v>
      </c>
      <c r="J820" s="3"/>
      <c r="K820" s="3"/>
      <c r="L820" s="37" t="s">
        <v>58</v>
      </c>
      <c r="M820" s="37"/>
      <c r="N820" s="17"/>
      <c r="O820" s="1"/>
      <c r="P820" s="15"/>
      <c r="Q820" s="15"/>
      <c r="R820" s="1"/>
      <c r="S820" s="1"/>
    </row>
    <row r="821">
      <c r="A821" s="1"/>
      <c r="B821" s="3">
        <f t="shared" si="2"/>
        <v>817</v>
      </c>
      <c r="C821" s="31" t="s">
        <v>1797</v>
      </c>
      <c r="D821" s="37" t="s">
        <v>112</v>
      </c>
      <c r="E821" s="37" t="s">
        <v>1589</v>
      </c>
      <c r="F821" s="1"/>
      <c r="G821" s="37"/>
      <c r="H821" s="46">
        <v>46139.0</v>
      </c>
      <c r="I821" s="37" t="s">
        <v>77</v>
      </c>
      <c r="J821" s="3"/>
      <c r="K821" s="3"/>
      <c r="L821" s="37" t="s">
        <v>58</v>
      </c>
      <c r="M821" s="37"/>
      <c r="N821" s="17"/>
      <c r="O821" s="1"/>
      <c r="P821" s="15"/>
      <c r="Q821" s="15"/>
      <c r="R821" s="1"/>
      <c r="S821" s="1"/>
    </row>
    <row r="822">
      <c r="A822" s="1"/>
      <c r="B822" s="3">
        <f t="shared" si="2"/>
        <v>818</v>
      </c>
      <c r="C822" s="31" t="s">
        <v>1798</v>
      </c>
      <c r="D822" s="37" t="s">
        <v>112</v>
      </c>
      <c r="E822" s="37" t="s">
        <v>1799</v>
      </c>
      <c r="F822" s="43" t="s">
        <v>1800</v>
      </c>
      <c r="G822" s="37"/>
      <c r="H822" s="46">
        <v>46139.0</v>
      </c>
      <c r="I822" s="37" t="s">
        <v>1289</v>
      </c>
      <c r="J822" s="3"/>
      <c r="K822" s="3"/>
      <c r="L822" s="37" t="s">
        <v>58</v>
      </c>
      <c r="M822" s="37"/>
      <c r="N822" s="17"/>
      <c r="O822" s="1"/>
      <c r="P822" s="15"/>
      <c r="Q822" s="15"/>
      <c r="R822" s="1"/>
      <c r="S822" s="1"/>
    </row>
    <row r="823">
      <c r="A823" s="1"/>
      <c r="B823" s="3">
        <f t="shared" si="2"/>
        <v>819</v>
      </c>
      <c r="C823" s="31" t="s">
        <v>1801</v>
      </c>
      <c r="D823" s="37" t="s">
        <v>112</v>
      </c>
      <c r="E823" s="37" t="s">
        <v>1576</v>
      </c>
      <c r="F823" s="43" t="s">
        <v>1802</v>
      </c>
      <c r="G823" s="37"/>
      <c r="H823" s="46">
        <v>46139.0</v>
      </c>
      <c r="I823" s="37" t="s">
        <v>1289</v>
      </c>
      <c r="J823" s="3"/>
      <c r="K823" s="3"/>
      <c r="L823" s="37" t="s">
        <v>58</v>
      </c>
      <c r="M823" s="37"/>
      <c r="N823" s="17"/>
      <c r="O823" s="1"/>
      <c r="P823" s="15"/>
      <c r="Q823" s="15"/>
      <c r="R823" s="1"/>
      <c r="S823" s="1"/>
    </row>
    <row r="824">
      <c r="A824" s="1"/>
      <c r="B824" s="3">
        <f t="shared" si="2"/>
        <v>820</v>
      </c>
      <c r="C824" s="31" t="s">
        <v>1803</v>
      </c>
      <c r="D824" s="37" t="s">
        <v>83</v>
      </c>
      <c r="E824" s="37" t="s">
        <v>1804</v>
      </c>
      <c r="F824" s="43" t="s">
        <v>1805</v>
      </c>
      <c r="G824" s="37"/>
      <c r="H824" s="46">
        <v>46139.0</v>
      </c>
      <c r="I824" s="37" t="s">
        <v>1289</v>
      </c>
      <c r="J824" s="3"/>
      <c r="K824" s="3"/>
      <c r="L824" s="37" t="s">
        <v>58</v>
      </c>
      <c r="M824" s="37" t="s">
        <v>45</v>
      </c>
      <c r="N824" s="17" t="s">
        <v>28</v>
      </c>
      <c r="O824" s="1"/>
      <c r="P824" s="15"/>
      <c r="Q824" s="15"/>
      <c r="R824" s="1"/>
      <c r="S824" s="1"/>
    </row>
    <row r="825">
      <c r="A825" s="130"/>
      <c r="B825" s="131">
        <f t="shared" si="2"/>
        <v>821</v>
      </c>
      <c r="C825" s="132" t="s">
        <v>1806</v>
      </c>
      <c r="D825" s="133" t="s">
        <v>83</v>
      </c>
      <c r="E825" s="133" t="s">
        <v>1285</v>
      </c>
      <c r="F825" s="134" t="s">
        <v>1807</v>
      </c>
      <c r="G825" s="133"/>
      <c r="H825" s="135">
        <v>46139.0</v>
      </c>
      <c r="I825" s="133" t="s">
        <v>77</v>
      </c>
      <c r="J825" s="131"/>
      <c r="K825" s="131"/>
      <c r="L825" s="133" t="s">
        <v>58</v>
      </c>
      <c r="M825" s="133"/>
      <c r="N825" s="136"/>
      <c r="O825" s="130"/>
      <c r="P825" s="137"/>
      <c r="Q825" s="138" t="s">
        <v>1808</v>
      </c>
      <c r="R825" s="130"/>
      <c r="S825" s="130"/>
    </row>
    <row r="826">
      <c r="A826" s="1"/>
      <c r="B826" s="3">
        <f t="shared" si="2"/>
        <v>822</v>
      </c>
      <c r="C826" s="31" t="s">
        <v>1809</v>
      </c>
      <c r="D826" s="37" t="s">
        <v>83</v>
      </c>
      <c r="E826" s="37" t="s">
        <v>1285</v>
      </c>
      <c r="F826" s="43" t="s">
        <v>1810</v>
      </c>
      <c r="G826" s="37"/>
      <c r="H826" s="46">
        <v>46139.0</v>
      </c>
      <c r="I826" s="37" t="s">
        <v>77</v>
      </c>
      <c r="J826" s="3"/>
      <c r="K826" s="3"/>
      <c r="L826" s="37" t="s">
        <v>58</v>
      </c>
      <c r="M826" s="37"/>
      <c r="N826" s="17"/>
      <c r="O826" s="1"/>
      <c r="P826" s="15"/>
      <c r="Q826" s="15"/>
      <c r="R826" s="1"/>
      <c r="S826" s="1"/>
    </row>
    <row r="827">
      <c r="A827" s="1"/>
      <c r="B827" s="3">
        <f t="shared" si="2"/>
        <v>823</v>
      </c>
      <c r="C827" s="31" t="s">
        <v>1811</v>
      </c>
      <c r="D827" s="37" t="s">
        <v>1505</v>
      </c>
      <c r="E827" s="37" t="s">
        <v>1812</v>
      </c>
      <c r="F827" s="127" t="s">
        <v>1813</v>
      </c>
      <c r="G827" s="37"/>
      <c r="H827" s="46">
        <v>46147.0</v>
      </c>
      <c r="I827" s="37" t="s">
        <v>1289</v>
      </c>
      <c r="J827" s="3"/>
      <c r="K827" s="3"/>
      <c r="L827" s="37" t="s">
        <v>58</v>
      </c>
      <c r="M827" s="37"/>
      <c r="N827" s="17"/>
      <c r="O827" s="1"/>
      <c r="P827" s="15"/>
      <c r="Q827" s="15"/>
      <c r="R827" s="1"/>
      <c r="S827" s="1"/>
    </row>
    <row r="828">
      <c r="A828" s="1"/>
      <c r="B828" s="3">
        <f t="shared" si="2"/>
        <v>824</v>
      </c>
      <c r="C828" s="31" t="s">
        <v>1814</v>
      </c>
      <c r="D828" s="37" t="s">
        <v>1505</v>
      </c>
      <c r="E828" s="37" t="s">
        <v>1285</v>
      </c>
      <c r="F828" s="43" t="s">
        <v>1815</v>
      </c>
      <c r="G828" s="37"/>
      <c r="H828" s="46">
        <v>46147.0</v>
      </c>
      <c r="I828" s="37" t="s">
        <v>1289</v>
      </c>
      <c r="J828" s="3"/>
      <c r="K828" s="3"/>
      <c r="L828" s="37" t="s">
        <v>58</v>
      </c>
      <c r="M828" s="37"/>
      <c r="N828" s="17"/>
      <c r="O828" s="1"/>
      <c r="P828" s="15"/>
      <c r="Q828" s="15"/>
      <c r="R828" s="1"/>
      <c r="S828" s="1"/>
    </row>
    <row r="829">
      <c r="A829" s="1"/>
      <c r="B829" s="3">
        <f t="shared" si="2"/>
        <v>825</v>
      </c>
      <c r="C829" s="31" t="s">
        <v>1816</v>
      </c>
      <c r="D829" s="37" t="s">
        <v>112</v>
      </c>
      <c r="E829" s="37" t="s">
        <v>1285</v>
      </c>
      <c r="F829" s="43" t="s">
        <v>1817</v>
      </c>
      <c r="G829" s="37"/>
      <c r="H829" s="46">
        <v>46147.0</v>
      </c>
      <c r="I829" s="37" t="s">
        <v>1289</v>
      </c>
      <c r="J829" s="3"/>
      <c r="K829" s="3"/>
      <c r="L829" s="37" t="s">
        <v>58</v>
      </c>
      <c r="M829" s="37"/>
      <c r="N829" s="17" t="s">
        <v>28</v>
      </c>
      <c r="O829" s="37" t="s">
        <v>1818</v>
      </c>
      <c r="P829" s="15"/>
      <c r="Q829" s="15"/>
      <c r="R829" s="1"/>
      <c r="S829" s="1"/>
    </row>
    <row r="830">
      <c r="A830" s="1"/>
      <c r="B830" s="3">
        <f t="shared" si="2"/>
        <v>826</v>
      </c>
      <c r="C830" s="31" t="s">
        <v>1819</v>
      </c>
      <c r="D830" s="37" t="s">
        <v>116</v>
      </c>
      <c r="E830" s="37" t="s">
        <v>1589</v>
      </c>
      <c r="F830" s="43" t="s">
        <v>1820</v>
      </c>
      <c r="G830" s="37"/>
      <c r="H830" s="46">
        <v>46147.0</v>
      </c>
      <c r="I830" s="37" t="s">
        <v>1289</v>
      </c>
      <c r="J830" s="3"/>
      <c r="K830" s="3"/>
      <c r="L830" s="37" t="s">
        <v>58</v>
      </c>
      <c r="M830" s="37"/>
      <c r="N830" s="17"/>
      <c r="O830" s="1"/>
      <c r="P830" s="15"/>
      <c r="Q830" s="15"/>
      <c r="R830" s="1"/>
      <c r="S830" s="1"/>
    </row>
    <row r="831">
      <c r="A831" s="1"/>
      <c r="B831" s="3">
        <f t="shared" si="2"/>
        <v>827</v>
      </c>
      <c r="C831" s="31" t="s">
        <v>1821</v>
      </c>
      <c r="D831" s="37" t="s">
        <v>116</v>
      </c>
      <c r="E831" s="37" t="s">
        <v>1576</v>
      </c>
      <c r="F831" s="43" t="s">
        <v>1822</v>
      </c>
      <c r="G831" s="37"/>
      <c r="H831" s="46">
        <v>46147.0</v>
      </c>
      <c r="I831" s="37" t="s">
        <v>1289</v>
      </c>
      <c r="J831" s="3"/>
      <c r="K831" s="3"/>
      <c r="L831" s="37" t="s">
        <v>58</v>
      </c>
      <c r="M831" s="37" t="s">
        <v>57</v>
      </c>
      <c r="N831" s="17" t="s">
        <v>28</v>
      </c>
      <c r="O831" s="1"/>
      <c r="P831" s="15"/>
      <c r="Q831" s="15"/>
      <c r="R831" s="1"/>
      <c r="S831" s="1"/>
    </row>
    <row r="832">
      <c r="A832" s="1"/>
      <c r="B832" s="3">
        <f t="shared" si="2"/>
        <v>828</v>
      </c>
      <c r="C832" s="31" t="s">
        <v>1823</v>
      </c>
      <c r="D832" s="37" t="s">
        <v>116</v>
      </c>
      <c r="E832" s="37" t="s">
        <v>1824</v>
      </c>
      <c r="F832" s="43" t="s">
        <v>1825</v>
      </c>
      <c r="G832" s="37"/>
      <c r="H832" s="46">
        <v>46147.0</v>
      </c>
      <c r="I832" s="37" t="s">
        <v>1289</v>
      </c>
      <c r="J832" s="3"/>
      <c r="K832" s="3"/>
      <c r="L832" s="37" t="s">
        <v>58</v>
      </c>
      <c r="M832" s="37"/>
      <c r="N832" s="17"/>
      <c r="O832" s="1"/>
      <c r="P832" s="15"/>
      <c r="Q832" s="15"/>
      <c r="R832" s="1"/>
      <c r="S832" s="1"/>
    </row>
    <row r="833">
      <c r="A833" s="1"/>
      <c r="B833" s="3">
        <f t="shared" si="2"/>
        <v>829</v>
      </c>
      <c r="C833" s="31" t="s">
        <v>1826</v>
      </c>
      <c r="D833" s="37" t="s">
        <v>116</v>
      </c>
      <c r="E833" s="37" t="s">
        <v>1357</v>
      </c>
      <c r="F833" s="43" t="s">
        <v>1827</v>
      </c>
      <c r="G833" s="37"/>
      <c r="H833" s="46">
        <v>46147.0</v>
      </c>
      <c r="I833" s="37" t="s">
        <v>1289</v>
      </c>
      <c r="J833" s="3"/>
      <c r="K833" s="3"/>
      <c r="L833" s="37" t="s">
        <v>58</v>
      </c>
      <c r="M833" s="37"/>
      <c r="N833" s="17"/>
      <c r="O833" s="1"/>
      <c r="P833" s="15"/>
      <c r="Q833" s="15"/>
      <c r="R833" s="1"/>
      <c r="S833" s="1"/>
    </row>
    <row r="834">
      <c r="A834" s="1"/>
      <c r="B834" s="3">
        <f t="shared" si="2"/>
        <v>830</v>
      </c>
      <c r="C834" s="31" t="s">
        <v>1828</v>
      </c>
      <c r="D834" s="37" t="s">
        <v>116</v>
      </c>
      <c r="E834" s="37" t="s">
        <v>1285</v>
      </c>
      <c r="F834" s="43" t="s">
        <v>1829</v>
      </c>
      <c r="G834" s="37"/>
      <c r="H834" s="46">
        <v>46147.0</v>
      </c>
      <c r="I834" s="37" t="s">
        <v>1289</v>
      </c>
      <c r="J834" s="3"/>
      <c r="K834" s="3"/>
      <c r="L834" s="37" t="s">
        <v>58</v>
      </c>
      <c r="M834" s="37"/>
      <c r="N834" s="17"/>
      <c r="O834" s="1"/>
      <c r="P834" s="15"/>
      <c r="Q834" s="15"/>
      <c r="R834" s="1"/>
      <c r="S834" s="1"/>
    </row>
    <row r="835">
      <c r="A835" s="1"/>
      <c r="B835" s="3">
        <f t="shared" si="2"/>
        <v>831</v>
      </c>
      <c r="C835" s="31" t="s">
        <v>1830</v>
      </c>
      <c r="D835" s="37" t="s">
        <v>159</v>
      </c>
      <c r="E835" s="37" t="s">
        <v>1831</v>
      </c>
      <c r="F835" s="43" t="s">
        <v>1832</v>
      </c>
      <c r="G835" s="37"/>
      <c r="H835" s="46">
        <v>46147.0</v>
      </c>
      <c r="I835" s="37" t="s">
        <v>1289</v>
      </c>
      <c r="J835" s="3"/>
      <c r="K835" s="3"/>
      <c r="L835" s="37" t="s">
        <v>189</v>
      </c>
      <c r="M835" s="37"/>
      <c r="N835" s="17"/>
      <c r="O835" s="1"/>
      <c r="P835" s="15"/>
      <c r="Q835" s="15"/>
      <c r="R835" s="1"/>
      <c r="S835" s="1"/>
    </row>
    <row r="836">
      <c r="A836" s="1"/>
      <c r="B836" s="3">
        <f t="shared" si="2"/>
        <v>832</v>
      </c>
      <c r="C836" s="139" t="s">
        <v>1833</v>
      </c>
      <c r="D836" s="37" t="s">
        <v>159</v>
      </c>
      <c r="E836" s="37" t="s">
        <v>1669</v>
      </c>
      <c r="F836" s="43" t="s">
        <v>1833</v>
      </c>
      <c r="G836" s="37"/>
      <c r="H836" s="140">
        <v>46147.0</v>
      </c>
      <c r="I836" s="37" t="s">
        <v>1289</v>
      </c>
      <c r="J836" s="3"/>
      <c r="K836" s="3"/>
      <c r="L836" s="37" t="s">
        <v>58</v>
      </c>
      <c r="M836" s="37" t="s">
        <v>63</v>
      </c>
      <c r="N836" s="17" t="s">
        <v>28</v>
      </c>
      <c r="O836" s="1"/>
      <c r="P836" s="15"/>
      <c r="Q836" s="15"/>
      <c r="R836" s="1"/>
      <c r="S836" s="1"/>
    </row>
    <row r="837">
      <c r="A837" s="1"/>
      <c r="B837" s="3">
        <f t="shared" si="2"/>
        <v>833</v>
      </c>
      <c r="C837" s="31" t="s">
        <v>1834</v>
      </c>
      <c r="D837" s="37" t="s">
        <v>159</v>
      </c>
      <c r="E837" s="37" t="s">
        <v>1589</v>
      </c>
      <c r="F837" s="43" t="s">
        <v>1835</v>
      </c>
      <c r="G837" s="37"/>
      <c r="H837" s="46">
        <v>46147.0</v>
      </c>
      <c r="I837" s="37" t="s">
        <v>1289</v>
      </c>
      <c r="J837" s="3"/>
      <c r="K837" s="3"/>
      <c r="L837" s="37" t="s">
        <v>189</v>
      </c>
      <c r="M837" s="37"/>
      <c r="N837" s="17"/>
      <c r="O837" s="1"/>
      <c r="P837" s="15"/>
      <c r="Q837" s="15"/>
      <c r="R837" s="1"/>
      <c r="S837" s="1"/>
    </row>
    <row r="838">
      <c r="A838" s="1"/>
      <c r="B838" s="3">
        <f t="shared" si="2"/>
        <v>834</v>
      </c>
      <c r="C838" s="31" t="s">
        <v>1836</v>
      </c>
      <c r="D838" s="37" t="s">
        <v>96</v>
      </c>
      <c r="E838" s="37" t="s">
        <v>1837</v>
      </c>
      <c r="F838" s="1"/>
      <c r="G838" s="37"/>
      <c r="H838" s="46">
        <v>46147.0</v>
      </c>
      <c r="I838" s="37" t="s">
        <v>1289</v>
      </c>
      <c r="J838" s="3"/>
      <c r="K838" s="3"/>
      <c r="L838" s="37" t="s">
        <v>189</v>
      </c>
      <c r="M838" s="37"/>
      <c r="N838" s="17"/>
      <c r="O838" s="1"/>
      <c r="P838" s="15"/>
      <c r="Q838" s="15"/>
      <c r="R838" s="1"/>
      <c r="S838" s="1"/>
    </row>
    <row r="839">
      <c r="A839" s="1"/>
      <c r="B839" s="3">
        <f t="shared" si="2"/>
        <v>835</v>
      </c>
      <c r="C839" s="31" t="s">
        <v>1838</v>
      </c>
      <c r="D839" s="37" t="s">
        <v>96</v>
      </c>
      <c r="E839" s="37" t="s">
        <v>1731</v>
      </c>
      <c r="F839" s="1"/>
      <c r="G839" s="37"/>
      <c r="H839" s="46">
        <v>46147.0</v>
      </c>
      <c r="I839" s="37" t="s">
        <v>1289</v>
      </c>
      <c r="J839" s="3"/>
      <c r="K839" s="3"/>
      <c r="L839" s="37" t="s">
        <v>189</v>
      </c>
      <c r="M839" s="37"/>
      <c r="N839" s="17"/>
      <c r="O839" s="1"/>
      <c r="P839" s="15"/>
      <c r="Q839" s="15"/>
      <c r="R839" s="1"/>
      <c r="S839" s="1"/>
    </row>
    <row r="840">
      <c r="A840" s="1"/>
      <c r="B840" s="3">
        <f t="shared" si="2"/>
        <v>836</v>
      </c>
      <c r="C840" s="31" t="s">
        <v>1839</v>
      </c>
      <c r="D840" s="37" t="s">
        <v>159</v>
      </c>
      <c r="E840" s="37" t="s">
        <v>1300</v>
      </c>
      <c r="F840" s="43" t="s">
        <v>1840</v>
      </c>
      <c r="G840" s="37"/>
      <c r="H840" s="46">
        <v>46147.0</v>
      </c>
      <c r="I840" s="37" t="s">
        <v>1289</v>
      </c>
      <c r="J840" s="3"/>
      <c r="K840" s="3"/>
      <c r="L840" s="37" t="s">
        <v>189</v>
      </c>
      <c r="M840" s="37"/>
      <c r="N840" s="17"/>
      <c r="O840" s="1"/>
      <c r="P840" s="15"/>
      <c r="Q840" s="15"/>
      <c r="R840" s="1"/>
      <c r="S840" s="1"/>
    </row>
    <row r="841">
      <c r="A841" s="1"/>
      <c r="B841" s="3">
        <f t="shared" si="2"/>
        <v>837</v>
      </c>
      <c r="C841" s="31" t="s">
        <v>1841</v>
      </c>
      <c r="D841" s="37" t="s">
        <v>83</v>
      </c>
      <c r="E841" s="37" t="s">
        <v>1842</v>
      </c>
      <c r="F841" s="43" t="s">
        <v>1843</v>
      </c>
      <c r="G841" s="37"/>
      <c r="H841" s="46">
        <v>46147.0</v>
      </c>
      <c r="I841" s="37" t="s">
        <v>1289</v>
      </c>
      <c r="J841" s="3"/>
      <c r="K841" s="3"/>
      <c r="L841" s="37" t="s">
        <v>189</v>
      </c>
      <c r="M841" s="37"/>
      <c r="N841" s="17"/>
      <c r="O841" s="1"/>
      <c r="P841" s="15"/>
      <c r="Q841" s="15"/>
      <c r="R841" s="1"/>
      <c r="S841" s="1"/>
    </row>
    <row r="842">
      <c r="A842" s="1"/>
      <c r="B842" s="3">
        <f t="shared" si="2"/>
        <v>838</v>
      </c>
      <c r="C842" s="31" t="s">
        <v>1844</v>
      </c>
      <c r="D842" s="37" t="s">
        <v>112</v>
      </c>
      <c r="E842" s="37" t="s">
        <v>1589</v>
      </c>
      <c r="F842" s="43" t="s">
        <v>1844</v>
      </c>
      <c r="G842" s="37"/>
      <c r="H842" s="46">
        <v>46147.0</v>
      </c>
      <c r="I842" s="37" t="s">
        <v>1289</v>
      </c>
      <c r="J842" s="3"/>
      <c r="K842" s="3"/>
      <c r="L842" s="37" t="s">
        <v>189</v>
      </c>
      <c r="M842" s="37"/>
      <c r="N842" s="17"/>
      <c r="O842" s="1"/>
      <c r="P842" s="15"/>
      <c r="Q842" s="15"/>
      <c r="R842" s="1"/>
      <c r="S842" s="1"/>
    </row>
    <row r="843">
      <c r="A843" s="1"/>
      <c r="B843" s="3">
        <f t="shared" si="2"/>
        <v>839</v>
      </c>
      <c r="C843" s="31" t="s">
        <v>1845</v>
      </c>
      <c r="D843" s="37" t="s">
        <v>44</v>
      </c>
      <c r="E843" s="37" t="s">
        <v>1846</v>
      </c>
      <c r="F843" s="43" t="s">
        <v>1845</v>
      </c>
      <c r="G843" s="37"/>
      <c r="H843" s="46">
        <v>46147.0</v>
      </c>
      <c r="I843" s="37" t="s">
        <v>1289</v>
      </c>
      <c r="J843" s="3"/>
      <c r="K843" s="3"/>
      <c r="L843" s="37" t="s">
        <v>189</v>
      </c>
      <c r="M843" s="37"/>
      <c r="N843" s="17"/>
      <c r="O843" s="1"/>
      <c r="P843" s="15"/>
      <c r="Q843" s="15"/>
      <c r="R843" s="1"/>
      <c r="S843" s="1"/>
    </row>
    <row r="844">
      <c r="A844" s="1"/>
      <c r="B844" s="3">
        <f t="shared" si="2"/>
        <v>840</v>
      </c>
      <c r="C844" s="31" t="s">
        <v>1847</v>
      </c>
      <c r="D844" s="37" t="s">
        <v>44</v>
      </c>
      <c r="E844" s="37" t="s">
        <v>1848</v>
      </c>
      <c r="F844" s="43" t="s">
        <v>1849</v>
      </c>
      <c r="G844" s="37"/>
      <c r="H844" s="46">
        <v>46147.0</v>
      </c>
      <c r="I844" s="37" t="s">
        <v>1289</v>
      </c>
      <c r="J844" s="3"/>
      <c r="K844" s="3"/>
      <c r="L844" s="37" t="s">
        <v>189</v>
      </c>
      <c r="M844" s="37"/>
      <c r="N844" s="17"/>
      <c r="O844" s="1"/>
      <c r="P844" s="15"/>
      <c r="Q844" s="15"/>
      <c r="R844" s="1"/>
      <c r="S844" s="1"/>
    </row>
    <row r="845">
      <c r="A845" s="1"/>
      <c r="B845" s="3">
        <f t="shared" si="2"/>
        <v>841</v>
      </c>
      <c r="C845" s="31" t="s">
        <v>1850</v>
      </c>
      <c r="D845" s="37" t="s">
        <v>96</v>
      </c>
      <c r="E845" s="37" t="s">
        <v>1420</v>
      </c>
      <c r="F845" s="43" t="s">
        <v>1850</v>
      </c>
      <c r="G845" s="37"/>
      <c r="H845" s="46">
        <v>46147.0</v>
      </c>
      <c r="I845" s="37" t="s">
        <v>1289</v>
      </c>
      <c r="J845" s="3"/>
      <c r="K845" s="3"/>
      <c r="L845" s="37" t="s">
        <v>189</v>
      </c>
      <c r="M845" s="37"/>
      <c r="N845" s="17"/>
      <c r="O845" s="1"/>
      <c r="P845" s="15"/>
      <c r="Q845" s="15"/>
      <c r="R845" s="1"/>
      <c r="S845" s="1"/>
    </row>
    <row r="846">
      <c r="A846" s="1"/>
      <c r="B846" s="3">
        <f t="shared" si="2"/>
        <v>842</v>
      </c>
      <c r="C846" s="31" t="s">
        <v>1851</v>
      </c>
      <c r="D846" s="37" t="s">
        <v>112</v>
      </c>
      <c r="E846" s="37" t="s">
        <v>1357</v>
      </c>
      <c r="F846" s="43" t="s">
        <v>1852</v>
      </c>
      <c r="G846" s="37"/>
      <c r="H846" s="46">
        <v>46147.0</v>
      </c>
      <c r="I846" s="37" t="s">
        <v>1289</v>
      </c>
      <c r="J846" s="3"/>
      <c r="K846" s="3"/>
      <c r="L846" s="37" t="s">
        <v>189</v>
      </c>
      <c r="M846" s="37"/>
      <c r="N846" s="17"/>
      <c r="O846" s="1"/>
      <c r="P846" s="15"/>
      <c r="Q846" s="15"/>
      <c r="R846" s="1"/>
      <c r="S846" s="1"/>
    </row>
    <row r="847">
      <c r="A847" s="1"/>
      <c r="B847" s="3">
        <f t="shared" si="2"/>
        <v>843</v>
      </c>
      <c r="C847" s="31" t="s">
        <v>1853</v>
      </c>
      <c r="D847" s="37" t="s">
        <v>44</v>
      </c>
      <c r="E847" s="37" t="s">
        <v>1285</v>
      </c>
      <c r="F847" s="43" t="s">
        <v>1854</v>
      </c>
      <c r="G847" s="37"/>
      <c r="H847" s="46">
        <v>46147.0</v>
      </c>
      <c r="I847" s="37" t="s">
        <v>1289</v>
      </c>
      <c r="J847" s="3"/>
      <c r="K847" s="3"/>
      <c r="L847" s="37" t="s">
        <v>189</v>
      </c>
      <c r="M847" s="37"/>
      <c r="N847" s="17"/>
      <c r="O847" s="1"/>
      <c r="P847" s="15"/>
      <c r="Q847" s="15"/>
      <c r="R847" s="1"/>
      <c r="S847" s="1"/>
    </row>
    <row r="848">
      <c r="A848" s="1"/>
      <c r="B848" s="3">
        <f t="shared" si="2"/>
        <v>844</v>
      </c>
      <c r="C848" s="31" t="s">
        <v>1855</v>
      </c>
      <c r="D848" s="37" t="s">
        <v>49</v>
      </c>
      <c r="E848" s="37" t="s">
        <v>1856</v>
      </c>
      <c r="F848" s="43" t="s">
        <v>1857</v>
      </c>
      <c r="G848" s="37"/>
      <c r="H848" s="46">
        <v>46147.0</v>
      </c>
      <c r="I848" s="37" t="s">
        <v>1289</v>
      </c>
      <c r="J848" s="3"/>
      <c r="K848" s="3"/>
      <c r="L848" s="37" t="s">
        <v>189</v>
      </c>
      <c r="M848" s="37"/>
      <c r="N848" s="17"/>
      <c r="O848" s="1"/>
      <c r="P848" s="15"/>
      <c r="Q848" s="15"/>
      <c r="R848" s="1"/>
      <c r="S848" s="1"/>
    </row>
    <row r="849">
      <c r="A849" s="1"/>
      <c r="B849" s="3">
        <f t="shared" si="2"/>
        <v>845</v>
      </c>
      <c r="C849" s="31" t="s">
        <v>1858</v>
      </c>
      <c r="D849" s="37" t="s">
        <v>49</v>
      </c>
      <c r="E849" s="37" t="s">
        <v>1248</v>
      </c>
      <c r="F849" s="43" t="s">
        <v>1859</v>
      </c>
      <c r="G849" s="37"/>
      <c r="H849" s="46">
        <v>46147.0</v>
      </c>
      <c r="I849" s="37" t="s">
        <v>1289</v>
      </c>
      <c r="J849" s="3"/>
      <c r="K849" s="3"/>
      <c r="L849" s="37" t="s">
        <v>189</v>
      </c>
      <c r="M849" s="37"/>
      <c r="N849" s="17"/>
      <c r="O849" s="1"/>
      <c r="P849" s="15"/>
      <c r="Q849" s="15"/>
      <c r="R849" s="1"/>
      <c r="S849" s="1"/>
    </row>
    <row r="850">
      <c r="A850" s="1"/>
      <c r="B850" s="3">
        <f t="shared" si="2"/>
        <v>846</v>
      </c>
      <c r="C850" s="31" t="s">
        <v>1860</v>
      </c>
      <c r="D850" s="37" t="s">
        <v>159</v>
      </c>
      <c r="E850" s="37" t="s">
        <v>1589</v>
      </c>
      <c r="F850" s="43" t="s">
        <v>1861</v>
      </c>
      <c r="G850" s="37"/>
      <c r="H850" s="46">
        <v>46147.0</v>
      </c>
      <c r="I850" s="37" t="s">
        <v>1289</v>
      </c>
      <c r="J850" s="3"/>
      <c r="K850" s="3"/>
      <c r="L850" s="37" t="s">
        <v>189</v>
      </c>
      <c r="M850" s="37"/>
      <c r="N850" s="17"/>
      <c r="O850" s="1"/>
      <c r="P850" s="15"/>
      <c r="Q850" s="15"/>
      <c r="R850" s="1"/>
      <c r="S850" s="1"/>
    </row>
    <row r="851">
      <c r="A851" s="1"/>
      <c r="B851" s="3">
        <f t="shared" si="2"/>
        <v>847</v>
      </c>
      <c r="C851" s="31" t="s">
        <v>1862</v>
      </c>
      <c r="D851" s="37" t="s">
        <v>159</v>
      </c>
      <c r="E851" s="1"/>
      <c r="F851" s="43" t="s">
        <v>1863</v>
      </c>
      <c r="G851" s="37"/>
      <c r="H851" s="46">
        <v>46147.0</v>
      </c>
      <c r="I851" s="37" t="s">
        <v>1289</v>
      </c>
      <c r="J851" s="3"/>
      <c r="K851" s="3"/>
      <c r="L851" s="37" t="s">
        <v>189</v>
      </c>
      <c r="M851" s="37"/>
      <c r="N851" s="17"/>
      <c r="O851" s="1"/>
      <c r="P851" s="15"/>
      <c r="Q851" s="15"/>
      <c r="R851" s="1"/>
      <c r="S851" s="1"/>
    </row>
    <row r="852">
      <c r="A852" s="1"/>
      <c r="B852" s="3">
        <f t="shared" si="2"/>
        <v>848</v>
      </c>
      <c r="C852" s="31" t="s">
        <v>1864</v>
      </c>
      <c r="D852" s="37" t="s">
        <v>83</v>
      </c>
      <c r="E852" s="37" t="s">
        <v>1865</v>
      </c>
      <c r="F852" s="43" t="s">
        <v>1866</v>
      </c>
      <c r="G852" s="37"/>
      <c r="H852" s="46">
        <v>46147.0</v>
      </c>
      <c r="I852" s="37" t="s">
        <v>1289</v>
      </c>
      <c r="J852" s="3"/>
      <c r="K852" s="3"/>
      <c r="L852" s="37" t="s">
        <v>189</v>
      </c>
      <c r="M852" s="37"/>
      <c r="N852" s="17"/>
      <c r="O852" s="1"/>
      <c r="P852" s="15"/>
      <c r="Q852" s="15"/>
      <c r="R852" s="1"/>
      <c r="S852" s="1"/>
    </row>
    <row r="853">
      <c r="A853" s="1"/>
      <c r="B853" s="3">
        <f t="shared" si="2"/>
        <v>849</v>
      </c>
      <c r="C853" s="31" t="s">
        <v>1867</v>
      </c>
      <c r="D853" s="37" t="s">
        <v>44</v>
      </c>
      <c r="E853" s="37" t="s">
        <v>1868</v>
      </c>
      <c r="F853" s="43" t="s">
        <v>1869</v>
      </c>
      <c r="G853" s="37"/>
      <c r="H853" s="46">
        <v>46147.0</v>
      </c>
      <c r="I853" s="37" t="s">
        <v>1289</v>
      </c>
      <c r="J853" s="3"/>
      <c r="K853" s="3"/>
      <c r="L853" s="37" t="s">
        <v>189</v>
      </c>
      <c r="M853" s="37"/>
      <c r="N853" s="17"/>
      <c r="O853" s="1"/>
      <c r="P853" s="15"/>
      <c r="Q853" s="15"/>
      <c r="R853" s="1"/>
      <c r="S853" s="1"/>
    </row>
    <row r="854">
      <c r="A854" s="1"/>
      <c r="B854" s="3">
        <f t="shared" si="2"/>
        <v>850</v>
      </c>
      <c r="C854" s="31" t="s">
        <v>1870</v>
      </c>
      <c r="D854" s="37" t="s">
        <v>49</v>
      </c>
      <c r="E854" s="37" t="s">
        <v>1871</v>
      </c>
      <c r="F854" s="43" t="s">
        <v>1872</v>
      </c>
      <c r="G854" s="37"/>
      <c r="H854" s="46">
        <v>46147.0</v>
      </c>
      <c r="I854" s="37" t="s">
        <v>1289</v>
      </c>
      <c r="J854" s="3"/>
      <c r="K854" s="3"/>
      <c r="L854" s="37" t="s">
        <v>189</v>
      </c>
      <c r="M854" s="37"/>
      <c r="N854" s="17"/>
      <c r="O854" s="1"/>
      <c r="P854" s="15"/>
      <c r="Q854" s="15"/>
      <c r="R854" s="1"/>
      <c r="S854" s="1"/>
    </row>
    <row r="855">
      <c r="A855" s="1"/>
      <c r="B855" s="3">
        <f t="shared" si="2"/>
        <v>851</v>
      </c>
      <c r="C855" s="31" t="s">
        <v>1873</v>
      </c>
      <c r="D855" s="37" t="s">
        <v>159</v>
      </c>
      <c r="E855" s="37" t="s">
        <v>1285</v>
      </c>
      <c r="F855" s="43" t="s">
        <v>1873</v>
      </c>
      <c r="G855" s="37"/>
      <c r="H855" s="46">
        <v>46147.0</v>
      </c>
      <c r="I855" s="37" t="s">
        <v>1289</v>
      </c>
      <c r="J855" s="3"/>
      <c r="K855" s="3"/>
      <c r="L855" s="37" t="s">
        <v>189</v>
      </c>
      <c r="M855" s="37"/>
      <c r="N855" s="17"/>
      <c r="O855" s="1"/>
      <c r="P855" s="15"/>
      <c r="Q855" s="15"/>
      <c r="R855" s="1"/>
      <c r="S855" s="1"/>
    </row>
    <row r="856">
      <c r="A856" s="1"/>
      <c r="B856" s="3">
        <f t="shared" si="2"/>
        <v>852</v>
      </c>
      <c r="C856" s="31" t="s">
        <v>1874</v>
      </c>
      <c r="D856" s="37" t="s">
        <v>44</v>
      </c>
      <c r="E856" s="37" t="s">
        <v>1441</v>
      </c>
      <c r="F856" s="43" t="s">
        <v>1875</v>
      </c>
      <c r="G856" s="37"/>
      <c r="H856" s="46">
        <v>46147.0</v>
      </c>
      <c r="I856" s="37" t="s">
        <v>1289</v>
      </c>
      <c r="J856" s="3"/>
      <c r="K856" s="3"/>
      <c r="L856" s="37" t="s">
        <v>189</v>
      </c>
      <c r="M856" s="37"/>
      <c r="N856" s="17"/>
      <c r="O856" s="1"/>
      <c r="P856" s="15"/>
      <c r="Q856" s="15"/>
      <c r="R856" s="1"/>
      <c r="S856" s="1"/>
    </row>
    <row r="857">
      <c r="A857" s="1"/>
      <c r="B857" s="3">
        <f t="shared" si="2"/>
        <v>853</v>
      </c>
      <c r="C857" s="31" t="s">
        <v>1876</v>
      </c>
      <c r="D857" s="37" t="s">
        <v>1505</v>
      </c>
      <c r="E857" s="37" t="s">
        <v>1441</v>
      </c>
      <c r="F857" s="43" t="s">
        <v>1877</v>
      </c>
      <c r="G857" s="37"/>
      <c r="H857" s="46">
        <v>46147.0</v>
      </c>
      <c r="I857" s="37" t="s">
        <v>1289</v>
      </c>
      <c r="J857" s="3"/>
      <c r="K857" s="3"/>
      <c r="L857" s="37" t="s">
        <v>189</v>
      </c>
      <c r="M857" s="37"/>
      <c r="N857" s="17"/>
      <c r="O857" s="1"/>
      <c r="P857" s="15"/>
      <c r="Q857" s="15"/>
      <c r="R857" s="1"/>
      <c r="S857" s="1"/>
    </row>
    <row r="858">
      <c r="A858" s="1"/>
      <c r="B858" s="3">
        <f t="shared" si="2"/>
        <v>854</v>
      </c>
      <c r="C858" s="31" t="s">
        <v>1878</v>
      </c>
      <c r="D858" s="37" t="s">
        <v>83</v>
      </c>
      <c r="E858" s="37" t="s">
        <v>1285</v>
      </c>
      <c r="F858" s="43" t="s">
        <v>1878</v>
      </c>
      <c r="G858" s="37"/>
      <c r="H858" s="46">
        <v>46147.0</v>
      </c>
      <c r="I858" s="37" t="s">
        <v>1289</v>
      </c>
      <c r="J858" s="3"/>
      <c r="K858" s="3"/>
      <c r="L858" s="37" t="s">
        <v>189</v>
      </c>
      <c r="M858" s="37"/>
      <c r="N858" s="17"/>
      <c r="O858" s="1"/>
      <c r="P858" s="15"/>
      <c r="Q858" s="15"/>
      <c r="R858" s="1"/>
      <c r="S858" s="1"/>
    </row>
    <row r="859">
      <c r="A859" s="1"/>
      <c r="B859" s="3">
        <f t="shared" si="2"/>
        <v>855</v>
      </c>
      <c r="C859" s="31" t="s">
        <v>1879</v>
      </c>
      <c r="D859" s="37" t="s">
        <v>116</v>
      </c>
      <c r="E859" s="37" t="s">
        <v>1880</v>
      </c>
      <c r="F859" s="43" t="s">
        <v>1881</v>
      </c>
      <c r="G859" s="37"/>
      <c r="H859" s="46">
        <v>46147.0</v>
      </c>
      <c r="I859" s="37" t="s">
        <v>1289</v>
      </c>
      <c r="J859" s="3"/>
      <c r="K859" s="3"/>
      <c r="L859" s="37" t="s">
        <v>189</v>
      </c>
      <c r="M859" s="37"/>
      <c r="N859" s="17"/>
      <c r="O859" s="1"/>
      <c r="P859" s="15"/>
      <c r="Q859" s="15"/>
      <c r="R859" s="1"/>
      <c r="S859" s="1"/>
    </row>
    <row r="860">
      <c r="A860" s="1"/>
      <c r="B860" s="3">
        <f t="shared" si="2"/>
        <v>856</v>
      </c>
      <c r="C860" s="31" t="s">
        <v>1882</v>
      </c>
      <c r="D860" s="37" t="s">
        <v>112</v>
      </c>
      <c r="E860" s="37" t="s">
        <v>1441</v>
      </c>
      <c r="F860" s="43" t="s">
        <v>1883</v>
      </c>
      <c r="G860" s="37"/>
      <c r="H860" s="46">
        <v>46147.0</v>
      </c>
      <c r="I860" s="37" t="s">
        <v>1289</v>
      </c>
      <c r="J860" s="3"/>
      <c r="K860" s="3"/>
      <c r="L860" s="37" t="s">
        <v>58</v>
      </c>
      <c r="M860" s="37"/>
      <c r="N860" s="17"/>
      <c r="O860" s="1"/>
      <c r="P860" s="15"/>
      <c r="Q860" s="15"/>
      <c r="R860" s="1"/>
      <c r="S860" s="1"/>
    </row>
    <row r="861">
      <c r="A861" s="1"/>
      <c r="B861" s="3">
        <f t="shared" si="2"/>
        <v>857</v>
      </c>
      <c r="C861" s="31" t="s">
        <v>1884</v>
      </c>
      <c r="D861" s="37" t="s">
        <v>112</v>
      </c>
      <c r="E861" s="37" t="s">
        <v>1357</v>
      </c>
      <c r="F861" s="43" t="s">
        <v>1885</v>
      </c>
      <c r="G861" s="37"/>
      <c r="H861" s="46">
        <v>46147.0</v>
      </c>
      <c r="I861" s="37" t="s">
        <v>1289</v>
      </c>
      <c r="J861" s="3"/>
      <c r="K861" s="3"/>
      <c r="L861" s="37" t="s">
        <v>58</v>
      </c>
      <c r="M861" s="37"/>
      <c r="N861" s="17"/>
      <c r="O861" s="1"/>
      <c r="P861" s="15"/>
      <c r="Q861" s="15"/>
      <c r="R861" s="1"/>
      <c r="S861" s="1"/>
    </row>
    <row r="862">
      <c r="A862" s="1"/>
      <c r="B862" s="3">
        <f t="shared" si="2"/>
        <v>858</v>
      </c>
      <c r="C862" s="31" t="s">
        <v>1886</v>
      </c>
      <c r="D862" s="37" t="s">
        <v>112</v>
      </c>
      <c r="E862" s="37" t="s">
        <v>1646</v>
      </c>
      <c r="F862" s="43" t="s">
        <v>1887</v>
      </c>
      <c r="G862" s="37"/>
      <c r="H862" s="46">
        <v>46147.0</v>
      </c>
      <c r="I862" s="37" t="s">
        <v>1289</v>
      </c>
      <c r="J862" s="3"/>
      <c r="K862" s="3"/>
      <c r="L862" s="37" t="s">
        <v>58</v>
      </c>
      <c r="M862" s="37"/>
      <c r="N862" s="17"/>
      <c r="O862" s="1"/>
      <c r="P862" s="15"/>
      <c r="Q862" s="15"/>
      <c r="R862" s="1"/>
      <c r="S862" s="1"/>
    </row>
    <row r="863">
      <c r="A863" s="1"/>
      <c r="B863" s="3">
        <f t="shared" si="2"/>
        <v>859</v>
      </c>
      <c r="C863" s="31" t="s">
        <v>1888</v>
      </c>
      <c r="D863" s="37" t="s">
        <v>112</v>
      </c>
      <c r="E863" s="37" t="s">
        <v>1343</v>
      </c>
      <c r="F863" s="43" t="s">
        <v>1889</v>
      </c>
      <c r="G863" s="37"/>
      <c r="H863" s="46">
        <v>46147.0</v>
      </c>
      <c r="I863" s="37" t="s">
        <v>1289</v>
      </c>
      <c r="J863" s="3"/>
      <c r="K863" s="3"/>
      <c r="L863" s="37" t="s">
        <v>58</v>
      </c>
      <c r="M863" s="37"/>
      <c r="N863" s="17"/>
      <c r="O863" s="1"/>
      <c r="P863" s="15"/>
      <c r="Q863" s="15"/>
      <c r="R863" s="1"/>
      <c r="S863" s="1"/>
    </row>
    <row r="864">
      <c r="A864" s="1"/>
      <c r="B864" s="3">
        <f t="shared" si="2"/>
        <v>860</v>
      </c>
      <c r="C864" s="31" t="s">
        <v>1890</v>
      </c>
      <c r="D864" s="37" t="s">
        <v>112</v>
      </c>
      <c r="E864" s="37" t="s">
        <v>1891</v>
      </c>
      <c r="F864" s="43" t="s">
        <v>1892</v>
      </c>
      <c r="G864" s="37"/>
      <c r="H864" s="46">
        <v>46147.0</v>
      </c>
      <c r="I864" s="37" t="s">
        <v>1289</v>
      </c>
      <c r="J864" s="3"/>
      <c r="K864" s="3"/>
      <c r="L864" s="37" t="s">
        <v>58</v>
      </c>
      <c r="M864" s="37"/>
      <c r="N864" s="17"/>
      <c r="O864" s="1"/>
      <c r="P864" s="15"/>
      <c r="Q864" s="15"/>
      <c r="R864" s="1"/>
      <c r="S864" s="1"/>
    </row>
    <row r="865">
      <c r="A865" s="1"/>
      <c r="B865" s="3">
        <f t="shared" si="2"/>
        <v>861</v>
      </c>
      <c r="C865" s="31" t="s">
        <v>1893</v>
      </c>
      <c r="D865" s="37" t="s">
        <v>112</v>
      </c>
      <c r="E865" s="37" t="s">
        <v>1285</v>
      </c>
      <c r="F865" s="43" t="s">
        <v>1893</v>
      </c>
      <c r="G865" s="37"/>
      <c r="H865" s="46">
        <v>46147.0</v>
      </c>
      <c r="I865" s="37" t="s">
        <v>1289</v>
      </c>
      <c r="J865" s="3"/>
      <c r="K865" s="3"/>
      <c r="L865" s="37" t="s">
        <v>58</v>
      </c>
      <c r="M865" s="37"/>
      <c r="N865" s="17"/>
      <c r="O865" s="1"/>
      <c r="P865" s="15"/>
      <c r="Q865" s="15"/>
      <c r="R865" s="1"/>
      <c r="S865" s="1"/>
    </row>
    <row r="866">
      <c r="A866" s="1"/>
      <c r="B866" s="3">
        <f t="shared" si="2"/>
        <v>862</v>
      </c>
      <c r="C866" s="31" t="s">
        <v>1894</v>
      </c>
      <c r="D866" s="37" t="s">
        <v>49</v>
      </c>
      <c r="E866" s="37" t="s">
        <v>1895</v>
      </c>
      <c r="F866" s="43" t="s">
        <v>1894</v>
      </c>
      <c r="G866" s="37"/>
      <c r="H866" s="46">
        <v>46147.0</v>
      </c>
      <c r="I866" s="37" t="s">
        <v>1289</v>
      </c>
      <c r="J866" s="3"/>
      <c r="K866" s="3"/>
      <c r="L866" s="37" t="s">
        <v>58</v>
      </c>
      <c r="M866" s="37"/>
      <c r="N866" s="17"/>
      <c r="O866" s="1"/>
      <c r="P866" s="15"/>
      <c r="Q866" s="15"/>
      <c r="R866" s="1"/>
      <c r="S866" s="1"/>
    </row>
    <row r="867">
      <c r="A867" s="1"/>
      <c r="B867" s="3">
        <f t="shared" si="2"/>
        <v>863</v>
      </c>
      <c r="C867" s="31" t="s">
        <v>748</v>
      </c>
      <c r="D867" s="37" t="s">
        <v>49</v>
      </c>
      <c r="E867" s="37" t="s">
        <v>1896</v>
      </c>
      <c r="F867" s="43" t="s">
        <v>748</v>
      </c>
      <c r="G867" s="37"/>
      <c r="H867" s="46">
        <v>46147.0</v>
      </c>
      <c r="I867" s="37" t="s">
        <v>1289</v>
      </c>
      <c r="J867" s="3"/>
      <c r="K867" s="3"/>
      <c r="L867" s="37" t="s">
        <v>58</v>
      </c>
      <c r="M867" s="37"/>
      <c r="N867" s="17"/>
      <c r="O867" s="1"/>
      <c r="P867" s="15"/>
      <c r="Q867" s="15"/>
      <c r="R867" s="1"/>
      <c r="S867" s="1"/>
    </row>
    <row r="868">
      <c r="A868" s="1"/>
      <c r="B868" s="3">
        <f t="shared" si="2"/>
        <v>864</v>
      </c>
      <c r="C868" s="31" t="s">
        <v>1897</v>
      </c>
      <c r="D868" s="37" t="s">
        <v>49</v>
      </c>
      <c r="E868" s="1"/>
      <c r="F868" s="43" t="s">
        <v>1898</v>
      </c>
      <c r="G868" s="37"/>
      <c r="H868" s="46">
        <v>46147.0</v>
      </c>
      <c r="I868" s="37" t="s">
        <v>1289</v>
      </c>
      <c r="J868" s="3"/>
      <c r="K868" s="3"/>
      <c r="L868" s="37" t="s">
        <v>58</v>
      </c>
      <c r="M868" s="37"/>
      <c r="N868" s="17"/>
      <c r="O868" s="1"/>
      <c r="P868" s="15"/>
      <c r="Q868" s="15"/>
      <c r="R868" s="1"/>
      <c r="S868" s="1"/>
    </row>
    <row r="869">
      <c r="A869" s="1"/>
      <c r="B869" s="3">
        <f t="shared" si="2"/>
        <v>865</v>
      </c>
      <c r="C869" s="31" t="s">
        <v>1899</v>
      </c>
      <c r="D869" s="37" t="s">
        <v>49</v>
      </c>
      <c r="E869" s="37" t="s">
        <v>1900</v>
      </c>
      <c r="F869" s="43" t="s">
        <v>1901</v>
      </c>
      <c r="G869" s="37"/>
      <c r="H869" s="46">
        <v>46147.0</v>
      </c>
      <c r="I869" s="37" t="s">
        <v>1289</v>
      </c>
      <c r="J869" s="3"/>
      <c r="K869" s="3"/>
      <c r="L869" s="37" t="s">
        <v>58</v>
      </c>
      <c r="M869" s="37"/>
      <c r="N869" s="17"/>
      <c r="O869" s="1"/>
      <c r="P869" s="15"/>
      <c r="Q869" s="15"/>
      <c r="R869" s="1"/>
      <c r="S869" s="1"/>
    </row>
    <row r="870">
      <c r="A870" s="1"/>
      <c r="B870" s="3">
        <f t="shared" si="2"/>
        <v>866</v>
      </c>
      <c r="C870" s="31" t="s">
        <v>1902</v>
      </c>
      <c r="D870" s="37" t="s">
        <v>49</v>
      </c>
      <c r="E870" s="37" t="s">
        <v>1357</v>
      </c>
      <c r="F870" s="43" t="s">
        <v>1903</v>
      </c>
      <c r="G870" s="37"/>
      <c r="H870" s="46">
        <v>46147.0</v>
      </c>
      <c r="I870" s="37" t="s">
        <v>1289</v>
      </c>
      <c r="J870" s="3"/>
      <c r="K870" s="3"/>
      <c r="L870" s="37" t="s">
        <v>58</v>
      </c>
      <c r="M870" s="37"/>
      <c r="N870" s="17"/>
      <c r="O870" s="1"/>
      <c r="P870" s="15"/>
      <c r="Q870" s="15"/>
      <c r="R870" s="1"/>
      <c r="S870" s="1"/>
    </row>
    <row r="871">
      <c r="A871" s="1"/>
      <c r="B871" s="3">
        <f t="shared" si="2"/>
        <v>867</v>
      </c>
      <c r="C871" s="31" t="s">
        <v>1904</v>
      </c>
      <c r="D871" s="37" t="s">
        <v>49</v>
      </c>
      <c r="E871" s="37" t="s">
        <v>1905</v>
      </c>
      <c r="F871" s="43" t="s">
        <v>1906</v>
      </c>
      <c r="G871" s="37"/>
      <c r="H871" s="46">
        <v>46147.0</v>
      </c>
      <c r="I871" s="37" t="s">
        <v>1289</v>
      </c>
      <c r="J871" s="3"/>
      <c r="K871" s="3"/>
      <c r="L871" s="37" t="s">
        <v>58</v>
      </c>
      <c r="M871" s="37"/>
      <c r="N871" s="17"/>
      <c r="O871" s="1"/>
      <c r="P871" s="15"/>
      <c r="Q871" s="15"/>
      <c r="R871" s="1"/>
      <c r="S871" s="1"/>
    </row>
    <row r="872">
      <c r="A872" s="1"/>
      <c r="B872" s="3">
        <f t="shared" si="2"/>
        <v>868</v>
      </c>
      <c r="C872" s="31" t="s">
        <v>1907</v>
      </c>
      <c r="D872" s="37" t="s">
        <v>56</v>
      </c>
      <c r="E872" s="37" t="s">
        <v>1908</v>
      </c>
      <c r="F872" s="43" t="s">
        <v>1909</v>
      </c>
      <c r="G872" s="37"/>
      <c r="H872" s="46">
        <v>46147.0</v>
      </c>
      <c r="I872" s="37" t="s">
        <v>1289</v>
      </c>
      <c r="J872" s="3"/>
      <c r="K872" s="3"/>
      <c r="L872" s="37" t="s">
        <v>58</v>
      </c>
      <c r="M872" s="37"/>
      <c r="N872" s="17"/>
      <c r="O872" s="1"/>
      <c r="P872" s="15"/>
      <c r="Q872" s="15"/>
      <c r="R872" s="1"/>
      <c r="S872" s="1"/>
    </row>
    <row r="873">
      <c r="A873" s="1"/>
      <c r="B873" s="3">
        <f t="shared" si="2"/>
        <v>869</v>
      </c>
      <c r="C873" s="31" t="s">
        <v>1910</v>
      </c>
      <c r="D873" s="37" t="s">
        <v>497</v>
      </c>
      <c r="E873" s="37" t="s">
        <v>1312</v>
      </c>
      <c r="F873" s="43" t="s">
        <v>1911</v>
      </c>
      <c r="G873" s="37"/>
      <c r="H873" s="46">
        <v>46147.0</v>
      </c>
      <c r="I873" s="37" t="s">
        <v>1289</v>
      </c>
      <c r="J873" s="3"/>
      <c r="K873" s="3"/>
      <c r="L873" s="37" t="s">
        <v>58</v>
      </c>
      <c r="M873" s="37"/>
      <c r="N873" s="17"/>
      <c r="O873" s="1"/>
      <c r="P873" s="15"/>
      <c r="Q873" s="15"/>
      <c r="R873" s="1"/>
      <c r="S873" s="1"/>
    </row>
    <row r="874">
      <c r="A874" s="1"/>
      <c r="B874" s="3">
        <f t="shared" si="2"/>
        <v>870</v>
      </c>
      <c r="C874" s="31" t="s">
        <v>1912</v>
      </c>
      <c r="D874" s="37" t="s">
        <v>49</v>
      </c>
      <c r="E874" s="37" t="s">
        <v>1913</v>
      </c>
      <c r="F874" s="43" t="s">
        <v>1912</v>
      </c>
      <c r="G874" s="37"/>
      <c r="H874" s="46">
        <v>46147.0</v>
      </c>
      <c r="I874" s="37" t="s">
        <v>1289</v>
      </c>
      <c r="J874" s="3"/>
      <c r="K874" s="3"/>
      <c r="L874" s="37" t="s">
        <v>58</v>
      </c>
      <c r="M874" s="37"/>
      <c r="N874" s="17"/>
      <c r="O874" s="1"/>
      <c r="P874" s="15"/>
      <c r="Q874" s="15"/>
      <c r="R874" s="1"/>
      <c r="S874" s="1"/>
    </row>
    <row r="875">
      <c r="A875" s="1"/>
      <c r="B875" s="3">
        <f t="shared" si="2"/>
        <v>871</v>
      </c>
      <c r="C875" s="31" t="s">
        <v>1914</v>
      </c>
      <c r="D875" s="37" t="s">
        <v>49</v>
      </c>
      <c r="E875" s="37" t="s">
        <v>1583</v>
      </c>
      <c r="F875" s="43" t="s">
        <v>1914</v>
      </c>
      <c r="G875" s="37"/>
      <c r="H875" s="46">
        <v>46147.0</v>
      </c>
      <c r="I875" s="37" t="s">
        <v>1289</v>
      </c>
      <c r="J875" s="3"/>
      <c r="K875" s="3"/>
      <c r="L875" s="37" t="s">
        <v>58</v>
      </c>
      <c r="M875" s="37"/>
      <c r="N875" s="17"/>
      <c r="O875" s="1"/>
      <c r="P875" s="15"/>
      <c r="Q875" s="15"/>
      <c r="R875" s="1"/>
      <c r="S875" s="1"/>
    </row>
    <row r="876">
      <c r="A876" s="1"/>
      <c r="B876" s="3">
        <f t="shared" si="2"/>
        <v>872</v>
      </c>
      <c r="C876" s="31" t="s">
        <v>1915</v>
      </c>
      <c r="D876" s="37" t="s">
        <v>44</v>
      </c>
      <c r="E876" s="37" t="s">
        <v>1595</v>
      </c>
      <c r="F876" s="43" t="s">
        <v>1916</v>
      </c>
      <c r="G876" s="37"/>
      <c r="H876" s="46">
        <v>46147.0</v>
      </c>
      <c r="I876" s="37" t="s">
        <v>1289</v>
      </c>
      <c r="J876" s="3"/>
      <c r="K876" s="3"/>
      <c r="L876" s="37" t="s">
        <v>58</v>
      </c>
      <c r="M876" s="37"/>
      <c r="N876" s="17"/>
      <c r="O876" s="1"/>
      <c r="P876" s="15"/>
      <c r="Q876" s="15"/>
      <c r="R876" s="1"/>
      <c r="S876" s="1"/>
    </row>
    <row r="877">
      <c r="A877" s="1"/>
      <c r="B877" s="3">
        <f t="shared" si="2"/>
        <v>873</v>
      </c>
      <c r="C877" s="31" t="s">
        <v>1917</v>
      </c>
      <c r="D877" s="37" t="s">
        <v>44</v>
      </c>
      <c r="E877" s="37" t="s">
        <v>1669</v>
      </c>
      <c r="F877" s="43" t="s">
        <v>1917</v>
      </c>
      <c r="G877" s="37"/>
      <c r="H877" s="46">
        <v>46147.0</v>
      </c>
      <c r="I877" s="37" t="s">
        <v>1289</v>
      </c>
      <c r="J877" s="3"/>
      <c r="K877" s="3"/>
      <c r="L877" s="37" t="s">
        <v>58</v>
      </c>
      <c r="M877" s="37"/>
      <c r="N877" s="17"/>
      <c r="O877" s="1"/>
      <c r="P877" s="15"/>
      <c r="Q877" s="15"/>
      <c r="R877" s="1"/>
      <c r="S877" s="1"/>
    </row>
    <row r="878">
      <c r="A878" s="1"/>
      <c r="B878" s="3">
        <f t="shared" si="2"/>
        <v>874</v>
      </c>
      <c r="C878" s="31" t="s">
        <v>1918</v>
      </c>
      <c r="D878" s="37" t="s">
        <v>44</v>
      </c>
      <c r="E878" s="37" t="s">
        <v>1919</v>
      </c>
      <c r="F878" s="43" t="s">
        <v>1918</v>
      </c>
      <c r="G878" s="37"/>
      <c r="H878" s="46">
        <v>46147.0</v>
      </c>
      <c r="I878" s="37" t="s">
        <v>1289</v>
      </c>
      <c r="J878" s="3"/>
      <c r="K878" s="3"/>
      <c r="L878" s="37" t="s">
        <v>58</v>
      </c>
      <c r="M878" s="37"/>
      <c r="N878" s="17"/>
      <c r="O878" s="1"/>
      <c r="P878" s="15"/>
      <c r="Q878" s="15"/>
      <c r="R878" s="1"/>
      <c r="S878" s="1"/>
    </row>
    <row r="879">
      <c r="A879" s="1"/>
      <c r="B879" s="3">
        <f t="shared" si="2"/>
        <v>875</v>
      </c>
      <c r="C879" s="31" t="s">
        <v>1920</v>
      </c>
      <c r="D879" s="37" t="s">
        <v>44</v>
      </c>
      <c r="E879" s="37"/>
      <c r="F879" s="43" t="s">
        <v>1920</v>
      </c>
      <c r="G879" s="37"/>
      <c r="H879" s="46">
        <v>46147.0</v>
      </c>
      <c r="I879" s="37" t="s">
        <v>1289</v>
      </c>
      <c r="J879" s="3"/>
      <c r="K879" s="3"/>
      <c r="L879" s="37" t="s">
        <v>58</v>
      </c>
      <c r="M879" s="37"/>
      <c r="N879" s="17"/>
      <c r="O879" s="1"/>
      <c r="P879" s="15"/>
      <c r="Q879" s="15"/>
      <c r="R879" s="1"/>
      <c r="S879" s="1"/>
    </row>
    <row r="880">
      <c r="A880" s="1"/>
      <c r="B880" s="3">
        <f t="shared" si="2"/>
        <v>876</v>
      </c>
      <c r="C880" s="31" t="s">
        <v>1921</v>
      </c>
      <c r="D880" s="37" t="s">
        <v>44</v>
      </c>
      <c r="E880" s="37" t="s">
        <v>1922</v>
      </c>
      <c r="F880" s="43" t="s">
        <v>1923</v>
      </c>
      <c r="G880" s="37"/>
      <c r="H880" s="46">
        <v>46147.0</v>
      </c>
      <c r="I880" s="37" t="s">
        <v>1289</v>
      </c>
      <c r="J880" s="3"/>
      <c r="K880" s="3"/>
      <c r="L880" s="37" t="s">
        <v>58</v>
      </c>
      <c r="M880" s="37"/>
      <c r="N880" s="17"/>
      <c r="O880" s="1"/>
      <c r="P880" s="15"/>
      <c r="Q880" s="15"/>
      <c r="R880" s="1"/>
      <c r="S880" s="1"/>
    </row>
    <row r="881">
      <c r="A881" s="1"/>
      <c r="B881" s="3">
        <f t="shared" si="2"/>
        <v>877</v>
      </c>
      <c r="C881" s="31" t="s">
        <v>682</v>
      </c>
      <c r="D881" s="37" t="s">
        <v>44</v>
      </c>
      <c r="E881" s="37" t="s">
        <v>1922</v>
      </c>
      <c r="F881" s="43" t="s">
        <v>682</v>
      </c>
      <c r="G881" s="37"/>
      <c r="H881" s="46">
        <v>46147.0</v>
      </c>
      <c r="I881" s="37" t="s">
        <v>1289</v>
      </c>
      <c r="J881" s="3"/>
      <c r="K881" s="3"/>
      <c r="L881" s="37" t="s">
        <v>58</v>
      </c>
      <c r="M881" s="37"/>
      <c r="N881" s="17"/>
      <c r="O881" s="1"/>
      <c r="P881" s="15"/>
      <c r="Q881" s="15"/>
      <c r="R881" s="1"/>
      <c r="S881" s="1"/>
    </row>
    <row r="882">
      <c r="A882" s="1"/>
      <c r="B882" s="3">
        <f t="shared" si="2"/>
        <v>878</v>
      </c>
      <c r="C882" s="31" t="s">
        <v>1924</v>
      </c>
      <c r="D882" s="37" t="s">
        <v>44</v>
      </c>
      <c r="E882" s="37" t="s">
        <v>1925</v>
      </c>
      <c r="F882" s="43" t="s">
        <v>1924</v>
      </c>
      <c r="G882" s="37"/>
      <c r="H882" s="46">
        <v>46147.0</v>
      </c>
      <c r="I882" s="37" t="s">
        <v>1289</v>
      </c>
      <c r="J882" s="3"/>
      <c r="K882" s="3"/>
      <c r="L882" s="37" t="s">
        <v>58</v>
      </c>
      <c r="M882" s="37"/>
      <c r="N882" s="17"/>
      <c r="O882" s="1"/>
      <c r="P882" s="15"/>
      <c r="Q882" s="15"/>
      <c r="R882" s="1"/>
      <c r="S882" s="1"/>
    </row>
    <row r="883">
      <c r="A883" s="1"/>
      <c r="B883" s="3">
        <f t="shared" si="2"/>
        <v>879</v>
      </c>
      <c r="C883" s="31" t="s">
        <v>1926</v>
      </c>
      <c r="D883" s="37" t="s">
        <v>44</v>
      </c>
      <c r="E883" s="1"/>
      <c r="F883" s="43" t="s">
        <v>1927</v>
      </c>
      <c r="G883" s="37"/>
      <c r="H883" s="46">
        <v>46147.0</v>
      </c>
      <c r="I883" s="37" t="s">
        <v>1289</v>
      </c>
      <c r="J883" s="3"/>
      <c r="K883" s="3"/>
      <c r="L883" s="37" t="s">
        <v>58</v>
      </c>
      <c r="M883" s="37"/>
      <c r="N883" s="17"/>
      <c r="O883" s="1"/>
      <c r="P883" s="15"/>
      <c r="Q883" s="15"/>
      <c r="R883" s="1"/>
      <c r="S883" s="1"/>
    </row>
    <row r="884">
      <c r="A884" s="1"/>
      <c r="B884" s="3">
        <f t="shared" si="2"/>
        <v>880</v>
      </c>
      <c r="C884" s="31" t="s">
        <v>1928</v>
      </c>
      <c r="D884" s="37" t="s">
        <v>44</v>
      </c>
      <c r="E884" s="37" t="s">
        <v>1929</v>
      </c>
      <c r="F884" s="43" t="s">
        <v>1930</v>
      </c>
      <c r="G884" s="37"/>
      <c r="H884" s="46">
        <v>46147.0</v>
      </c>
      <c r="I884" s="37" t="s">
        <v>1289</v>
      </c>
      <c r="J884" s="3"/>
      <c r="K884" s="3"/>
      <c r="L884" s="37" t="s">
        <v>58</v>
      </c>
      <c r="M884" s="37"/>
      <c r="N884" s="17"/>
      <c r="O884" s="1"/>
      <c r="P884" s="15"/>
      <c r="Q884" s="15"/>
      <c r="R884" s="1"/>
      <c r="S884" s="1"/>
    </row>
    <row r="885">
      <c r="A885" s="1"/>
      <c r="B885" s="3">
        <f t="shared" si="2"/>
        <v>881</v>
      </c>
      <c r="C885" s="31" t="s">
        <v>1931</v>
      </c>
      <c r="D885" s="37" t="s">
        <v>44</v>
      </c>
      <c r="E885" s="37" t="s">
        <v>1932</v>
      </c>
      <c r="F885" s="43" t="s">
        <v>1933</v>
      </c>
      <c r="G885" s="37"/>
      <c r="H885" s="46">
        <v>46147.0</v>
      </c>
      <c r="I885" s="37" t="s">
        <v>1289</v>
      </c>
      <c r="J885" s="3"/>
      <c r="K885" s="3"/>
      <c r="L885" s="37" t="s">
        <v>58</v>
      </c>
      <c r="M885" s="37"/>
      <c r="N885" s="17"/>
      <c r="O885" s="1"/>
      <c r="P885" s="15"/>
      <c r="Q885" s="15"/>
      <c r="R885" s="1"/>
      <c r="S885" s="1"/>
    </row>
    <row r="886">
      <c r="A886" s="1"/>
      <c r="B886" s="3">
        <f t="shared" si="2"/>
        <v>882</v>
      </c>
      <c r="C886" s="31" t="s">
        <v>1934</v>
      </c>
      <c r="D886" s="37" t="s">
        <v>44</v>
      </c>
      <c r="E886" s="37" t="s">
        <v>1320</v>
      </c>
      <c r="F886" s="43" t="s">
        <v>1935</v>
      </c>
      <c r="G886" s="37"/>
      <c r="H886" s="46">
        <v>46147.0</v>
      </c>
      <c r="I886" s="37" t="s">
        <v>1289</v>
      </c>
      <c r="J886" s="3"/>
      <c r="K886" s="3"/>
      <c r="L886" s="37" t="s">
        <v>58</v>
      </c>
      <c r="M886" s="37"/>
      <c r="N886" s="17"/>
      <c r="O886" s="1"/>
      <c r="P886" s="15"/>
      <c r="Q886" s="15"/>
      <c r="R886" s="1"/>
      <c r="S886" s="1"/>
    </row>
    <row r="887">
      <c r="A887" s="1"/>
      <c r="B887" s="3">
        <f t="shared" si="2"/>
        <v>883</v>
      </c>
      <c r="C887" s="31" t="s">
        <v>1936</v>
      </c>
      <c r="D887" s="37" t="s">
        <v>44</v>
      </c>
      <c r="E887" s="37" t="s">
        <v>1937</v>
      </c>
      <c r="F887" s="43" t="s">
        <v>1938</v>
      </c>
      <c r="G887" s="37"/>
      <c r="H887" s="46">
        <v>46147.0</v>
      </c>
      <c r="I887" s="37" t="s">
        <v>1289</v>
      </c>
      <c r="J887" s="3"/>
      <c r="K887" s="3"/>
      <c r="L887" s="37" t="s">
        <v>58</v>
      </c>
      <c r="M887" s="37"/>
      <c r="N887" s="17"/>
      <c r="O887" s="1"/>
      <c r="P887" s="15"/>
      <c r="Q887" s="15"/>
      <c r="R887" s="1"/>
      <c r="S887" s="1"/>
    </row>
    <row r="888">
      <c r="A888" s="1"/>
      <c r="B888" s="3">
        <f t="shared" si="2"/>
        <v>884</v>
      </c>
      <c r="C888" s="31" t="s">
        <v>1939</v>
      </c>
      <c r="D888" s="37" t="s">
        <v>44</v>
      </c>
      <c r="E888" s="37" t="s">
        <v>1940</v>
      </c>
      <c r="F888" s="43" t="s">
        <v>1941</v>
      </c>
      <c r="G888" s="37"/>
      <c r="H888" s="46">
        <v>46147.0</v>
      </c>
      <c r="I888" s="37" t="s">
        <v>1289</v>
      </c>
      <c r="J888" s="3"/>
      <c r="K888" s="3"/>
      <c r="L888" s="37" t="s">
        <v>58</v>
      </c>
      <c r="M888" s="37"/>
      <c r="N888" s="17"/>
      <c r="O888" s="1"/>
      <c r="P888" s="15"/>
      <c r="Q888" s="15"/>
      <c r="R888" s="1"/>
      <c r="S888" s="1"/>
    </row>
    <row r="889">
      <c r="A889" s="1"/>
      <c r="B889" s="3">
        <f t="shared" si="2"/>
        <v>885</v>
      </c>
      <c r="C889" s="31" t="s">
        <v>1942</v>
      </c>
      <c r="D889" s="37" t="s">
        <v>44</v>
      </c>
      <c r="E889" s="37" t="s">
        <v>1441</v>
      </c>
      <c r="F889" s="43" t="s">
        <v>1943</v>
      </c>
      <c r="G889" s="37"/>
      <c r="H889" s="46">
        <v>46147.0</v>
      </c>
      <c r="I889" s="37" t="s">
        <v>1289</v>
      </c>
      <c r="J889" s="3"/>
      <c r="K889" s="3"/>
      <c r="L889" s="37" t="s">
        <v>58</v>
      </c>
      <c r="M889" s="37"/>
      <c r="N889" s="17"/>
      <c r="O889" s="1"/>
      <c r="P889" s="15"/>
      <c r="Q889" s="15"/>
      <c r="R889" s="1"/>
      <c r="S889" s="1"/>
    </row>
    <row r="890">
      <c r="A890" s="1"/>
      <c r="B890" s="3">
        <f t="shared" si="2"/>
        <v>886</v>
      </c>
      <c r="C890" s="31" t="s">
        <v>1944</v>
      </c>
      <c r="D890" s="37" t="s">
        <v>44</v>
      </c>
      <c r="E890" s="37" t="s">
        <v>1945</v>
      </c>
      <c r="F890" s="43" t="s">
        <v>1946</v>
      </c>
      <c r="G890" s="37"/>
      <c r="H890" s="46">
        <v>46147.0</v>
      </c>
      <c r="I890" s="37" t="s">
        <v>1289</v>
      </c>
      <c r="J890" s="3"/>
      <c r="K890" s="3"/>
      <c r="L890" s="37" t="s">
        <v>58</v>
      </c>
      <c r="M890" s="37"/>
      <c r="N890" s="17"/>
      <c r="O890" s="1"/>
      <c r="P890" s="15"/>
      <c r="Q890" s="15"/>
      <c r="R890" s="1"/>
      <c r="S890" s="1"/>
    </row>
    <row r="891">
      <c r="A891" s="1"/>
      <c r="B891" s="3">
        <f t="shared" si="2"/>
        <v>887</v>
      </c>
      <c r="C891" s="31" t="s">
        <v>1947</v>
      </c>
      <c r="D891" s="37" t="s">
        <v>44</v>
      </c>
      <c r="E891" s="37" t="s">
        <v>1285</v>
      </c>
      <c r="F891" s="43" t="s">
        <v>1948</v>
      </c>
      <c r="G891" s="37"/>
      <c r="H891" s="46">
        <v>46147.0</v>
      </c>
      <c r="I891" s="37" t="s">
        <v>1289</v>
      </c>
      <c r="J891" s="3"/>
      <c r="K891" s="3"/>
      <c r="L891" s="37" t="s">
        <v>58</v>
      </c>
      <c r="M891" s="37"/>
      <c r="N891" s="17"/>
      <c r="O891" s="1"/>
      <c r="P891" s="15"/>
      <c r="Q891" s="15"/>
      <c r="R891" s="1"/>
      <c r="S891" s="1"/>
    </row>
    <row r="892">
      <c r="A892" s="1"/>
      <c r="B892" s="3">
        <f t="shared" si="2"/>
        <v>888</v>
      </c>
      <c r="C892" s="31" t="s">
        <v>1949</v>
      </c>
      <c r="D892" s="37" t="s">
        <v>44</v>
      </c>
      <c r="E892" s="37" t="s">
        <v>1731</v>
      </c>
      <c r="F892" s="43" t="s">
        <v>528</v>
      </c>
      <c r="G892" s="37"/>
      <c r="H892" s="46">
        <v>46147.0</v>
      </c>
      <c r="I892" s="37" t="s">
        <v>1289</v>
      </c>
      <c r="J892" s="3"/>
      <c r="K892" s="3"/>
      <c r="L892" s="37" t="s">
        <v>58</v>
      </c>
      <c r="M892" s="37"/>
      <c r="N892" s="17"/>
      <c r="O892" s="1"/>
      <c r="P892" s="15"/>
      <c r="Q892" s="15"/>
      <c r="R892" s="1"/>
      <c r="S892" s="1"/>
    </row>
    <row r="893">
      <c r="A893" s="1"/>
      <c r="B893" s="3">
        <f t="shared" si="2"/>
        <v>889</v>
      </c>
      <c r="C893" s="31" t="s">
        <v>1950</v>
      </c>
      <c r="D893" s="37" t="s">
        <v>44</v>
      </c>
      <c r="E893" s="37" t="s">
        <v>1782</v>
      </c>
      <c r="F893" s="43" t="s">
        <v>1951</v>
      </c>
      <c r="G893" s="37"/>
      <c r="H893" s="46">
        <v>46147.0</v>
      </c>
      <c r="I893" s="37" t="s">
        <v>1289</v>
      </c>
      <c r="J893" s="3"/>
      <c r="K893" s="3"/>
      <c r="L893" s="37" t="s">
        <v>58</v>
      </c>
      <c r="M893" s="37"/>
      <c r="N893" s="17"/>
      <c r="O893" s="1"/>
      <c r="P893" s="15"/>
      <c r="Q893" s="15"/>
      <c r="R893" s="1"/>
      <c r="S893" s="1"/>
    </row>
    <row r="894">
      <c r="A894" s="1"/>
      <c r="B894" s="3">
        <f t="shared" si="2"/>
        <v>890</v>
      </c>
      <c r="C894" s="31" t="s">
        <v>1952</v>
      </c>
      <c r="D894" s="37" t="s">
        <v>83</v>
      </c>
      <c r="E894" s="37" t="s">
        <v>1953</v>
      </c>
      <c r="F894" s="43" t="s">
        <v>1952</v>
      </c>
      <c r="G894" s="37"/>
      <c r="H894" s="46">
        <v>46147.0</v>
      </c>
      <c r="I894" s="37" t="s">
        <v>1289</v>
      </c>
      <c r="J894" s="3"/>
      <c r="K894" s="3"/>
      <c r="L894" s="37" t="s">
        <v>58</v>
      </c>
      <c r="M894" s="37"/>
      <c r="N894" s="17"/>
      <c r="O894" s="1"/>
      <c r="P894" s="15"/>
      <c r="Q894" s="15"/>
      <c r="R894" s="1"/>
      <c r="S894" s="1"/>
    </row>
    <row r="895">
      <c r="A895" s="1"/>
      <c r="B895" s="3">
        <f t="shared" si="2"/>
        <v>891</v>
      </c>
      <c r="C895" s="31" t="s">
        <v>1954</v>
      </c>
      <c r="D895" s="37" t="s">
        <v>83</v>
      </c>
      <c r="E895" s="37" t="s">
        <v>1285</v>
      </c>
      <c r="F895" s="43" t="s">
        <v>1955</v>
      </c>
      <c r="G895" s="37"/>
      <c r="H895" s="46">
        <v>46147.0</v>
      </c>
      <c r="I895" s="37" t="s">
        <v>1289</v>
      </c>
      <c r="J895" s="3"/>
      <c r="K895" s="3"/>
      <c r="L895" s="37" t="s">
        <v>58</v>
      </c>
      <c r="M895" s="37"/>
      <c r="N895" s="17"/>
      <c r="O895" s="1"/>
      <c r="P895" s="15"/>
      <c r="Q895" s="15"/>
      <c r="R895" s="1"/>
      <c r="S895" s="1"/>
    </row>
    <row r="896">
      <c r="A896" s="1"/>
      <c r="B896" s="3">
        <f t="shared" si="2"/>
        <v>892</v>
      </c>
      <c r="C896" s="31" t="s">
        <v>1956</v>
      </c>
      <c r="D896" s="37" t="s">
        <v>83</v>
      </c>
      <c r="E896" s="37" t="s">
        <v>1583</v>
      </c>
      <c r="F896" s="43" t="s">
        <v>1957</v>
      </c>
      <c r="G896" s="37"/>
      <c r="H896" s="46">
        <v>46147.0</v>
      </c>
      <c r="I896" s="37" t="s">
        <v>1289</v>
      </c>
      <c r="J896" s="3"/>
      <c r="K896" s="3"/>
      <c r="L896" s="37" t="s">
        <v>58</v>
      </c>
      <c r="M896" s="37"/>
      <c r="N896" s="17"/>
      <c r="O896" s="1"/>
      <c r="P896" s="15"/>
      <c r="Q896" s="15"/>
      <c r="R896" s="1"/>
      <c r="S896" s="1"/>
    </row>
    <row r="897">
      <c r="A897" s="1"/>
      <c r="B897" s="3">
        <f t="shared" si="2"/>
        <v>893</v>
      </c>
      <c r="C897" s="31" t="s">
        <v>1958</v>
      </c>
      <c r="D897" s="37" t="s">
        <v>83</v>
      </c>
      <c r="E897" s="37" t="s">
        <v>1959</v>
      </c>
      <c r="F897" s="43" t="s">
        <v>1960</v>
      </c>
      <c r="G897" s="37"/>
      <c r="H897" s="46">
        <v>46147.0</v>
      </c>
      <c r="I897" s="37" t="s">
        <v>1289</v>
      </c>
      <c r="J897" s="3"/>
      <c r="K897" s="3"/>
      <c r="L897" s="37" t="s">
        <v>58</v>
      </c>
      <c r="M897" s="37"/>
      <c r="N897" s="17"/>
      <c r="O897" s="1"/>
      <c r="P897" s="15"/>
      <c r="Q897" s="15"/>
      <c r="R897" s="1"/>
      <c r="S897" s="1"/>
    </row>
    <row r="898">
      <c r="A898" s="1"/>
      <c r="B898" s="3">
        <f t="shared" si="2"/>
        <v>894</v>
      </c>
      <c r="C898" s="31" t="s">
        <v>1961</v>
      </c>
      <c r="D898" s="37" t="s">
        <v>83</v>
      </c>
      <c r="E898" s="37" t="s">
        <v>1962</v>
      </c>
      <c r="F898" s="43" t="s">
        <v>1961</v>
      </c>
      <c r="G898" s="37"/>
      <c r="H898" s="46">
        <v>46147.0</v>
      </c>
      <c r="I898" s="37" t="s">
        <v>1289</v>
      </c>
      <c r="J898" s="3"/>
      <c r="K898" s="3"/>
      <c r="L898" s="37" t="s">
        <v>58</v>
      </c>
      <c r="M898" s="37"/>
      <c r="N898" s="17"/>
      <c r="O898" s="1"/>
      <c r="P898" s="15"/>
      <c r="Q898" s="15"/>
      <c r="R898" s="1"/>
      <c r="S898" s="1"/>
    </row>
    <row r="899">
      <c r="A899" s="1"/>
      <c r="B899" s="3">
        <f t="shared" si="2"/>
        <v>895</v>
      </c>
      <c r="C899" s="31" t="s">
        <v>1963</v>
      </c>
      <c r="D899" s="37" t="s">
        <v>83</v>
      </c>
      <c r="E899" s="37" t="s">
        <v>1285</v>
      </c>
      <c r="F899" s="43" t="s">
        <v>1964</v>
      </c>
      <c r="G899" s="37"/>
      <c r="H899" s="46">
        <v>46147.0</v>
      </c>
      <c r="I899" s="37" t="s">
        <v>1289</v>
      </c>
      <c r="J899" s="3"/>
      <c r="K899" s="3"/>
      <c r="L899" s="37" t="s">
        <v>58</v>
      </c>
      <c r="M899" s="37"/>
      <c r="N899" s="17"/>
      <c r="O899" s="1"/>
      <c r="P899" s="15"/>
      <c r="Q899" s="15"/>
      <c r="R899" s="1"/>
      <c r="S899" s="1"/>
    </row>
    <row r="900">
      <c r="A900" s="1"/>
      <c r="B900" s="3">
        <f t="shared" si="2"/>
        <v>896</v>
      </c>
      <c r="C900" s="31" t="s">
        <v>1965</v>
      </c>
      <c r="D900" s="37" t="s">
        <v>83</v>
      </c>
      <c r="E900" s="37" t="s">
        <v>1589</v>
      </c>
      <c r="F900" s="43" t="s">
        <v>1965</v>
      </c>
      <c r="G900" s="37"/>
      <c r="H900" s="46">
        <v>46147.0</v>
      </c>
      <c r="I900" s="37" t="s">
        <v>1289</v>
      </c>
      <c r="J900" s="3"/>
      <c r="K900" s="3"/>
      <c r="L900" s="37" t="s">
        <v>58</v>
      </c>
      <c r="M900" s="37"/>
      <c r="N900" s="17"/>
      <c r="O900" s="1"/>
      <c r="P900" s="15"/>
      <c r="Q900" s="15"/>
      <c r="R900" s="1"/>
      <c r="S900" s="1"/>
    </row>
    <row r="901">
      <c r="A901" s="1"/>
      <c r="B901" s="3">
        <f t="shared" si="2"/>
        <v>897</v>
      </c>
      <c r="C901" s="31" t="s">
        <v>1966</v>
      </c>
      <c r="D901" s="37" t="s">
        <v>56</v>
      </c>
      <c r="E901" s="37" t="s">
        <v>1285</v>
      </c>
      <c r="F901" s="43" t="s">
        <v>1967</v>
      </c>
      <c r="G901" s="37"/>
      <c r="H901" s="46">
        <v>46147.0</v>
      </c>
      <c r="I901" s="37" t="s">
        <v>1289</v>
      </c>
      <c r="J901" s="3"/>
      <c r="K901" s="3"/>
      <c r="L901" s="37" t="s">
        <v>58</v>
      </c>
      <c r="M901" s="37" t="s">
        <v>57</v>
      </c>
      <c r="N901" s="17"/>
      <c r="O901" s="1"/>
      <c r="P901" s="15"/>
      <c r="Q901" s="15"/>
      <c r="R901" s="1"/>
      <c r="S901" s="1"/>
    </row>
    <row r="902">
      <c r="A902" s="1"/>
      <c r="B902" s="3">
        <f t="shared" si="2"/>
        <v>898</v>
      </c>
      <c r="C902" s="31" t="s">
        <v>1968</v>
      </c>
      <c r="D902" s="37" t="s">
        <v>56</v>
      </c>
      <c r="E902" s="37" t="s">
        <v>1896</v>
      </c>
      <c r="F902" s="43" t="s">
        <v>1969</v>
      </c>
      <c r="G902" s="37"/>
      <c r="H902" s="46">
        <v>46147.0</v>
      </c>
      <c r="I902" s="37" t="s">
        <v>1289</v>
      </c>
      <c r="J902" s="3"/>
      <c r="K902" s="3"/>
      <c r="L902" s="37" t="s">
        <v>58</v>
      </c>
      <c r="M902" s="37"/>
      <c r="N902" s="17"/>
      <c r="O902" s="1"/>
      <c r="P902" s="15"/>
      <c r="Q902" s="15"/>
      <c r="R902" s="1"/>
      <c r="S902" s="1"/>
    </row>
    <row r="903">
      <c r="A903" s="1"/>
      <c r="B903" s="3">
        <f t="shared" si="2"/>
        <v>899</v>
      </c>
      <c r="C903" s="31" t="s">
        <v>1970</v>
      </c>
      <c r="D903" s="37" t="s">
        <v>301</v>
      </c>
      <c r="E903" s="37" t="s">
        <v>1455</v>
      </c>
      <c r="F903" s="43" t="s">
        <v>1970</v>
      </c>
      <c r="G903" s="37"/>
      <c r="H903" s="46">
        <v>46147.0</v>
      </c>
      <c r="I903" s="37" t="s">
        <v>1289</v>
      </c>
      <c r="J903" s="3"/>
      <c r="K903" s="3"/>
      <c r="L903" s="37" t="s">
        <v>58</v>
      </c>
      <c r="M903" s="37"/>
      <c r="N903" s="17"/>
      <c r="O903" s="1"/>
      <c r="P903" s="15"/>
      <c r="Q903" s="15"/>
      <c r="R903" s="1"/>
      <c r="S903" s="1"/>
    </row>
    <row r="904">
      <c r="A904" s="1"/>
      <c r="B904" s="3">
        <f t="shared" si="2"/>
        <v>900</v>
      </c>
      <c r="C904" s="31" t="s">
        <v>1971</v>
      </c>
      <c r="D904" s="37" t="s">
        <v>301</v>
      </c>
      <c r="E904" s="37" t="s">
        <v>1675</v>
      </c>
      <c r="F904" s="43" t="s">
        <v>1972</v>
      </c>
      <c r="G904" s="37"/>
      <c r="H904" s="46">
        <v>46147.0</v>
      </c>
      <c r="I904" s="37" t="s">
        <v>1289</v>
      </c>
      <c r="J904" s="3"/>
      <c r="K904" s="3"/>
      <c r="L904" s="37" t="s">
        <v>58</v>
      </c>
      <c r="M904" s="37"/>
      <c r="N904" s="17"/>
      <c r="O904" s="1"/>
      <c r="P904" s="15"/>
      <c r="Q904" s="15"/>
      <c r="R904" s="1"/>
      <c r="S904" s="1"/>
    </row>
    <row r="905">
      <c r="A905" s="1"/>
      <c r="B905" s="3">
        <f t="shared" si="2"/>
        <v>901</v>
      </c>
      <c r="C905" s="31" t="s">
        <v>1973</v>
      </c>
      <c r="D905" s="37" t="s">
        <v>159</v>
      </c>
      <c r="E905" s="37" t="s">
        <v>1343</v>
      </c>
      <c r="F905" s="43" t="s">
        <v>1973</v>
      </c>
      <c r="G905" s="37"/>
      <c r="H905" s="46">
        <v>46147.0</v>
      </c>
      <c r="I905" s="37" t="s">
        <v>1289</v>
      </c>
      <c r="J905" s="3"/>
      <c r="K905" s="3"/>
      <c r="L905" s="37" t="s">
        <v>189</v>
      </c>
      <c r="M905" s="37"/>
      <c r="N905" s="17"/>
      <c r="O905" s="1"/>
      <c r="P905" s="15"/>
      <c r="Q905" s="15"/>
      <c r="R905" s="1"/>
      <c r="S905" s="1"/>
    </row>
    <row r="906">
      <c r="A906" s="1"/>
      <c r="B906" s="3">
        <f t="shared" si="2"/>
        <v>902</v>
      </c>
      <c r="C906" s="139" t="s">
        <v>1974</v>
      </c>
      <c r="D906" s="37" t="s">
        <v>159</v>
      </c>
      <c r="E906" s="37" t="s">
        <v>1975</v>
      </c>
      <c r="F906" s="43" t="s">
        <v>1976</v>
      </c>
      <c r="G906" s="37"/>
      <c r="H906" s="46">
        <v>46147.0</v>
      </c>
      <c r="I906" s="37" t="s">
        <v>1289</v>
      </c>
      <c r="J906" s="3"/>
      <c r="K906" s="3"/>
      <c r="L906" s="37" t="s">
        <v>58</v>
      </c>
      <c r="M906" s="37"/>
      <c r="N906" s="17"/>
      <c r="O906" s="1"/>
      <c r="P906" s="15"/>
      <c r="Q906" s="15"/>
      <c r="R906" s="1"/>
      <c r="S906" s="1"/>
    </row>
    <row r="907">
      <c r="A907" s="1"/>
      <c r="B907" s="3">
        <f t="shared" si="2"/>
        <v>903</v>
      </c>
      <c r="C907" s="31" t="s">
        <v>1977</v>
      </c>
      <c r="D907" s="37" t="s">
        <v>83</v>
      </c>
      <c r="E907" s="37" t="s">
        <v>1896</v>
      </c>
      <c r="F907" s="1"/>
      <c r="G907" s="37"/>
      <c r="H907" s="46">
        <v>45774.0</v>
      </c>
      <c r="I907" s="37" t="s">
        <v>1289</v>
      </c>
      <c r="J907" s="3"/>
      <c r="K907" s="3"/>
      <c r="L907" s="37" t="s">
        <v>58</v>
      </c>
      <c r="M907" s="37" t="s">
        <v>45</v>
      </c>
      <c r="N907" s="17" t="s">
        <v>28</v>
      </c>
      <c r="O907" s="1"/>
      <c r="P907" s="15"/>
      <c r="Q907" s="15"/>
      <c r="R907" s="1"/>
      <c r="S907" s="1"/>
    </row>
    <row r="908">
      <c r="A908" s="1"/>
      <c r="B908" s="3">
        <f t="shared" si="2"/>
        <v>904</v>
      </c>
      <c r="C908" s="31" t="s">
        <v>1978</v>
      </c>
      <c r="D908" s="37" t="s">
        <v>83</v>
      </c>
      <c r="E908" s="37" t="s">
        <v>1285</v>
      </c>
      <c r="F908" s="1"/>
      <c r="G908" s="37"/>
      <c r="H908" s="46">
        <v>45774.0</v>
      </c>
      <c r="I908" s="37" t="s">
        <v>1289</v>
      </c>
      <c r="J908" s="3"/>
      <c r="K908" s="3"/>
      <c r="L908" s="37" t="s">
        <v>58</v>
      </c>
      <c r="M908" s="37" t="s">
        <v>45</v>
      </c>
      <c r="N908" s="17" t="s">
        <v>39</v>
      </c>
      <c r="O908" s="1"/>
      <c r="P908" s="15"/>
      <c r="Q908" s="15"/>
      <c r="R908" s="1"/>
      <c r="S908" s="1"/>
    </row>
    <row r="909">
      <c r="A909" s="1"/>
      <c r="B909" s="3">
        <f t="shared" si="2"/>
        <v>905</v>
      </c>
      <c r="C909" s="31" t="s">
        <v>1979</v>
      </c>
      <c r="D909" s="37" t="s">
        <v>44</v>
      </c>
      <c r="E909" s="37" t="s">
        <v>1285</v>
      </c>
      <c r="F909" s="1"/>
      <c r="G909" s="37"/>
      <c r="H909" s="17" t="s">
        <v>1980</v>
      </c>
      <c r="I909" s="37" t="s">
        <v>1289</v>
      </c>
      <c r="J909" s="3"/>
      <c r="K909" s="3"/>
      <c r="L909" s="37" t="s">
        <v>58</v>
      </c>
      <c r="M909" s="37" t="s">
        <v>60</v>
      </c>
      <c r="N909" s="17" t="s">
        <v>39</v>
      </c>
      <c r="O909" s="1"/>
      <c r="P909" s="15"/>
      <c r="Q909" s="15"/>
      <c r="R909" s="1"/>
      <c r="S909" s="1"/>
    </row>
    <row r="910">
      <c r="A910" s="1"/>
      <c r="B910" s="3">
        <f t="shared" si="2"/>
        <v>906</v>
      </c>
      <c r="C910" s="31" t="s">
        <v>1981</v>
      </c>
      <c r="D910" s="37" t="s">
        <v>112</v>
      </c>
      <c r="E910" s="37" t="s">
        <v>1982</v>
      </c>
      <c r="F910" s="1"/>
      <c r="G910" s="37"/>
      <c r="H910" s="46">
        <v>46147.0</v>
      </c>
      <c r="I910" s="37" t="s">
        <v>1289</v>
      </c>
      <c r="J910" s="3"/>
      <c r="K910" s="3"/>
      <c r="L910" s="37" t="s">
        <v>58</v>
      </c>
      <c r="M910" s="37" t="s">
        <v>45</v>
      </c>
      <c r="N910" s="17" t="s">
        <v>39</v>
      </c>
      <c r="O910" s="1"/>
      <c r="P910" s="15"/>
      <c r="Q910" s="15"/>
      <c r="R910" s="1"/>
      <c r="S910" s="1"/>
    </row>
    <row r="911">
      <c r="A911" s="1"/>
      <c r="B911" s="3">
        <f t="shared" si="2"/>
        <v>907</v>
      </c>
      <c r="C911" s="31" t="s">
        <v>1983</v>
      </c>
      <c r="D911" s="37" t="s">
        <v>49</v>
      </c>
      <c r="E911" s="37" t="s">
        <v>1398</v>
      </c>
      <c r="F911" s="1"/>
      <c r="G911" s="37"/>
      <c r="H911" s="46">
        <v>46147.0</v>
      </c>
      <c r="I911" s="37" t="s">
        <v>1289</v>
      </c>
      <c r="J911" s="3"/>
      <c r="K911" s="3"/>
      <c r="L911" s="37" t="s">
        <v>58</v>
      </c>
      <c r="M911" s="37" t="s">
        <v>45</v>
      </c>
      <c r="N911" s="17" t="s">
        <v>28</v>
      </c>
      <c r="O911" s="1"/>
      <c r="P911" s="15"/>
      <c r="Q911" s="15"/>
      <c r="R911" s="1"/>
      <c r="S911" s="1"/>
    </row>
    <row r="912">
      <c r="A912" s="1"/>
      <c r="B912" s="3">
        <f t="shared" si="2"/>
        <v>908</v>
      </c>
      <c r="C912" s="31" t="s">
        <v>1984</v>
      </c>
      <c r="D912" s="37" t="s">
        <v>83</v>
      </c>
      <c r="E912" s="37" t="s">
        <v>1985</v>
      </c>
      <c r="F912" s="1"/>
      <c r="G912" s="37"/>
      <c r="H912" s="17" t="s">
        <v>1980</v>
      </c>
      <c r="I912" s="37" t="s">
        <v>1289</v>
      </c>
      <c r="J912" s="3"/>
      <c r="K912" s="3"/>
      <c r="L912" s="37" t="s">
        <v>58</v>
      </c>
      <c r="M912" s="37" t="s">
        <v>45</v>
      </c>
      <c r="N912" s="17"/>
      <c r="O912" s="1"/>
      <c r="P912" s="15"/>
      <c r="Q912" s="15"/>
      <c r="R912" s="1"/>
      <c r="S912" s="1"/>
    </row>
    <row r="913">
      <c r="A913" s="1"/>
      <c r="B913" s="3">
        <f t="shared" si="2"/>
        <v>909</v>
      </c>
      <c r="C913" s="31" t="s">
        <v>1986</v>
      </c>
      <c r="D913" s="37" t="s">
        <v>49</v>
      </c>
      <c r="E913" s="37" t="s">
        <v>1896</v>
      </c>
      <c r="F913" s="1"/>
      <c r="G913" s="37"/>
      <c r="H913" s="17" t="s">
        <v>1980</v>
      </c>
      <c r="I913" s="37" t="s">
        <v>1289</v>
      </c>
      <c r="J913" s="3"/>
      <c r="K913" s="3"/>
      <c r="L913" s="37" t="s">
        <v>58</v>
      </c>
      <c r="M913" s="37" t="s">
        <v>45</v>
      </c>
      <c r="N913" s="17" t="s">
        <v>39</v>
      </c>
      <c r="O913" s="1"/>
      <c r="P913" s="15"/>
      <c r="Q913" s="15"/>
      <c r="R913" s="1"/>
      <c r="S913" s="1"/>
    </row>
    <row r="914">
      <c r="A914" s="1"/>
      <c r="B914" s="3">
        <f t="shared" si="2"/>
        <v>910</v>
      </c>
      <c r="C914" s="31" t="s">
        <v>1987</v>
      </c>
      <c r="D914" s="37" t="s">
        <v>38</v>
      </c>
      <c r="E914" s="37" t="s">
        <v>1535</v>
      </c>
      <c r="F914" s="1"/>
      <c r="G914" s="37"/>
      <c r="H914" s="17" t="s">
        <v>1980</v>
      </c>
      <c r="I914" s="37" t="s">
        <v>1289</v>
      </c>
      <c r="J914" s="3"/>
      <c r="K914" s="3"/>
      <c r="L914" s="37" t="s">
        <v>58</v>
      </c>
      <c r="M914" s="37" t="s">
        <v>45</v>
      </c>
      <c r="N914" s="17" t="s">
        <v>39</v>
      </c>
      <c r="O914" s="1"/>
      <c r="P914" s="67" t="s">
        <v>1988</v>
      </c>
      <c r="Q914" s="15"/>
      <c r="R914" s="1"/>
      <c r="S914" s="1"/>
    </row>
    <row r="915">
      <c r="A915" s="1"/>
      <c r="B915" s="3">
        <f t="shared" si="2"/>
        <v>911</v>
      </c>
      <c r="C915" s="31" t="s">
        <v>1989</v>
      </c>
      <c r="D915" s="37" t="s">
        <v>38</v>
      </c>
      <c r="E915" s="37" t="s">
        <v>1535</v>
      </c>
      <c r="F915" s="1"/>
      <c r="G915" s="37"/>
      <c r="H915" s="17" t="s">
        <v>1980</v>
      </c>
      <c r="I915" s="37" t="s">
        <v>1289</v>
      </c>
      <c r="J915" s="3"/>
      <c r="K915" s="3"/>
      <c r="L915" s="37" t="s">
        <v>58</v>
      </c>
      <c r="M915" s="37" t="s">
        <v>45</v>
      </c>
      <c r="N915" s="17"/>
      <c r="O915" s="1"/>
      <c r="P915" s="15"/>
      <c r="Q915" s="15"/>
      <c r="R915" s="1"/>
      <c r="S915" s="1"/>
    </row>
    <row r="916">
      <c r="A916" s="1"/>
      <c r="B916" s="3">
        <f t="shared" si="2"/>
        <v>912</v>
      </c>
      <c r="C916" s="31" t="s">
        <v>1990</v>
      </c>
      <c r="D916" s="37" t="s">
        <v>56</v>
      </c>
      <c r="E916" s="37" t="s">
        <v>1535</v>
      </c>
      <c r="F916" s="43" t="s">
        <v>1991</v>
      </c>
      <c r="G916" s="37"/>
      <c r="H916" s="17" t="s">
        <v>1980</v>
      </c>
      <c r="I916" s="37" t="s">
        <v>1289</v>
      </c>
      <c r="J916" s="3"/>
      <c r="K916" s="3"/>
      <c r="L916" s="37" t="s">
        <v>58</v>
      </c>
      <c r="M916" s="37" t="s">
        <v>45</v>
      </c>
      <c r="N916" s="17" t="s">
        <v>39</v>
      </c>
      <c r="O916" s="1"/>
      <c r="P916" s="15"/>
      <c r="Q916" s="15"/>
      <c r="R916" s="1"/>
      <c r="S916" s="1"/>
    </row>
    <row r="917">
      <c r="A917" s="1"/>
      <c r="B917" s="3">
        <f t="shared" si="2"/>
        <v>913</v>
      </c>
      <c r="C917" s="31" t="s">
        <v>1992</v>
      </c>
      <c r="D917" s="37" t="s">
        <v>83</v>
      </c>
      <c r="E917" s="37" t="s">
        <v>1993</v>
      </c>
      <c r="F917" s="1"/>
      <c r="G917" s="37"/>
      <c r="H917" s="129">
        <v>46149.0</v>
      </c>
      <c r="I917" s="37" t="s">
        <v>1289</v>
      </c>
      <c r="J917" s="3"/>
      <c r="K917" s="3"/>
      <c r="L917" s="37" t="s">
        <v>58</v>
      </c>
      <c r="M917" s="37" t="s">
        <v>57</v>
      </c>
      <c r="N917" s="17" t="s">
        <v>28</v>
      </c>
      <c r="O917" s="1"/>
      <c r="P917" s="15"/>
      <c r="Q917" s="15"/>
      <c r="R917" s="1"/>
      <c r="S917" s="1"/>
    </row>
    <row r="918">
      <c r="A918" s="1"/>
      <c r="B918" s="3">
        <f t="shared" si="2"/>
        <v>914</v>
      </c>
      <c r="C918" s="31" t="s">
        <v>1994</v>
      </c>
      <c r="D918" s="37" t="s">
        <v>497</v>
      </c>
      <c r="E918" s="37" t="s">
        <v>1320</v>
      </c>
      <c r="F918" s="1"/>
      <c r="G918" s="37"/>
      <c r="H918" s="17" t="s">
        <v>1980</v>
      </c>
      <c r="I918" s="37" t="s">
        <v>1289</v>
      </c>
      <c r="J918" s="3"/>
      <c r="K918" s="3"/>
      <c r="L918" s="37" t="s">
        <v>58</v>
      </c>
      <c r="M918" s="37" t="s">
        <v>78</v>
      </c>
      <c r="N918" s="17"/>
      <c r="O918" s="1"/>
      <c r="P918" s="15"/>
      <c r="Q918" s="15"/>
      <c r="R918" s="1"/>
      <c r="S918" s="1"/>
    </row>
    <row r="919">
      <c r="A919" s="1"/>
      <c r="B919" s="3">
        <f t="shared" si="2"/>
        <v>915</v>
      </c>
      <c r="C919" s="31" t="s">
        <v>1995</v>
      </c>
      <c r="D919" s="37" t="s">
        <v>44</v>
      </c>
      <c r="E919" s="37" t="s">
        <v>1595</v>
      </c>
      <c r="F919" s="43" t="s">
        <v>1995</v>
      </c>
      <c r="G919" s="37"/>
      <c r="H919" s="17" t="s">
        <v>1980</v>
      </c>
      <c r="I919" s="37" t="s">
        <v>1289</v>
      </c>
      <c r="J919" s="3"/>
      <c r="K919" s="3"/>
      <c r="L919" s="37" t="s">
        <v>58</v>
      </c>
      <c r="M919" s="37" t="s">
        <v>78</v>
      </c>
      <c r="N919" s="17" t="s">
        <v>39</v>
      </c>
      <c r="O919" s="1"/>
      <c r="P919" s="15"/>
      <c r="Q919" s="15"/>
      <c r="R919" s="1"/>
      <c r="S919" s="1"/>
    </row>
    <row r="920">
      <c r="A920" s="1"/>
      <c r="B920" s="3">
        <f t="shared" si="2"/>
        <v>916</v>
      </c>
      <c r="C920" s="31" t="s">
        <v>1996</v>
      </c>
      <c r="D920" s="37" t="s">
        <v>49</v>
      </c>
      <c r="E920" s="37" t="s">
        <v>1578</v>
      </c>
      <c r="F920" s="1"/>
      <c r="G920" s="37"/>
      <c r="H920" s="17" t="s">
        <v>1980</v>
      </c>
      <c r="I920" s="37" t="s">
        <v>1289</v>
      </c>
      <c r="J920" s="3"/>
      <c r="K920" s="3"/>
      <c r="L920" s="37" t="s">
        <v>58</v>
      </c>
      <c r="M920" s="37" t="s">
        <v>78</v>
      </c>
      <c r="N920" s="17" t="s">
        <v>28</v>
      </c>
      <c r="O920" s="1"/>
      <c r="P920" s="15"/>
      <c r="Q920" s="15"/>
      <c r="R920" s="1"/>
      <c r="S920" s="1"/>
    </row>
    <row r="921">
      <c r="A921" s="1"/>
      <c r="B921" s="3">
        <f t="shared" si="2"/>
        <v>917</v>
      </c>
      <c r="C921" s="31" t="s">
        <v>1997</v>
      </c>
      <c r="D921" s="37" t="s">
        <v>56</v>
      </c>
      <c r="E921" s="1"/>
      <c r="F921" s="1"/>
      <c r="G921" s="37"/>
      <c r="H921" s="17" t="s">
        <v>1980</v>
      </c>
      <c r="I921" s="37" t="s">
        <v>1289</v>
      </c>
      <c r="J921" s="3"/>
      <c r="K921" s="3"/>
      <c r="L921" s="37" t="s">
        <v>58</v>
      </c>
      <c r="M921" s="37" t="s">
        <v>78</v>
      </c>
      <c r="N921" s="17" t="s">
        <v>39</v>
      </c>
      <c r="O921" s="1"/>
      <c r="P921" s="15"/>
      <c r="Q921" s="15"/>
      <c r="R921" s="1"/>
      <c r="S921" s="1"/>
    </row>
    <row r="922">
      <c r="A922" s="1"/>
      <c r="B922" s="3">
        <f t="shared" si="2"/>
        <v>918</v>
      </c>
      <c r="C922" s="31" t="s">
        <v>1998</v>
      </c>
      <c r="D922" s="37" t="s">
        <v>112</v>
      </c>
      <c r="E922" s="37" t="s">
        <v>1357</v>
      </c>
      <c r="F922" s="43" t="s">
        <v>1998</v>
      </c>
      <c r="G922" s="37"/>
      <c r="H922" s="17" t="s">
        <v>1980</v>
      </c>
      <c r="I922" s="37" t="s">
        <v>1289</v>
      </c>
      <c r="J922" s="3"/>
      <c r="K922" s="3"/>
      <c r="L922" s="37" t="s">
        <v>58</v>
      </c>
      <c r="M922" s="37"/>
      <c r="N922" s="17"/>
      <c r="O922" s="1"/>
      <c r="P922" s="15"/>
      <c r="Q922" s="15"/>
      <c r="R922" s="1"/>
      <c r="S922" s="1"/>
    </row>
    <row r="923">
      <c r="A923" s="1"/>
      <c r="B923" s="3">
        <f t="shared" si="2"/>
        <v>919</v>
      </c>
      <c r="C923" s="31" t="s">
        <v>1999</v>
      </c>
      <c r="D923" s="37" t="s">
        <v>49</v>
      </c>
      <c r="E923" s="37" t="s">
        <v>2000</v>
      </c>
      <c r="F923" s="43" t="s">
        <v>2001</v>
      </c>
      <c r="G923" s="37"/>
      <c r="H923" s="17" t="s">
        <v>1980</v>
      </c>
      <c r="I923" s="37" t="s">
        <v>1289</v>
      </c>
      <c r="J923" s="3"/>
      <c r="K923" s="3"/>
      <c r="L923" s="37" t="s">
        <v>58</v>
      </c>
      <c r="M923" s="37"/>
      <c r="N923" s="17"/>
      <c r="O923" s="1"/>
      <c r="P923" s="15"/>
      <c r="Q923" s="15"/>
      <c r="R923" s="1"/>
      <c r="S923" s="1"/>
    </row>
    <row r="924">
      <c r="A924" s="1"/>
      <c r="B924" s="3">
        <f t="shared" si="2"/>
        <v>920</v>
      </c>
      <c r="C924" s="31" t="s">
        <v>2002</v>
      </c>
      <c r="D924" s="37" t="s">
        <v>112</v>
      </c>
      <c r="E924" s="37" t="s">
        <v>1578</v>
      </c>
      <c r="F924" s="43" t="s">
        <v>2002</v>
      </c>
      <c r="G924" s="37"/>
      <c r="H924" s="17" t="s">
        <v>1980</v>
      </c>
      <c r="I924" s="37" t="s">
        <v>1289</v>
      </c>
      <c r="J924" s="3"/>
      <c r="K924" s="3"/>
      <c r="L924" s="37" t="s">
        <v>58</v>
      </c>
      <c r="M924" s="37"/>
      <c r="N924" s="17"/>
      <c r="O924" s="1"/>
      <c r="P924" s="15"/>
      <c r="Q924" s="15"/>
      <c r="R924" s="1"/>
      <c r="S924" s="1"/>
    </row>
    <row r="925">
      <c r="A925" s="1"/>
      <c r="B925" s="3">
        <f t="shared" si="2"/>
        <v>921</v>
      </c>
      <c r="C925" s="31" t="s">
        <v>2003</v>
      </c>
      <c r="D925" s="37" t="s">
        <v>96</v>
      </c>
      <c r="E925" s="37" t="s">
        <v>1285</v>
      </c>
      <c r="F925" s="43" t="s">
        <v>2004</v>
      </c>
      <c r="G925" s="37"/>
      <c r="H925" s="17" t="s">
        <v>1980</v>
      </c>
      <c r="I925" s="37" t="s">
        <v>1289</v>
      </c>
      <c r="J925" s="3"/>
      <c r="K925" s="3"/>
      <c r="L925" s="37" t="s">
        <v>58</v>
      </c>
      <c r="M925" s="37"/>
      <c r="N925" s="17"/>
      <c r="O925" s="1"/>
      <c r="P925" s="15"/>
      <c r="Q925" s="15"/>
      <c r="R925" s="1"/>
      <c r="S925" s="1"/>
    </row>
    <row r="926">
      <c r="A926" s="1"/>
      <c r="B926" s="3">
        <f t="shared" si="2"/>
        <v>922</v>
      </c>
      <c r="C926" s="31" t="s">
        <v>2005</v>
      </c>
      <c r="D926" s="37" t="s">
        <v>96</v>
      </c>
      <c r="E926" s="37" t="s">
        <v>2006</v>
      </c>
      <c r="F926" s="43" t="s">
        <v>2005</v>
      </c>
      <c r="G926" s="37"/>
      <c r="H926" s="17" t="s">
        <v>1980</v>
      </c>
      <c r="I926" s="37" t="s">
        <v>1289</v>
      </c>
      <c r="J926" s="3"/>
      <c r="K926" s="3"/>
      <c r="L926" s="37" t="s">
        <v>58</v>
      </c>
      <c r="M926" s="37"/>
      <c r="N926" s="17"/>
      <c r="O926" s="1"/>
      <c r="P926" s="15"/>
      <c r="Q926" s="15"/>
      <c r="R926" s="1"/>
      <c r="S926" s="1"/>
    </row>
    <row r="927">
      <c r="A927" s="1"/>
      <c r="B927" s="3">
        <f t="shared" si="2"/>
        <v>923</v>
      </c>
      <c r="C927" s="31" t="s">
        <v>2007</v>
      </c>
      <c r="D927" s="37" t="s">
        <v>96</v>
      </c>
      <c r="E927" s="37" t="s">
        <v>1576</v>
      </c>
      <c r="F927" s="43" t="s">
        <v>2008</v>
      </c>
      <c r="G927" s="37"/>
      <c r="H927" s="17" t="s">
        <v>1980</v>
      </c>
      <c r="I927" s="37" t="s">
        <v>1289</v>
      </c>
      <c r="J927" s="3"/>
      <c r="K927" s="3"/>
      <c r="L927" s="37" t="s">
        <v>58</v>
      </c>
      <c r="M927" s="37"/>
      <c r="N927" s="17"/>
      <c r="O927" s="1"/>
      <c r="P927" s="15"/>
      <c r="Q927" s="15"/>
      <c r="R927" s="1"/>
      <c r="S927" s="1"/>
    </row>
    <row r="928">
      <c r="A928" s="1"/>
      <c r="B928" s="3">
        <f t="shared" si="2"/>
        <v>924</v>
      </c>
      <c r="C928" s="31" t="s">
        <v>2009</v>
      </c>
      <c r="D928" s="37" t="s">
        <v>186</v>
      </c>
      <c r="E928" s="37" t="s">
        <v>1320</v>
      </c>
      <c r="F928" s="43" t="s">
        <v>2009</v>
      </c>
      <c r="G928" s="37"/>
      <c r="H928" s="17" t="s">
        <v>1980</v>
      </c>
      <c r="I928" s="37" t="s">
        <v>1289</v>
      </c>
      <c r="J928" s="3"/>
      <c r="K928" s="3"/>
      <c r="L928" s="37" t="s">
        <v>58</v>
      </c>
      <c r="M928" s="37"/>
      <c r="N928" s="17"/>
      <c r="O928" s="1"/>
      <c r="P928" s="15"/>
      <c r="Q928" s="15"/>
      <c r="R928" s="1"/>
      <c r="S928" s="1"/>
    </row>
    <row r="929">
      <c r="A929" s="1"/>
      <c r="B929" s="3">
        <f t="shared" si="2"/>
        <v>925</v>
      </c>
      <c r="C929" s="31" t="s">
        <v>2010</v>
      </c>
      <c r="D929" s="37" t="s">
        <v>44</v>
      </c>
      <c r="E929" s="37" t="s">
        <v>1731</v>
      </c>
      <c r="F929" s="43" t="s">
        <v>2011</v>
      </c>
      <c r="G929" s="37"/>
      <c r="H929" s="17" t="s">
        <v>1980</v>
      </c>
      <c r="I929" s="37" t="s">
        <v>1289</v>
      </c>
      <c r="J929" s="3"/>
      <c r="K929" s="3"/>
      <c r="L929" s="37" t="s">
        <v>58</v>
      </c>
      <c r="M929" s="37"/>
      <c r="N929" s="17"/>
      <c r="O929" s="1"/>
      <c r="P929" s="15"/>
      <c r="Q929" s="15"/>
      <c r="R929" s="1"/>
      <c r="S929" s="1"/>
    </row>
    <row r="930">
      <c r="A930" s="1"/>
      <c r="B930" s="3">
        <f t="shared" si="2"/>
        <v>926</v>
      </c>
      <c r="C930" s="31" t="s">
        <v>2012</v>
      </c>
      <c r="D930" s="37" t="s">
        <v>83</v>
      </c>
      <c r="E930" s="37" t="s">
        <v>1332</v>
      </c>
      <c r="F930" s="43" t="s">
        <v>2012</v>
      </c>
      <c r="G930" s="37"/>
      <c r="H930" s="17" t="s">
        <v>1980</v>
      </c>
      <c r="I930" s="37" t="s">
        <v>1289</v>
      </c>
      <c r="J930" s="3"/>
      <c r="K930" s="3"/>
      <c r="L930" s="37" t="s">
        <v>58</v>
      </c>
      <c r="M930" s="37"/>
      <c r="N930" s="17"/>
      <c r="O930" s="1"/>
      <c r="P930" s="15"/>
      <c r="Q930" s="15"/>
      <c r="R930" s="1"/>
      <c r="S930" s="1"/>
    </row>
    <row r="931">
      <c r="A931" s="1"/>
      <c r="B931" s="3">
        <f t="shared" si="2"/>
        <v>927</v>
      </c>
      <c r="C931" s="31" t="s">
        <v>2013</v>
      </c>
      <c r="D931" s="37" t="s">
        <v>44</v>
      </c>
      <c r="E931" s="37" t="s">
        <v>2014</v>
      </c>
      <c r="F931" s="43" t="s">
        <v>2015</v>
      </c>
      <c r="G931" s="37"/>
      <c r="H931" s="17" t="s">
        <v>1980</v>
      </c>
      <c r="I931" s="37" t="s">
        <v>1289</v>
      </c>
      <c r="J931" s="3"/>
      <c r="K931" s="3"/>
      <c r="L931" s="37" t="s">
        <v>58</v>
      </c>
      <c r="M931" s="37"/>
      <c r="N931" s="17"/>
      <c r="O931" s="1"/>
      <c r="P931" s="15"/>
      <c r="Q931" s="15"/>
      <c r="R931" s="1"/>
      <c r="S931" s="1"/>
    </row>
    <row r="932">
      <c r="A932" s="1"/>
      <c r="B932" s="3">
        <f t="shared" si="2"/>
        <v>928</v>
      </c>
      <c r="C932" s="31" t="s">
        <v>2016</v>
      </c>
      <c r="D932" s="37" t="s">
        <v>44</v>
      </c>
      <c r="E932" s="37" t="s">
        <v>1285</v>
      </c>
      <c r="F932" s="43" t="s">
        <v>2016</v>
      </c>
      <c r="G932" s="37"/>
      <c r="H932" s="17" t="s">
        <v>1980</v>
      </c>
      <c r="I932" s="37" t="s">
        <v>1289</v>
      </c>
      <c r="J932" s="3"/>
      <c r="K932" s="3"/>
      <c r="L932" s="37" t="s">
        <v>58</v>
      </c>
      <c r="M932" s="37"/>
      <c r="N932" s="17"/>
      <c r="O932" s="1"/>
      <c r="P932" s="15"/>
      <c r="Q932" s="15"/>
      <c r="R932" s="1"/>
      <c r="S932" s="1"/>
    </row>
    <row r="933">
      <c r="A933" s="1"/>
      <c r="B933" s="3">
        <f t="shared" si="2"/>
        <v>929</v>
      </c>
      <c r="C933" s="31" t="s">
        <v>2017</v>
      </c>
      <c r="D933" s="37" t="s">
        <v>83</v>
      </c>
      <c r="E933" s="37" t="s">
        <v>1343</v>
      </c>
      <c r="F933" s="43" t="s">
        <v>2017</v>
      </c>
      <c r="G933" s="37"/>
      <c r="H933" s="17" t="s">
        <v>1980</v>
      </c>
      <c r="I933" s="37" t="s">
        <v>1289</v>
      </c>
      <c r="J933" s="3"/>
      <c r="K933" s="3"/>
      <c r="L933" s="37" t="s">
        <v>58</v>
      </c>
      <c r="M933" s="37"/>
      <c r="N933" s="17"/>
      <c r="O933" s="1"/>
      <c r="P933" s="15"/>
      <c r="Q933" s="15"/>
      <c r="R933" s="1"/>
      <c r="S933" s="1"/>
    </row>
    <row r="934">
      <c r="A934" s="1"/>
      <c r="B934" s="3">
        <f t="shared" si="2"/>
        <v>930</v>
      </c>
      <c r="C934" s="31" t="s">
        <v>2018</v>
      </c>
      <c r="D934" s="37" t="s">
        <v>83</v>
      </c>
      <c r="E934" s="37" t="s">
        <v>2019</v>
      </c>
      <c r="F934" s="43" t="s">
        <v>2020</v>
      </c>
      <c r="G934" s="37"/>
      <c r="H934" s="17" t="s">
        <v>1980</v>
      </c>
      <c r="I934" s="37" t="s">
        <v>1289</v>
      </c>
      <c r="J934" s="3"/>
      <c r="K934" s="3"/>
      <c r="L934" s="37" t="s">
        <v>58</v>
      </c>
      <c r="M934" s="37"/>
      <c r="N934" s="17"/>
      <c r="O934" s="1"/>
      <c r="P934" s="15"/>
      <c r="Q934" s="15"/>
      <c r="R934" s="1"/>
      <c r="S934" s="1"/>
    </row>
    <row r="935">
      <c r="A935" s="1"/>
      <c r="B935" s="3">
        <f t="shared" si="2"/>
        <v>931</v>
      </c>
      <c r="C935" s="31" t="s">
        <v>2021</v>
      </c>
      <c r="D935" s="37" t="s">
        <v>112</v>
      </c>
      <c r="E935" s="37" t="s">
        <v>1731</v>
      </c>
      <c r="F935" s="43" t="s">
        <v>2021</v>
      </c>
      <c r="G935" s="37"/>
      <c r="H935" s="17" t="s">
        <v>1980</v>
      </c>
      <c r="I935" s="37" t="s">
        <v>1289</v>
      </c>
      <c r="J935" s="3"/>
      <c r="K935" s="3"/>
      <c r="L935" s="37" t="s">
        <v>58</v>
      </c>
      <c r="M935" s="37"/>
      <c r="N935" s="17"/>
      <c r="O935" s="1"/>
      <c r="P935" s="15"/>
      <c r="Q935" s="15"/>
      <c r="R935" s="1"/>
      <c r="S935" s="1"/>
    </row>
    <row r="936">
      <c r="A936" s="1"/>
      <c r="B936" s="3">
        <f t="shared" si="2"/>
        <v>932</v>
      </c>
      <c r="C936" s="31" t="s">
        <v>2022</v>
      </c>
      <c r="D936" s="37" t="s">
        <v>49</v>
      </c>
      <c r="E936" s="37" t="s">
        <v>2023</v>
      </c>
      <c r="F936" s="43" t="s">
        <v>2022</v>
      </c>
      <c r="G936" s="37"/>
      <c r="H936" s="17" t="s">
        <v>1980</v>
      </c>
      <c r="I936" s="37" t="s">
        <v>1289</v>
      </c>
      <c r="J936" s="3"/>
      <c r="K936" s="3"/>
      <c r="L936" s="37" t="s">
        <v>58</v>
      </c>
      <c r="M936" s="37"/>
      <c r="N936" s="17"/>
      <c r="O936" s="1"/>
      <c r="P936" s="15"/>
      <c r="Q936" s="15"/>
      <c r="R936" s="1"/>
      <c r="S936" s="1"/>
    </row>
    <row r="937">
      <c r="A937" s="1"/>
      <c r="B937" s="3">
        <f t="shared" si="2"/>
        <v>933</v>
      </c>
      <c r="C937" s="31" t="s">
        <v>2024</v>
      </c>
      <c r="D937" s="37" t="s">
        <v>38</v>
      </c>
      <c r="E937" s="37" t="s">
        <v>2025</v>
      </c>
      <c r="F937" s="43" t="s">
        <v>2026</v>
      </c>
      <c r="G937" s="37"/>
      <c r="H937" s="17" t="s">
        <v>1980</v>
      </c>
      <c r="I937" s="37" t="s">
        <v>1289</v>
      </c>
      <c r="J937" s="3"/>
      <c r="K937" s="3"/>
      <c r="L937" s="37" t="s">
        <v>58</v>
      </c>
      <c r="M937" s="37"/>
      <c r="N937" s="17"/>
      <c r="O937" s="1"/>
      <c r="P937" s="15"/>
      <c r="Q937" s="15"/>
      <c r="R937" s="1"/>
      <c r="S937" s="1"/>
    </row>
    <row r="938">
      <c r="A938" s="1"/>
      <c r="B938" s="3">
        <f t="shared" si="2"/>
        <v>934</v>
      </c>
      <c r="C938" s="31" t="s">
        <v>2027</v>
      </c>
      <c r="D938" s="37" t="s">
        <v>1505</v>
      </c>
      <c r="E938" s="37" t="s">
        <v>1896</v>
      </c>
      <c r="F938" s="43" t="s">
        <v>2028</v>
      </c>
      <c r="G938" s="37"/>
      <c r="H938" s="17" t="s">
        <v>1980</v>
      </c>
      <c r="I938" s="37" t="s">
        <v>1289</v>
      </c>
      <c r="J938" s="3"/>
      <c r="K938" s="3"/>
      <c r="L938" s="37" t="s">
        <v>58</v>
      </c>
      <c r="M938" s="37"/>
      <c r="N938" s="17"/>
      <c r="O938" s="1"/>
      <c r="P938" s="15"/>
      <c r="Q938" s="15"/>
      <c r="R938" s="1"/>
      <c r="S938" s="1"/>
    </row>
    <row r="939">
      <c r="A939" s="1"/>
      <c r="B939" s="3">
        <f t="shared" si="2"/>
        <v>935</v>
      </c>
      <c r="C939" s="31" t="s">
        <v>2029</v>
      </c>
      <c r="D939" s="37" t="s">
        <v>497</v>
      </c>
      <c r="E939" s="37" t="s">
        <v>2030</v>
      </c>
      <c r="F939" s="43" t="s">
        <v>2031</v>
      </c>
      <c r="G939" s="37"/>
      <c r="H939" s="17" t="s">
        <v>1980</v>
      </c>
      <c r="I939" s="37" t="s">
        <v>1289</v>
      </c>
      <c r="J939" s="3"/>
      <c r="K939" s="3"/>
      <c r="L939" s="37" t="s">
        <v>58</v>
      </c>
      <c r="M939" s="37"/>
      <c r="N939" s="17"/>
      <c r="O939" s="1"/>
      <c r="P939" s="15"/>
      <c r="Q939" s="15"/>
      <c r="R939" s="1"/>
      <c r="S939" s="1"/>
    </row>
    <row r="940">
      <c r="A940" s="1"/>
      <c r="B940" s="3">
        <f t="shared" si="2"/>
        <v>936</v>
      </c>
      <c r="C940" s="31" t="s">
        <v>2032</v>
      </c>
      <c r="D940" s="37" t="s">
        <v>49</v>
      </c>
      <c r="E940" s="37" t="s">
        <v>1312</v>
      </c>
      <c r="F940" s="43" t="s">
        <v>2033</v>
      </c>
      <c r="G940" s="37"/>
      <c r="H940" s="17" t="s">
        <v>1980</v>
      </c>
      <c r="I940" s="37" t="s">
        <v>1289</v>
      </c>
      <c r="J940" s="3"/>
      <c r="K940" s="3"/>
      <c r="L940" s="37" t="s">
        <v>58</v>
      </c>
      <c r="M940" s="37"/>
      <c r="N940" s="17"/>
      <c r="O940" s="1"/>
      <c r="P940" s="15"/>
      <c r="Q940" s="15"/>
      <c r="R940" s="1"/>
      <c r="S940" s="1"/>
    </row>
    <row r="941">
      <c r="A941" s="1"/>
      <c r="B941" s="3">
        <f t="shared" si="2"/>
        <v>937</v>
      </c>
      <c r="C941" s="31" t="s">
        <v>2034</v>
      </c>
      <c r="D941" s="37" t="s">
        <v>497</v>
      </c>
      <c r="E941" s="37" t="s">
        <v>1428</v>
      </c>
      <c r="F941" s="43" t="s">
        <v>2034</v>
      </c>
      <c r="G941" s="37"/>
      <c r="H941" s="17" t="s">
        <v>1980</v>
      </c>
      <c r="I941" s="37" t="s">
        <v>1289</v>
      </c>
      <c r="J941" s="3"/>
      <c r="K941" s="3"/>
      <c r="L941" s="37" t="s">
        <v>58</v>
      </c>
      <c r="M941" s="37"/>
      <c r="N941" s="17"/>
      <c r="O941" s="1"/>
      <c r="P941" s="15"/>
      <c r="Q941" s="15"/>
      <c r="R941" s="1"/>
      <c r="S941" s="1"/>
    </row>
    <row r="942">
      <c r="A942" s="1"/>
      <c r="B942" s="3">
        <f t="shared" si="2"/>
        <v>938</v>
      </c>
      <c r="C942" s="31" t="s">
        <v>2035</v>
      </c>
      <c r="D942" s="37" t="s">
        <v>44</v>
      </c>
      <c r="E942" s="37" t="s">
        <v>1578</v>
      </c>
      <c r="F942" s="43" t="s">
        <v>2035</v>
      </c>
      <c r="G942" s="37"/>
      <c r="H942" s="17" t="s">
        <v>1980</v>
      </c>
      <c r="I942" s="37" t="s">
        <v>1289</v>
      </c>
      <c r="J942" s="3"/>
      <c r="K942" s="3"/>
      <c r="L942" s="37" t="s">
        <v>58</v>
      </c>
      <c r="M942" s="37"/>
      <c r="N942" s="17"/>
      <c r="O942" s="1"/>
      <c r="P942" s="15"/>
      <c r="Q942" s="15"/>
      <c r="R942" s="1"/>
      <c r="S942" s="1"/>
    </row>
    <row r="943">
      <c r="A943" s="1"/>
      <c r="B943" s="3">
        <f t="shared" si="2"/>
        <v>939</v>
      </c>
      <c r="C943" s="31" t="s">
        <v>2036</v>
      </c>
      <c r="D943" s="37" t="s">
        <v>112</v>
      </c>
      <c r="E943" s="37" t="s">
        <v>1731</v>
      </c>
      <c r="F943" s="43" t="s">
        <v>2036</v>
      </c>
      <c r="G943" s="37"/>
      <c r="H943" s="17" t="s">
        <v>1980</v>
      </c>
      <c r="I943" s="37" t="s">
        <v>1289</v>
      </c>
      <c r="J943" s="3"/>
      <c r="K943" s="3"/>
      <c r="L943" s="37" t="s">
        <v>58</v>
      </c>
      <c r="M943" s="37"/>
      <c r="N943" s="17"/>
      <c r="O943" s="1"/>
      <c r="P943" s="15"/>
      <c r="Q943" s="15"/>
      <c r="R943" s="1"/>
      <c r="S943" s="1"/>
    </row>
    <row r="944">
      <c r="A944" s="1"/>
      <c r="B944" s="3">
        <f t="shared" si="2"/>
        <v>940</v>
      </c>
      <c r="C944" s="31" t="s">
        <v>2037</v>
      </c>
      <c r="D944" s="37" t="s">
        <v>83</v>
      </c>
      <c r="E944" s="37" t="s">
        <v>1343</v>
      </c>
      <c r="F944" s="43" t="s">
        <v>2037</v>
      </c>
      <c r="G944" s="37"/>
      <c r="H944" s="17" t="s">
        <v>1980</v>
      </c>
      <c r="I944" s="37" t="s">
        <v>1289</v>
      </c>
      <c r="J944" s="3"/>
      <c r="K944" s="3"/>
      <c r="L944" s="37" t="s">
        <v>58</v>
      </c>
      <c r="M944" s="37"/>
      <c r="N944" s="17"/>
      <c r="O944" s="1"/>
      <c r="P944" s="15"/>
      <c r="Q944" s="15"/>
      <c r="R944" s="1"/>
      <c r="S944" s="1"/>
    </row>
    <row r="945">
      <c r="A945" s="1"/>
      <c r="B945" s="3">
        <f t="shared" si="2"/>
        <v>941</v>
      </c>
      <c r="C945" s="31" t="s">
        <v>2038</v>
      </c>
      <c r="D945" s="37" t="s">
        <v>121</v>
      </c>
      <c r="E945" s="37" t="s">
        <v>1357</v>
      </c>
      <c r="F945" s="43" t="s">
        <v>2039</v>
      </c>
      <c r="G945" s="37"/>
      <c r="H945" s="17" t="s">
        <v>1980</v>
      </c>
      <c r="I945" s="37" t="s">
        <v>1289</v>
      </c>
      <c r="J945" s="3"/>
      <c r="K945" s="3"/>
      <c r="L945" s="37" t="s">
        <v>58</v>
      </c>
      <c r="M945" s="37"/>
      <c r="N945" s="17"/>
      <c r="O945" s="1"/>
      <c r="P945" s="15"/>
      <c r="Q945" s="15"/>
      <c r="R945" s="1"/>
      <c r="S945" s="1"/>
    </row>
    <row r="946">
      <c r="A946" s="1"/>
      <c r="B946" s="3">
        <f t="shared" si="2"/>
        <v>942</v>
      </c>
      <c r="C946" s="31" t="s">
        <v>2040</v>
      </c>
      <c r="D946" s="37" t="s">
        <v>56</v>
      </c>
      <c r="E946" s="37" t="s">
        <v>1285</v>
      </c>
      <c r="F946" s="43" t="s">
        <v>2040</v>
      </c>
      <c r="G946" s="37"/>
      <c r="H946" s="17" t="s">
        <v>1980</v>
      </c>
      <c r="I946" s="37" t="s">
        <v>77</v>
      </c>
      <c r="J946" s="3"/>
      <c r="K946" s="3"/>
      <c r="L946" s="37" t="s">
        <v>58</v>
      </c>
      <c r="M946" s="37" t="s">
        <v>45</v>
      </c>
      <c r="N946" s="17"/>
      <c r="O946" s="1"/>
      <c r="P946" s="15"/>
      <c r="Q946" s="15"/>
      <c r="R946" s="1"/>
      <c r="S946" s="1"/>
    </row>
    <row r="947">
      <c r="A947" s="1"/>
      <c r="B947" s="3">
        <f t="shared" si="2"/>
        <v>943</v>
      </c>
      <c r="C947" s="31" t="s">
        <v>2041</v>
      </c>
      <c r="D947" s="37" t="s">
        <v>116</v>
      </c>
      <c r="E947" s="37" t="s">
        <v>1285</v>
      </c>
      <c r="F947" s="43" t="s">
        <v>2042</v>
      </c>
      <c r="G947" s="37"/>
      <c r="H947" s="46">
        <v>46139.0</v>
      </c>
      <c r="I947" s="37" t="s">
        <v>1289</v>
      </c>
      <c r="J947" s="3"/>
      <c r="K947" s="3"/>
      <c r="L947" s="37" t="s">
        <v>58</v>
      </c>
      <c r="M947" s="37"/>
      <c r="N947" s="17"/>
      <c r="O947" s="1"/>
      <c r="P947" s="15"/>
      <c r="Q947" s="15"/>
      <c r="R947" s="1"/>
      <c r="S947" s="1"/>
    </row>
    <row r="948">
      <c r="A948" s="1"/>
      <c r="B948" s="3">
        <f t="shared" si="2"/>
        <v>944</v>
      </c>
      <c r="C948" s="31" t="s">
        <v>2043</v>
      </c>
      <c r="D948" s="37" t="s">
        <v>116</v>
      </c>
      <c r="E948" s="37" t="s">
        <v>1959</v>
      </c>
      <c r="F948" s="43" t="s">
        <v>2044</v>
      </c>
      <c r="G948" s="37"/>
      <c r="H948" s="46">
        <v>46139.0</v>
      </c>
      <c r="I948" s="37" t="s">
        <v>1289</v>
      </c>
      <c r="J948" s="3"/>
      <c r="K948" s="3"/>
      <c r="L948" s="37" t="s">
        <v>58</v>
      </c>
      <c r="M948" s="37"/>
      <c r="N948" s="17"/>
      <c r="O948" s="1"/>
      <c r="P948" s="15"/>
      <c r="Q948" s="15"/>
      <c r="R948" s="1"/>
      <c r="S948" s="1"/>
    </row>
    <row r="949">
      <c r="A949" s="1"/>
      <c r="B949" s="3">
        <f t="shared" si="2"/>
        <v>945</v>
      </c>
      <c r="C949" s="31" t="s">
        <v>2045</v>
      </c>
      <c r="D949" s="37" t="s">
        <v>116</v>
      </c>
      <c r="E949" s="37" t="s">
        <v>2046</v>
      </c>
      <c r="F949" s="43" t="s">
        <v>2045</v>
      </c>
      <c r="G949" s="37"/>
      <c r="H949" s="46">
        <v>46139.0</v>
      </c>
      <c r="I949" s="37" t="s">
        <v>1289</v>
      </c>
      <c r="J949" s="3"/>
      <c r="K949" s="3"/>
      <c r="L949" s="37" t="s">
        <v>58</v>
      </c>
      <c r="M949" s="37"/>
      <c r="N949" s="17"/>
      <c r="O949" s="1"/>
      <c r="P949" s="15"/>
      <c r="Q949" s="15"/>
      <c r="R949" s="1"/>
      <c r="S949" s="1"/>
    </row>
    <row r="950">
      <c r="A950" s="1"/>
      <c r="B950" s="3">
        <f t="shared" si="2"/>
        <v>946</v>
      </c>
      <c r="C950" s="31" t="s">
        <v>2047</v>
      </c>
      <c r="D950" s="37" t="s">
        <v>116</v>
      </c>
      <c r="E950" s="37" t="s">
        <v>1578</v>
      </c>
      <c r="F950" s="43" t="s">
        <v>2047</v>
      </c>
      <c r="G950" s="37"/>
      <c r="H950" s="46">
        <v>46139.0</v>
      </c>
      <c r="I950" s="37" t="s">
        <v>1289</v>
      </c>
      <c r="J950" s="3"/>
      <c r="K950" s="3"/>
      <c r="L950" s="37" t="s">
        <v>58</v>
      </c>
      <c r="M950" s="37"/>
      <c r="N950" s="17"/>
      <c r="O950" s="1"/>
      <c r="P950" s="15"/>
      <c r="Q950" s="15"/>
      <c r="R950" s="1"/>
      <c r="S950" s="1"/>
    </row>
    <row r="951">
      <c r="A951" s="1"/>
      <c r="B951" s="3">
        <f t="shared" si="2"/>
        <v>947</v>
      </c>
      <c r="C951" s="31" t="s">
        <v>2048</v>
      </c>
      <c r="D951" s="37" t="s">
        <v>116</v>
      </c>
      <c r="E951" s="37" t="s">
        <v>2014</v>
      </c>
      <c r="F951" s="43" t="s">
        <v>2049</v>
      </c>
      <c r="G951" s="37"/>
      <c r="H951" s="46">
        <v>46139.0</v>
      </c>
      <c r="I951" s="37" t="s">
        <v>1289</v>
      </c>
      <c r="J951" s="3"/>
      <c r="K951" s="3"/>
      <c r="L951" s="37" t="s">
        <v>58</v>
      </c>
      <c r="M951" s="37"/>
      <c r="N951" s="17"/>
      <c r="O951" s="1"/>
      <c r="P951" s="15"/>
      <c r="Q951" s="15"/>
      <c r="R951" s="1"/>
      <c r="S951" s="1"/>
    </row>
    <row r="952">
      <c r="A952" s="1"/>
      <c r="B952" s="3">
        <f t="shared" si="2"/>
        <v>948</v>
      </c>
      <c r="C952" s="31" t="s">
        <v>2050</v>
      </c>
      <c r="D952" s="37" t="s">
        <v>116</v>
      </c>
      <c r="E952" s="37" t="s">
        <v>2051</v>
      </c>
      <c r="F952" s="43" t="s">
        <v>2052</v>
      </c>
      <c r="G952" s="37"/>
      <c r="H952" s="46">
        <v>46139.0</v>
      </c>
      <c r="I952" s="37" t="s">
        <v>1289</v>
      </c>
      <c r="J952" s="3"/>
      <c r="K952" s="3"/>
      <c r="L952" s="37" t="s">
        <v>58</v>
      </c>
      <c r="M952" s="37"/>
      <c r="N952" s="17"/>
      <c r="O952" s="1"/>
      <c r="P952" s="15"/>
      <c r="Q952" s="15"/>
      <c r="R952" s="1"/>
      <c r="S952" s="1"/>
    </row>
    <row r="953">
      <c r="A953" s="1"/>
      <c r="B953" s="3">
        <f t="shared" si="2"/>
        <v>949</v>
      </c>
      <c r="C953" s="31" t="s">
        <v>2053</v>
      </c>
      <c r="D953" s="37" t="s">
        <v>116</v>
      </c>
      <c r="E953" s="37" t="s">
        <v>2054</v>
      </c>
      <c r="F953" s="43" t="s">
        <v>2053</v>
      </c>
      <c r="G953" s="37"/>
      <c r="H953" s="46">
        <v>46139.0</v>
      </c>
      <c r="I953" s="37" t="s">
        <v>1289</v>
      </c>
      <c r="J953" s="3"/>
      <c r="K953" s="3"/>
      <c r="L953" s="37" t="s">
        <v>58</v>
      </c>
      <c r="M953" s="37"/>
      <c r="N953" s="17"/>
      <c r="O953" s="1"/>
      <c r="P953" s="15"/>
      <c r="Q953" s="15"/>
      <c r="R953" s="1"/>
      <c r="S953" s="1"/>
    </row>
    <row r="954">
      <c r="A954" s="1"/>
      <c r="B954" s="3">
        <f t="shared" si="2"/>
        <v>950</v>
      </c>
      <c r="C954" s="31" t="s">
        <v>2055</v>
      </c>
      <c r="D954" s="37" t="s">
        <v>116</v>
      </c>
      <c r="E954" s="1"/>
      <c r="F954" s="43" t="s">
        <v>2055</v>
      </c>
      <c r="G954" s="37"/>
      <c r="H954" s="46">
        <v>46139.0</v>
      </c>
      <c r="I954" s="37" t="s">
        <v>1289</v>
      </c>
      <c r="J954" s="3"/>
      <c r="K954" s="3"/>
      <c r="L954" s="37" t="s">
        <v>58</v>
      </c>
      <c r="M954" s="37"/>
      <c r="N954" s="17"/>
      <c r="O954" s="1"/>
      <c r="P954" s="15"/>
      <c r="Q954" s="15"/>
      <c r="R954" s="1"/>
      <c r="S954" s="1"/>
    </row>
    <row r="955">
      <c r="A955" s="1"/>
      <c r="B955" s="3">
        <f t="shared" si="2"/>
        <v>951</v>
      </c>
      <c r="C955" s="31" t="s">
        <v>2056</v>
      </c>
      <c r="D955" s="37" t="s">
        <v>116</v>
      </c>
      <c r="E955" s="37" t="s">
        <v>1589</v>
      </c>
      <c r="F955" s="43" t="s">
        <v>2057</v>
      </c>
      <c r="G955" s="37"/>
      <c r="H955" s="46">
        <v>46139.0</v>
      </c>
      <c r="I955" s="37" t="s">
        <v>1289</v>
      </c>
      <c r="J955" s="3"/>
      <c r="K955" s="3"/>
      <c r="L955" s="37" t="s">
        <v>58</v>
      </c>
      <c r="M955" s="37"/>
      <c r="N955" s="17"/>
      <c r="O955" s="1"/>
      <c r="P955" s="15"/>
      <c r="Q955" s="15"/>
      <c r="R955" s="1"/>
      <c r="S955" s="1"/>
    </row>
    <row r="956">
      <c r="A956" s="1"/>
      <c r="B956" s="3">
        <f t="shared" si="2"/>
        <v>952</v>
      </c>
      <c r="C956" s="31" t="s">
        <v>2058</v>
      </c>
      <c r="D956" s="37" t="s">
        <v>116</v>
      </c>
      <c r="E956" s="37" t="s">
        <v>1285</v>
      </c>
      <c r="F956" s="43" t="s">
        <v>2059</v>
      </c>
      <c r="G956" s="37"/>
      <c r="H956" s="46">
        <v>46139.0</v>
      </c>
      <c r="I956" s="37" t="s">
        <v>1289</v>
      </c>
      <c r="J956" s="3"/>
      <c r="K956" s="3"/>
      <c r="L956" s="37" t="s">
        <v>58</v>
      </c>
      <c r="M956" s="37"/>
      <c r="N956" s="17"/>
      <c r="O956" s="1"/>
      <c r="P956" s="15"/>
      <c r="Q956" s="15"/>
      <c r="R956" s="1"/>
      <c r="S956" s="1"/>
    </row>
    <row r="957">
      <c r="A957" s="1"/>
      <c r="B957" s="3">
        <f t="shared" si="2"/>
        <v>953</v>
      </c>
      <c r="C957" s="31" t="s">
        <v>2060</v>
      </c>
      <c r="D957" s="37" t="s">
        <v>116</v>
      </c>
      <c r="E957" s="37" t="s">
        <v>1769</v>
      </c>
      <c r="F957" s="43" t="s">
        <v>2060</v>
      </c>
      <c r="G957" s="37"/>
      <c r="H957" s="46">
        <v>46139.0</v>
      </c>
      <c r="I957" s="37" t="s">
        <v>1289</v>
      </c>
      <c r="J957" s="3"/>
      <c r="K957" s="3"/>
      <c r="L957" s="37" t="s">
        <v>58</v>
      </c>
      <c r="M957" s="37"/>
      <c r="N957" s="17"/>
      <c r="O957" s="1"/>
      <c r="P957" s="15"/>
      <c r="Q957" s="15"/>
      <c r="R957" s="1"/>
      <c r="S957" s="1"/>
    </row>
    <row r="958">
      <c r="A958" s="1"/>
      <c r="B958" s="3">
        <f t="shared" si="2"/>
        <v>954</v>
      </c>
      <c r="C958" s="31" t="s">
        <v>2061</v>
      </c>
      <c r="D958" s="37" t="s">
        <v>116</v>
      </c>
      <c r="E958" s="37" t="s">
        <v>1357</v>
      </c>
      <c r="F958" s="43" t="s">
        <v>2062</v>
      </c>
      <c r="G958" s="37"/>
      <c r="H958" s="46">
        <v>46139.0</v>
      </c>
      <c r="I958" s="37" t="s">
        <v>1289</v>
      </c>
      <c r="J958" s="3"/>
      <c r="K958" s="3"/>
      <c r="L958" s="37" t="s">
        <v>58</v>
      </c>
      <c r="M958" s="37"/>
      <c r="N958" s="17"/>
      <c r="O958" s="1"/>
      <c r="P958" s="15"/>
      <c r="Q958" s="15"/>
      <c r="R958" s="1"/>
      <c r="S958" s="1"/>
    </row>
    <row r="959">
      <c r="A959" s="1"/>
      <c r="B959" s="3">
        <f t="shared" si="2"/>
        <v>955</v>
      </c>
      <c r="C959" s="31" t="s">
        <v>1930</v>
      </c>
      <c r="D959" s="37" t="s">
        <v>116</v>
      </c>
      <c r="E959" s="37" t="s">
        <v>1646</v>
      </c>
      <c r="F959" s="43" t="s">
        <v>1930</v>
      </c>
      <c r="G959" s="37"/>
      <c r="H959" s="46">
        <v>46139.0</v>
      </c>
      <c r="I959" s="37" t="s">
        <v>1289</v>
      </c>
      <c r="J959" s="3"/>
      <c r="K959" s="3"/>
      <c r="L959" s="37" t="s">
        <v>58</v>
      </c>
      <c r="M959" s="37"/>
      <c r="N959" s="17"/>
      <c r="O959" s="1"/>
      <c r="P959" s="15"/>
      <c r="Q959" s="15"/>
      <c r="R959" s="1"/>
      <c r="S959" s="1"/>
    </row>
    <row r="960">
      <c r="A960" s="1"/>
      <c r="B960" s="3">
        <f t="shared" si="2"/>
        <v>956</v>
      </c>
      <c r="C960" s="31" t="s">
        <v>2063</v>
      </c>
      <c r="D960" s="37" t="s">
        <v>116</v>
      </c>
      <c r="E960" s="37" t="s">
        <v>1285</v>
      </c>
      <c r="F960" s="43" t="s">
        <v>2064</v>
      </c>
      <c r="G960" s="37"/>
      <c r="H960" s="46">
        <v>46139.0</v>
      </c>
      <c r="I960" s="37" t="s">
        <v>1289</v>
      </c>
      <c r="J960" s="3"/>
      <c r="K960" s="3"/>
      <c r="L960" s="37" t="s">
        <v>58</v>
      </c>
      <c r="M960" s="37"/>
      <c r="N960" s="17"/>
      <c r="O960" s="1"/>
      <c r="P960" s="15"/>
      <c r="Q960" s="15"/>
      <c r="R960" s="1"/>
      <c r="S960" s="1"/>
    </row>
    <row r="961">
      <c r="A961" s="1"/>
      <c r="B961" s="3">
        <f t="shared" si="2"/>
        <v>957</v>
      </c>
      <c r="C961" s="31" t="s">
        <v>2065</v>
      </c>
      <c r="D961" s="37" t="s">
        <v>116</v>
      </c>
      <c r="E961" s="37" t="s">
        <v>1589</v>
      </c>
      <c r="F961" s="43" t="s">
        <v>2066</v>
      </c>
      <c r="G961" s="37"/>
      <c r="H961" s="46">
        <v>45043.0</v>
      </c>
      <c r="I961" s="37" t="s">
        <v>1289</v>
      </c>
      <c r="J961" s="3"/>
      <c r="K961" s="3"/>
      <c r="L961" s="37" t="s">
        <v>58</v>
      </c>
      <c r="M961" s="37"/>
      <c r="N961" s="17"/>
      <c r="O961" s="1"/>
      <c r="P961" s="15"/>
      <c r="Q961" s="15"/>
      <c r="R961" s="1"/>
      <c r="S961" s="1"/>
    </row>
    <row r="962">
      <c r="A962" s="1"/>
      <c r="B962" s="3">
        <f t="shared" si="2"/>
        <v>958</v>
      </c>
      <c r="C962" s="31" t="s">
        <v>2067</v>
      </c>
      <c r="D962" s="37" t="s">
        <v>116</v>
      </c>
      <c r="E962" s="37" t="s">
        <v>1398</v>
      </c>
      <c r="F962" s="43" t="s">
        <v>2068</v>
      </c>
      <c r="G962" s="37"/>
      <c r="H962" s="46">
        <v>46139.0</v>
      </c>
      <c r="I962" s="37" t="s">
        <v>1289</v>
      </c>
      <c r="J962" s="3"/>
      <c r="K962" s="3"/>
      <c r="L962" s="37" t="s">
        <v>58</v>
      </c>
      <c r="M962" s="37"/>
      <c r="N962" s="17"/>
      <c r="O962" s="1"/>
      <c r="P962" s="15"/>
      <c r="Q962" s="15"/>
      <c r="R962" s="1"/>
      <c r="S962" s="1"/>
    </row>
    <row r="963">
      <c r="A963" s="1"/>
      <c r="B963" s="3">
        <f t="shared" si="2"/>
        <v>959</v>
      </c>
      <c r="C963" s="31" t="s">
        <v>2069</v>
      </c>
      <c r="D963" s="37" t="s">
        <v>116</v>
      </c>
      <c r="E963" s="37" t="s">
        <v>2070</v>
      </c>
      <c r="F963" s="43" t="s">
        <v>2069</v>
      </c>
      <c r="G963" s="37"/>
      <c r="H963" s="46">
        <v>46139.0</v>
      </c>
      <c r="I963" s="37" t="s">
        <v>1289</v>
      </c>
      <c r="J963" s="3"/>
      <c r="K963" s="3"/>
      <c r="L963" s="37" t="s">
        <v>58</v>
      </c>
      <c r="M963" s="37"/>
      <c r="N963" s="17"/>
      <c r="O963" s="1"/>
      <c r="P963" s="15"/>
      <c r="Q963" s="15"/>
      <c r="R963" s="1"/>
      <c r="S963" s="1"/>
    </row>
    <row r="964">
      <c r="A964" s="1"/>
      <c r="B964" s="3">
        <f t="shared" si="2"/>
        <v>960</v>
      </c>
      <c r="C964" s="31" t="s">
        <v>2071</v>
      </c>
      <c r="D964" s="37" t="s">
        <v>116</v>
      </c>
      <c r="E964" s="37" t="s">
        <v>1880</v>
      </c>
      <c r="F964" s="43" t="s">
        <v>2072</v>
      </c>
      <c r="G964" s="37"/>
      <c r="H964" s="17" t="s">
        <v>1774</v>
      </c>
      <c r="I964" s="37" t="s">
        <v>1289</v>
      </c>
      <c r="J964" s="3"/>
      <c r="K964" s="3"/>
      <c r="L964" s="37" t="s">
        <v>58</v>
      </c>
      <c r="M964" s="37"/>
      <c r="N964" s="17"/>
      <c r="O964" s="1"/>
      <c r="P964" s="15"/>
      <c r="Q964" s="15"/>
      <c r="R964" s="1"/>
      <c r="S964" s="1"/>
    </row>
    <row r="965">
      <c r="A965" s="1"/>
      <c r="B965" s="3">
        <f t="shared" si="2"/>
        <v>961</v>
      </c>
      <c r="C965" s="31" t="s">
        <v>2073</v>
      </c>
      <c r="D965" s="37" t="s">
        <v>116</v>
      </c>
      <c r="E965" s="37" t="s">
        <v>1285</v>
      </c>
      <c r="F965" s="43" t="s">
        <v>2073</v>
      </c>
      <c r="G965" s="37"/>
      <c r="H965" s="46">
        <v>46139.0</v>
      </c>
      <c r="I965" s="37" t="s">
        <v>1289</v>
      </c>
      <c r="J965" s="3"/>
      <c r="K965" s="3"/>
      <c r="L965" s="37" t="s">
        <v>58</v>
      </c>
      <c r="M965" s="37"/>
      <c r="N965" s="17"/>
      <c r="O965" s="1"/>
      <c r="P965" s="15"/>
      <c r="Q965" s="15"/>
      <c r="R965" s="1"/>
      <c r="S965" s="1"/>
    </row>
    <row r="966">
      <c r="A966" s="1"/>
      <c r="B966" s="3">
        <f t="shared" si="2"/>
        <v>962</v>
      </c>
      <c r="C966" s="31" t="s">
        <v>2074</v>
      </c>
      <c r="D966" s="37" t="s">
        <v>116</v>
      </c>
      <c r="E966" s="37" t="s">
        <v>1285</v>
      </c>
      <c r="F966" s="43" t="s">
        <v>2075</v>
      </c>
      <c r="G966" s="37"/>
      <c r="H966" s="46">
        <v>46139.0</v>
      </c>
      <c r="I966" s="37" t="s">
        <v>1289</v>
      </c>
      <c r="J966" s="3"/>
      <c r="K966" s="3"/>
      <c r="L966" s="37" t="s">
        <v>58</v>
      </c>
      <c r="M966" s="37"/>
      <c r="N966" s="17"/>
      <c r="O966" s="1"/>
      <c r="P966" s="15"/>
      <c r="Q966" s="15"/>
      <c r="R966" s="1"/>
      <c r="S966" s="1"/>
    </row>
    <row r="967">
      <c r="A967" s="1"/>
      <c r="B967" s="3">
        <f t="shared" si="2"/>
        <v>963</v>
      </c>
      <c r="C967" s="31" t="s">
        <v>2076</v>
      </c>
      <c r="D967" s="37" t="s">
        <v>186</v>
      </c>
      <c r="E967" s="37" t="s">
        <v>2070</v>
      </c>
      <c r="F967" s="43" t="s">
        <v>1401</v>
      </c>
      <c r="G967" s="37"/>
      <c r="H967" s="13"/>
      <c r="I967" s="37"/>
      <c r="J967" s="3"/>
      <c r="K967" s="3"/>
      <c r="L967" s="37"/>
      <c r="M967" s="37"/>
      <c r="N967" s="17"/>
      <c r="O967" s="1"/>
      <c r="P967" s="15"/>
      <c r="Q967" s="15"/>
      <c r="R967" s="1"/>
      <c r="S967" s="1"/>
    </row>
    <row r="968">
      <c r="A968" s="1"/>
      <c r="B968" s="3">
        <f t="shared" si="2"/>
        <v>964</v>
      </c>
      <c r="C968" s="31" t="s">
        <v>2077</v>
      </c>
      <c r="D968" s="37" t="s">
        <v>96</v>
      </c>
      <c r="E968" s="37" t="s">
        <v>1285</v>
      </c>
      <c r="F968" s="43" t="s">
        <v>2078</v>
      </c>
      <c r="G968" s="37"/>
      <c r="H968" s="46">
        <v>46155.0</v>
      </c>
      <c r="I968" s="37" t="s">
        <v>1289</v>
      </c>
      <c r="J968" s="3"/>
      <c r="K968" s="3"/>
      <c r="L968" s="37" t="s">
        <v>58</v>
      </c>
      <c r="M968" s="37"/>
      <c r="N968" s="17"/>
      <c r="O968" s="1"/>
      <c r="P968" s="67" t="s">
        <v>2079</v>
      </c>
      <c r="Q968" s="15"/>
      <c r="R968" s="1"/>
      <c r="S968" s="1"/>
    </row>
    <row r="969">
      <c r="A969" s="1"/>
      <c r="B969" s="3">
        <f t="shared" si="2"/>
        <v>965</v>
      </c>
      <c r="C969" s="31" t="s">
        <v>2080</v>
      </c>
      <c r="D969" s="37" t="s">
        <v>44</v>
      </c>
      <c r="E969" s="37" t="s">
        <v>1589</v>
      </c>
      <c r="F969" s="43" t="s">
        <v>2080</v>
      </c>
      <c r="G969" s="37"/>
      <c r="H969" s="46">
        <v>46155.0</v>
      </c>
      <c r="I969" s="37" t="s">
        <v>1289</v>
      </c>
      <c r="J969" s="3"/>
      <c r="K969" s="3"/>
      <c r="L969" s="37" t="s">
        <v>58</v>
      </c>
      <c r="M969" s="37" t="s">
        <v>73</v>
      </c>
      <c r="N969" s="17"/>
      <c r="O969" s="1"/>
      <c r="P969" s="67" t="s">
        <v>2079</v>
      </c>
      <c r="Q969" s="15"/>
      <c r="R969" s="1"/>
      <c r="S969" s="1"/>
    </row>
    <row r="970">
      <c r="A970" s="1"/>
      <c r="B970" s="3">
        <f t="shared" si="2"/>
        <v>966</v>
      </c>
      <c r="C970" s="31" t="s">
        <v>2081</v>
      </c>
      <c r="D970" s="37" t="s">
        <v>96</v>
      </c>
      <c r="E970" s="37" t="s">
        <v>2082</v>
      </c>
      <c r="F970" s="43" t="s">
        <v>2083</v>
      </c>
      <c r="G970" s="37"/>
      <c r="H970" s="46">
        <v>46155.0</v>
      </c>
      <c r="I970" s="37" t="s">
        <v>1289</v>
      </c>
      <c r="J970" s="3"/>
      <c r="K970" s="3"/>
      <c r="L970" s="37" t="s">
        <v>58</v>
      </c>
      <c r="M970" s="37"/>
      <c r="N970" s="17"/>
      <c r="O970" s="1"/>
      <c r="P970" s="67" t="s">
        <v>2079</v>
      </c>
      <c r="Q970" s="15"/>
      <c r="R970" s="1"/>
      <c r="S970" s="1"/>
    </row>
    <row r="971">
      <c r="A971" s="1"/>
      <c r="B971" s="3">
        <f t="shared" si="2"/>
        <v>967</v>
      </c>
      <c r="C971" s="31" t="s">
        <v>2084</v>
      </c>
      <c r="D971" s="37" t="s">
        <v>44</v>
      </c>
      <c r="E971" s="37" t="s">
        <v>2085</v>
      </c>
      <c r="F971" s="43" t="s">
        <v>2086</v>
      </c>
      <c r="G971" s="37"/>
      <c r="H971" s="46">
        <v>46155.0</v>
      </c>
      <c r="I971" s="37" t="s">
        <v>1289</v>
      </c>
      <c r="J971" s="3"/>
      <c r="K971" s="3"/>
      <c r="L971" s="37" t="s">
        <v>58</v>
      </c>
      <c r="M971" s="37" t="s">
        <v>63</v>
      </c>
      <c r="N971" s="17" t="s">
        <v>28</v>
      </c>
      <c r="O971" s="37" t="s">
        <v>16</v>
      </c>
      <c r="P971" s="15"/>
      <c r="Q971" s="15"/>
      <c r="R971" s="1"/>
      <c r="S971" s="1"/>
    </row>
    <row r="972">
      <c r="A972" s="1"/>
      <c r="B972" s="3">
        <f t="shared" si="2"/>
        <v>968</v>
      </c>
      <c r="C972" s="31" t="s">
        <v>2087</v>
      </c>
      <c r="D972" s="37" t="s">
        <v>56</v>
      </c>
      <c r="E972" s="37" t="s">
        <v>2088</v>
      </c>
      <c r="F972" s="43" t="s">
        <v>2089</v>
      </c>
      <c r="G972" s="37"/>
      <c r="H972" s="46">
        <v>46155.0</v>
      </c>
      <c r="I972" s="37" t="s">
        <v>1289</v>
      </c>
      <c r="J972" s="3"/>
      <c r="K972" s="3"/>
      <c r="L972" s="37" t="s">
        <v>58</v>
      </c>
      <c r="M972" s="37" t="s">
        <v>63</v>
      </c>
      <c r="N972" s="17" t="s">
        <v>28</v>
      </c>
      <c r="O972" s="1"/>
      <c r="P972" s="15"/>
      <c r="Q972" s="15"/>
      <c r="R972" s="1"/>
      <c r="S972" s="1"/>
    </row>
    <row r="973">
      <c r="A973" s="1"/>
      <c r="B973" s="3">
        <f t="shared" si="2"/>
        <v>969</v>
      </c>
      <c r="C973" s="31" t="s">
        <v>2090</v>
      </c>
      <c r="D973" s="37" t="s">
        <v>83</v>
      </c>
      <c r="E973" s="37" t="s">
        <v>2091</v>
      </c>
      <c r="F973" s="43" t="s">
        <v>2092</v>
      </c>
      <c r="G973" s="37"/>
      <c r="H973" s="46">
        <v>46155.0</v>
      </c>
      <c r="I973" s="37" t="s">
        <v>1289</v>
      </c>
      <c r="J973" s="3"/>
      <c r="K973" s="3"/>
      <c r="L973" s="37" t="s">
        <v>58</v>
      </c>
      <c r="M973" s="37" t="s">
        <v>68</v>
      </c>
      <c r="N973" s="17" t="s">
        <v>28</v>
      </c>
      <c r="O973" s="1"/>
      <c r="P973" s="15"/>
      <c r="Q973" s="15"/>
      <c r="R973" s="1"/>
      <c r="S973" s="1"/>
    </row>
    <row r="974">
      <c r="A974" s="1"/>
      <c r="B974" s="3">
        <f t="shared" si="2"/>
        <v>970</v>
      </c>
      <c r="C974" s="31" t="s">
        <v>2093</v>
      </c>
      <c r="D974" s="37" t="s">
        <v>83</v>
      </c>
      <c r="E974" s="37" t="s">
        <v>2094</v>
      </c>
      <c r="F974" s="43" t="s">
        <v>2095</v>
      </c>
      <c r="G974" s="37"/>
      <c r="H974" s="46">
        <v>46155.0</v>
      </c>
      <c r="I974" s="37" t="s">
        <v>1289</v>
      </c>
      <c r="J974" s="3"/>
      <c r="K974" s="3"/>
      <c r="L974" s="37" t="s">
        <v>58</v>
      </c>
      <c r="M974" s="37" t="s">
        <v>53</v>
      </c>
      <c r="N974" s="17" t="s">
        <v>28</v>
      </c>
      <c r="O974" s="1"/>
      <c r="P974" s="15"/>
      <c r="Q974" s="15"/>
      <c r="R974" s="1"/>
      <c r="S974" s="1"/>
    </row>
    <row r="975">
      <c r="A975" s="1"/>
      <c r="B975" s="3">
        <f t="shared" si="2"/>
        <v>971</v>
      </c>
      <c r="C975" s="31" t="s">
        <v>2096</v>
      </c>
      <c r="D975" s="37" t="s">
        <v>83</v>
      </c>
      <c r="E975" s="37" t="s">
        <v>1535</v>
      </c>
      <c r="F975" s="43" t="s">
        <v>2097</v>
      </c>
      <c r="G975" s="37"/>
      <c r="H975" s="46">
        <v>46155.0</v>
      </c>
      <c r="I975" s="37" t="s">
        <v>1289</v>
      </c>
      <c r="J975" s="3"/>
      <c r="K975" s="3"/>
      <c r="L975" s="37" t="s">
        <v>58</v>
      </c>
      <c r="M975" s="37" t="s">
        <v>53</v>
      </c>
      <c r="N975" s="17" t="s">
        <v>28</v>
      </c>
      <c r="O975" s="1"/>
      <c r="P975" s="15"/>
      <c r="Q975" s="15"/>
      <c r="R975" s="1"/>
      <c r="S975" s="1"/>
    </row>
    <row r="976">
      <c r="A976" s="1"/>
      <c r="B976" s="3">
        <f t="shared" si="2"/>
        <v>972</v>
      </c>
      <c r="C976" s="31" t="s">
        <v>2098</v>
      </c>
      <c r="D976" s="37" t="s">
        <v>112</v>
      </c>
      <c r="E976" s="37" t="s">
        <v>1285</v>
      </c>
      <c r="F976" s="43" t="s">
        <v>2099</v>
      </c>
      <c r="G976" s="37"/>
      <c r="H976" s="46">
        <v>46155.0</v>
      </c>
      <c r="I976" s="37" t="s">
        <v>1289</v>
      </c>
      <c r="J976" s="3"/>
      <c r="K976" s="3"/>
      <c r="L976" s="37" t="s">
        <v>58</v>
      </c>
      <c r="M976" s="37" t="s">
        <v>45</v>
      </c>
      <c r="N976" s="17" t="s">
        <v>39</v>
      </c>
      <c r="O976" s="1"/>
      <c r="P976" s="15"/>
      <c r="Q976" s="15"/>
      <c r="R976" s="1"/>
      <c r="S976" s="1"/>
    </row>
    <row r="977">
      <c r="A977" s="1"/>
      <c r="B977" s="3">
        <f t="shared" si="2"/>
        <v>973</v>
      </c>
      <c r="C977" s="31" t="s">
        <v>2100</v>
      </c>
      <c r="D977" s="37" t="s">
        <v>116</v>
      </c>
      <c r="E977" s="37" t="s">
        <v>2101</v>
      </c>
      <c r="F977" s="43" t="s">
        <v>2102</v>
      </c>
      <c r="G977" s="37"/>
      <c r="H977" s="46">
        <v>46155.0</v>
      </c>
      <c r="I977" s="37" t="s">
        <v>1289</v>
      </c>
      <c r="J977" s="3"/>
      <c r="K977" s="3"/>
      <c r="L977" s="37" t="s">
        <v>58</v>
      </c>
      <c r="M977" s="37"/>
      <c r="N977" s="17"/>
      <c r="O977" s="1"/>
      <c r="P977" s="67" t="s">
        <v>2103</v>
      </c>
      <c r="Q977" s="15"/>
      <c r="R977" s="1"/>
      <c r="S977" s="1"/>
    </row>
    <row r="978">
      <c r="A978" s="1"/>
      <c r="B978" s="3">
        <f t="shared" si="2"/>
        <v>974</v>
      </c>
      <c r="C978" s="31" t="s">
        <v>2104</v>
      </c>
      <c r="D978" s="37" t="s">
        <v>116</v>
      </c>
      <c r="E978" s="37" t="s">
        <v>2091</v>
      </c>
      <c r="F978" s="37"/>
      <c r="G978" s="37"/>
      <c r="H978" s="46">
        <v>46155.0</v>
      </c>
      <c r="I978" s="37" t="s">
        <v>1289</v>
      </c>
      <c r="J978" s="3"/>
      <c r="K978" s="3"/>
      <c r="L978" s="37" t="s">
        <v>58</v>
      </c>
      <c r="M978" s="37"/>
      <c r="N978" s="17"/>
      <c r="O978" s="1"/>
      <c r="P978" s="67" t="s">
        <v>2103</v>
      </c>
      <c r="Q978" s="15"/>
      <c r="R978" s="1"/>
      <c r="S978" s="1"/>
    </row>
    <row r="979">
      <c r="A979" s="1"/>
      <c r="B979" s="3">
        <f t="shared" si="2"/>
        <v>975</v>
      </c>
      <c r="C979" s="31" t="s">
        <v>2105</v>
      </c>
      <c r="D979" s="37" t="s">
        <v>116</v>
      </c>
      <c r="E979" s="37" t="s">
        <v>2106</v>
      </c>
      <c r="F979" s="43" t="s">
        <v>2107</v>
      </c>
      <c r="G979" s="37"/>
      <c r="H979" s="46">
        <v>46155.0</v>
      </c>
      <c r="I979" s="37" t="s">
        <v>1289</v>
      </c>
      <c r="J979" s="3"/>
      <c r="K979" s="3"/>
      <c r="L979" s="37" t="s">
        <v>58</v>
      </c>
      <c r="M979" s="37"/>
      <c r="N979" s="17"/>
      <c r="O979" s="1"/>
      <c r="P979" s="67" t="s">
        <v>2103</v>
      </c>
      <c r="Q979" s="15"/>
      <c r="R979" s="1"/>
      <c r="S979" s="1"/>
    </row>
    <row r="980">
      <c r="A980" s="1"/>
      <c r="B980" s="3">
        <f t="shared" si="2"/>
        <v>976</v>
      </c>
      <c r="C980" s="31" t="s">
        <v>2108</v>
      </c>
      <c r="D980" s="37" t="s">
        <v>116</v>
      </c>
      <c r="E980" s="37" t="s">
        <v>1880</v>
      </c>
      <c r="F980" s="1"/>
      <c r="G980" s="37"/>
      <c r="H980" s="46">
        <v>46155.0</v>
      </c>
      <c r="I980" s="37" t="s">
        <v>1289</v>
      </c>
      <c r="J980" s="3"/>
      <c r="K980" s="3"/>
      <c r="L980" s="37" t="s">
        <v>58</v>
      </c>
      <c r="M980" s="37"/>
      <c r="N980" s="17"/>
      <c r="O980" s="1"/>
      <c r="P980" s="67" t="s">
        <v>2103</v>
      </c>
      <c r="Q980" s="15"/>
      <c r="R980" s="1"/>
      <c r="S980" s="1"/>
    </row>
    <row r="981">
      <c r="A981" s="1"/>
      <c r="B981" s="17">
        <v>977.0</v>
      </c>
      <c r="C981" s="31" t="s">
        <v>2109</v>
      </c>
      <c r="D981" s="37" t="s">
        <v>44</v>
      </c>
      <c r="E981" s="37" t="s">
        <v>2106</v>
      </c>
      <c r="F981" s="1"/>
      <c r="G981" s="37"/>
      <c r="H981" s="46">
        <v>46155.0</v>
      </c>
      <c r="I981" s="37" t="s">
        <v>1289</v>
      </c>
      <c r="J981" s="3"/>
      <c r="K981" s="3"/>
      <c r="L981" s="37" t="s">
        <v>189</v>
      </c>
      <c r="M981" s="37"/>
      <c r="N981" s="17"/>
      <c r="O981" s="1"/>
      <c r="P981" s="15"/>
      <c r="Q981" s="15"/>
      <c r="R981" s="1"/>
      <c r="S981" s="1"/>
    </row>
    <row r="982">
      <c r="A982" s="1"/>
      <c r="B982" s="3">
        <f t="shared" ref="B982:B1626" si="3">IF(C982&gt;"",B981+1,"")</f>
        <v>978</v>
      </c>
      <c r="C982" s="31" t="s">
        <v>2110</v>
      </c>
      <c r="D982" s="37" t="s">
        <v>83</v>
      </c>
      <c r="E982" s="37" t="s">
        <v>1576</v>
      </c>
      <c r="F982" s="1"/>
      <c r="G982" s="37"/>
      <c r="H982" s="46">
        <v>46155.0</v>
      </c>
      <c r="I982" s="37" t="s">
        <v>1289</v>
      </c>
      <c r="J982" s="3"/>
      <c r="K982" s="3"/>
      <c r="L982" s="37" t="s">
        <v>189</v>
      </c>
      <c r="M982" s="37"/>
      <c r="N982" s="17"/>
      <c r="O982" s="1"/>
      <c r="P982" s="15"/>
      <c r="Q982" s="15"/>
      <c r="R982" s="1"/>
      <c r="S982" s="1"/>
    </row>
    <row r="983">
      <c r="A983" s="1"/>
      <c r="B983" s="3">
        <f t="shared" si="3"/>
        <v>979</v>
      </c>
      <c r="C983" s="31" t="s">
        <v>2111</v>
      </c>
      <c r="D983" s="37" t="s">
        <v>96</v>
      </c>
      <c r="E983" s="37" t="s">
        <v>2112</v>
      </c>
      <c r="F983" s="1"/>
      <c r="G983" s="37"/>
      <c r="H983" s="46">
        <v>46155.0</v>
      </c>
      <c r="I983" s="37" t="s">
        <v>1289</v>
      </c>
      <c r="J983" s="3"/>
      <c r="K983" s="3"/>
      <c r="L983" s="37" t="s">
        <v>189</v>
      </c>
      <c r="M983" s="37"/>
      <c r="N983" s="17"/>
      <c r="O983" s="1"/>
      <c r="P983" s="15"/>
      <c r="Q983" s="15"/>
      <c r="R983" s="1"/>
      <c r="S983" s="1"/>
    </row>
    <row r="984">
      <c r="A984" s="1"/>
      <c r="B984" s="3">
        <f t="shared" si="3"/>
        <v>980</v>
      </c>
      <c r="C984" s="31" t="s">
        <v>2113</v>
      </c>
      <c r="D984" s="37" t="s">
        <v>44</v>
      </c>
      <c r="E984" s="37" t="s">
        <v>2114</v>
      </c>
      <c r="F984" s="1"/>
      <c r="G984" s="37"/>
      <c r="H984" s="46">
        <v>46155.0</v>
      </c>
      <c r="I984" s="37" t="s">
        <v>1289</v>
      </c>
      <c r="J984" s="3"/>
      <c r="K984" s="3"/>
      <c r="L984" s="37" t="s">
        <v>189</v>
      </c>
      <c r="M984" s="37"/>
      <c r="N984" s="17"/>
      <c r="O984" s="1"/>
      <c r="P984" s="15"/>
      <c r="Q984" s="15"/>
      <c r="R984" s="1"/>
      <c r="S984" s="1"/>
    </row>
    <row r="985">
      <c r="A985" s="1"/>
      <c r="B985" s="3">
        <f t="shared" si="3"/>
        <v>981</v>
      </c>
      <c r="C985" s="31" t="s">
        <v>2115</v>
      </c>
      <c r="D985" s="37" t="s">
        <v>44</v>
      </c>
      <c r="E985" s="37" t="s">
        <v>1438</v>
      </c>
      <c r="F985" s="1"/>
      <c r="G985" s="37"/>
      <c r="H985" s="46">
        <v>46155.0</v>
      </c>
      <c r="I985" s="37" t="s">
        <v>1289</v>
      </c>
      <c r="J985" s="3"/>
      <c r="K985" s="3"/>
      <c r="L985" s="37" t="s">
        <v>189</v>
      </c>
      <c r="M985" s="37"/>
      <c r="N985" s="17"/>
      <c r="O985" s="1"/>
      <c r="P985" s="15"/>
      <c r="Q985" s="15"/>
      <c r="R985" s="1"/>
      <c r="S985" s="1"/>
    </row>
    <row r="986">
      <c r="A986" s="1"/>
      <c r="B986" s="3">
        <f t="shared" si="3"/>
        <v>982</v>
      </c>
      <c r="C986" s="31" t="s">
        <v>2116</v>
      </c>
      <c r="D986" s="37" t="s">
        <v>112</v>
      </c>
      <c r="E986" s="37" t="s">
        <v>2117</v>
      </c>
      <c r="F986" s="37"/>
      <c r="G986" s="37"/>
      <c r="H986" s="46">
        <v>46155.0</v>
      </c>
      <c r="I986" s="37" t="s">
        <v>1289</v>
      </c>
      <c r="J986" s="3"/>
      <c r="K986" s="3"/>
      <c r="L986" s="37" t="s">
        <v>189</v>
      </c>
      <c r="M986" s="37"/>
      <c r="N986" s="17"/>
      <c r="O986" s="1"/>
      <c r="P986" s="15"/>
      <c r="Q986" s="15"/>
      <c r="R986" s="1"/>
      <c r="S986" s="1"/>
    </row>
    <row r="987">
      <c r="A987" s="1"/>
      <c r="B987" s="3">
        <f t="shared" si="3"/>
        <v>983</v>
      </c>
      <c r="C987" s="31" t="s">
        <v>2118</v>
      </c>
      <c r="D987" s="37" t="s">
        <v>44</v>
      </c>
      <c r="E987" s="37" t="s">
        <v>2117</v>
      </c>
      <c r="F987" s="1"/>
      <c r="G987" s="37"/>
      <c r="H987" s="46">
        <v>46155.0</v>
      </c>
      <c r="I987" s="37" t="s">
        <v>1289</v>
      </c>
      <c r="J987" s="3"/>
      <c r="K987" s="3"/>
      <c r="L987" s="37" t="s">
        <v>189</v>
      </c>
      <c r="M987" s="37"/>
      <c r="N987" s="17"/>
      <c r="O987" s="1"/>
      <c r="P987" s="15"/>
      <c r="Q987" s="15"/>
      <c r="R987" s="1"/>
      <c r="S987" s="1"/>
    </row>
    <row r="988">
      <c r="A988" s="1"/>
      <c r="B988" s="3">
        <f t="shared" si="3"/>
        <v>984</v>
      </c>
      <c r="C988" s="31" t="s">
        <v>2119</v>
      </c>
      <c r="D988" s="37" t="s">
        <v>83</v>
      </c>
      <c r="E988" s="37" t="s">
        <v>1285</v>
      </c>
      <c r="F988" s="43" t="s">
        <v>2120</v>
      </c>
      <c r="G988" s="37"/>
      <c r="H988" s="46">
        <v>46155.0</v>
      </c>
      <c r="I988" s="37" t="s">
        <v>1289</v>
      </c>
      <c r="J988" s="3"/>
      <c r="K988" s="3"/>
      <c r="L988" s="37" t="s">
        <v>58</v>
      </c>
      <c r="M988" s="37"/>
      <c r="N988" s="17"/>
      <c r="O988" s="1"/>
      <c r="P988" s="15"/>
      <c r="Q988" s="15"/>
      <c r="R988" s="1"/>
      <c r="S988" s="1"/>
    </row>
    <row r="989">
      <c r="A989" s="1"/>
      <c r="B989" s="3">
        <f t="shared" si="3"/>
        <v>985</v>
      </c>
      <c r="C989" s="31" t="s">
        <v>2121</v>
      </c>
      <c r="D989" s="37" t="s">
        <v>49</v>
      </c>
      <c r="E989" s="37" t="s">
        <v>1438</v>
      </c>
      <c r="F989" s="43" t="s">
        <v>2122</v>
      </c>
      <c r="G989" s="37"/>
      <c r="H989" s="46">
        <v>46155.0</v>
      </c>
      <c r="I989" s="37" t="s">
        <v>1289</v>
      </c>
      <c r="J989" s="3"/>
      <c r="K989" s="3"/>
      <c r="L989" s="37" t="s">
        <v>58</v>
      </c>
      <c r="M989" s="37" t="s">
        <v>54</v>
      </c>
      <c r="N989" s="17" t="s">
        <v>39</v>
      </c>
      <c r="O989" s="1"/>
      <c r="P989" s="15"/>
      <c r="Q989" s="15"/>
      <c r="R989" s="1"/>
      <c r="S989" s="1"/>
    </row>
    <row r="990">
      <c r="A990" s="1"/>
      <c r="B990" s="3">
        <f t="shared" si="3"/>
        <v>986</v>
      </c>
      <c r="C990" s="31" t="s">
        <v>2123</v>
      </c>
      <c r="D990" s="37" t="s">
        <v>112</v>
      </c>
      <c r="E990" s="141">
        <v>46227.0</v>
      </c>
      <c r="F990" s="43" t="s">
        <v>2124</v>
      </c>
      <c r="G990" s="37"/>
      <c r="H990" s="46">
        <v>46155.0</v>
      </c>
      <c r="I990" s="37" t="s">
        <v>1289</v>
      </c>
      <c r="J990" s="17">
        <v>300.0</v>
      </c>
      <c r="K990" s="17">
        <v>420.0</v>
      </c>
      <c r="L990" s="37" t="s">
        <v>58</v>
      </c>
      <c r="M990" s="37"/>
      <c r="N990" s="17"/>
      <c r="O990" s="1"/>
      <c r="P990" s="15"/>
      <c r="Q990" s="15"/>
      <c r="R990" s="1"/>
      <c r="S990" s="1"/>
    </row>
    <row r="991">
      <c r="A991" s="1"/>
      <c r="B991" s="3">
        <f t="shared" si="3"/>
        <v>987</v>
      </c>
      <c r="C991" s="31" t="s">
        <v>2125</v>
      </c>
      <c r="D991" s="37" t="s">
        <v>44</v>
      </c>
      <c r="E991" s="37" t="s">
        <v>1656</v>
      </c>
      <c r="F991" s="43" t="s">
        <v>2126</v>
      </c>
      <c r="G991" s="37"/>
      <c r="H991" s="46">
        <v>46155.0</v>
      </c>
      <c r="I991" s="37" t="s">
        <v>1289</v>
      </c>
      <c r="J991" s="3"/>
      <c r="K991" s="17">
        <v>200.0</v>
      </c>
      <c r="L991" s="37" t="s">
        <v>58</v>
      </c>
      <c r="M991" s="37"/>
      <c r="N991" s="17"/>
      <c r="O991" s="1"/>
      <c r="P991" s="15"/>
      <c r="Q991" s="15"/>
      <c r="R991" s="1"/>
      <c r="S991" s="1"/>
    </row>
    <row r="992">
      <c r="A992" s="1"/>
      <c r="B992" s="3">
        <f t="shared" si="3"/>
        <v>988</v>
      </c>
      <c r="C992" s="31" t="s">
        <v>2127</v>
      </c>
      <c r="D992" s="37" t="s">
        <v>44</v>
      </c>
      <c r="E992" s="37" t="s">
        <v>2128</v>
      </c>
      <c r="F992" s="43" t="s">
        <v>2129</v>
      </c>
      <c r="G992" s="37"/>
      <c r="H992" s="46">
        <v>46155.0</v>
      </c>
      <c r="I992" s="37" t="s">
        <v>1289</v>
      </c>
      <c r="J992" s="17">
        <v>370.0</v>
      </c>
      <c r="K992" s="17">
        <v>380.0</v>
      </c>
      <c r="L992" s="37" t="s">
        <v>58</v>
      </c>
      <c r="M992" s="37"/>
      <c r="N992" s="17"/>
      <c r="O992" s="1"/>
      <c r="P992" s="15"/>
      <c r="Q992" s="15"/>
      <c r="R992" s="1"/>
      <c r="S992" s="1"/>
    </row>
    <row r="993">
      <c r="A993" s="1"/>
      <c r="B993" s="3">
        <f t="shared" si="3"/>
        <v>989</v>
      </c>
      <c r="C993" s="31" t="s">
        <v>2130</v>
      </c>
      <c r="D993" s="37" t="s">
        <v>38</v>
      </c>
      <c r="E993" s="37" t="s">
        <v>1595</v>
      </c>
      <c r="F993" s="43" t="s">
        <v>2131</v>
      </c>
      <c r="G993" s="37"/>
      <c r="H993" s="46">
        <v>46155.0</v>
      </c>
      <c r="I993" s="37" t="s">
        <v>1289</v>
      </c>
      <c r="J993" s="3"/>
      <c r="K993" s="17" t="s">
        <v>1306</v>
      </c>
      <c r="L993" s="37" t="s">
        <v>58</v>
      </c>
      <c r="M993" s="37"/>
      <c r="N993" s="17"/>
      <c r="O993" s="1"/>
      <c r="P993" s="15"/>
      <c r="Q993" s="15"/>
      <c r="R993" s="1"/>
      <c r="S993" s="1"/>
    </row>
    <row r="994">
      <c r="A994" s="1"/>
      <c r="B994" s="3">
        <f t="shared" si="3"/>
        <v>990</v>
      </c>
      <c r="C994" s="31" t="s">
        <v>2132</v>
      </c>
      <c r="D994" s="37" t="s">
        <v>83</v>
      </c>
      <c r="E994" s="37" t="s">
        <v>2133</v>
      </c>
      <c r="F994" s="43" t="s">
        <v>2134</v>
      </c>
      <c r="G994" s="37"/>
      <c r="H994" s="46">
        <v>46155.0</v>
      </c>
      <c r="I994" s="37" t="s">
        <v>1289</v>
      </c>
      <c r="J994" s="17">
        <v>330.0</v>
      </c>
      <c r="K994" s="17">
        <v>350.0</v>
      </c>
      <c r="L994" s="37" t="s">
        <v>58</v>
      </c>
      <c r="M994" s="37"/>
      <c r="N994" s="17"/>
      <c r="O994" s="1"/>
      <c r="P994" s="15"/>
      <c r="Q994" s="15"/>
      <c r="R994" s="1"/>
      <c r="S994" s="1"/>
    </row>
    <row r="995">
      <c r="A995" s="1"/>
      <c r="B995" s="3">
        <f t="shared" si="3"/>
        <v>991</v>
      </c>
      <c r="C995" s="31" t="s">
        <v>2135</v>
      </c>
      <c r="D995" s="37" t="s">
        <v>83</v>
      </c>
      <c r="E995" s="37" t="s">
        <v>1459</v>
      </c>
      <c r="F995" s="43" t="s">
        <v>2136</v>
      </c>
      <c r="G995" s="37"/>
      <c r="H995" s="46">
        <v>46155.0</v>
      </c>
      <c r="I995" s="37" t="s">
        <v>1289</v>
      </c>
      <c r="J995" s="3"/>
      <c r="K995" s="3"/>
      <c r="L995" s="37" t="s">
        <v>58</v>
      </c>
      <c r="M995" s="37"/>
      <c r="N995" s="17"/>
      <c r="O995" s="1"/>
      <c r="P995" s="15"/>
      <c r="Q995" s="15"/>
      <c r="R995" s="1"/>
      <c r="S995" s="1"/>
    </row>
    <row r="996">
      <c r="A996" s="1"/>
      <c r="B996" s="3">
        <f t="shared" si="3"/>
        <v>992</v>
      </c>
      <c r="C996" s="31" t="s">
        <v>2137</v>
      </c>
      <c r="D996" s="37" t="s">
        <v>83</v>
      </c>
      <c r="E996" s="37" t="s">
        <v>1589</v>
      </c>
      <c r="F996" s="43" t="s">
        <v>2138</v>
      </c>
      <c r="G996" s="37"/>
      <c r="H996" s="46">
        <v>46155.0</v>
      </c>
      <c r="I996" s="37" t="s">
        <v>1289</v>
      </c>
      <c r="J996" s="17">
        <v>150.0</v>
      </c>
      <c r="K996" s="17">
        <v>250.0</v>
      </c>
      <c r="L996" s="37" t="s">
        <v>58</v>
      </c>
      <c r="M996" s="37"/>
      <c r="N996" s="17"/>
      <c r="O996" s="1"/>
      <c r="P996" s="15"/>
      <c r="Q996" s="15"/>
      <c r="R996" s="1"/>
      <c r="S996" s="1"/>
    </row>
    <row r="997">
      <c r="A997" s="1"/>
      <c r="B997" s="3">
        <f t="shared" si="3"/>
        <v>993</v>
      </c>
      <c r="C997" s="31" t="s">
        <v>2139</v>
      </c>
      <c r="D997" s="37" t="s">
        <v>38</v>
      </c>
      <c r="E997" s="37" t="s">
        <v>1993</v>
      </c>
      <c r="F997" s="43" t="s">
        <v>2140</v>
      </c>
      <c r="G997" s="37"/>
      <c r="H997" s="46">
        <v>46155.0</v>
      </c>
      <c r="I997" s="37" t="s">
        <v>1289</v>
      </c>
      <c r="J997" s="17">
        <v>160.0</v>
      </c>
      <c r="K997" s="17">
        <v>200.0</v>
      </c>
      <c r="L997" s="37" t="s">
        <v>58</v>
      </c>
      <c r="M997" s="37"/>
      <c r="N997" s="17"/>
      <c r="O997" s="1"/>
      <c r="P997" s="15"/>
      <c r="Q997" s="15"/>
      <c r="R997" s="1"/>
      <c r="S997" s="1"/>
    </row>
    <row r="998">
      <c r="A998" s="1"/>
      <c r="B998" s="3">
        <f t="shared" si="3"/>
        <v>994</v>
      </c>
      <c r="C998" s="31" t="s">
        <v>2141</v>
      </c>
      <c r="D998" s="37" t="s">
        <v>49</v>
      </c>
      <c r="E998" s="37" t="s">
        <v>2142</v>
      </c>
      <c r="F998" s="43" t="s">
        <v>2143</v>
      </c>
      <c r="G998" s="37"/>
      <c r="H998" s="46">
        <v>46155.0</v>
      </c>
      <c r="I998" s="37" t="s">
        <v>1289</v>
      </c>
      <c r="J998" s="17">
        <v>480.0</v>
      </c>
      <c r="K998" s="17">
        <v>400.0</v>
      </c>
      <c r="L998" s="37" t="s">
        <v>58</v>
      </c>
      <c r="M998" s="37"/>
      <c r="N998" s="17"/>
      <c r="O998" s="1"/>
      <c r="P998" s="15"/>
      <c r="Q998" s="15"/>
      <c r="R998" s="1"/>
      <c r="S998" s="1"/>
    </row>
    <row r="999">
      <c r="A999" s="1"/>
      <c r="B999" s="3">
        <f t="shared" si="3"/>
        <v>995</v>
      </c>
      <c r="C999" s="31" t="s">
        <v>2144</v>
      </c>
      <c r="D999" s="37" t="s">
        <v>56</v>
      </c>
      <c r="E999" s="37" t="s">
        <v>1248</v>
      </c>
      <c r="F999" s="1"/>
      <c r="G999" s="37"/>
      <c r="H999" s="46">
        <v>46155.0</v>
      </c>
      <c r="I999" s="37" t="s">
        <v>1289</v>
      </c>
      <c r="J999" s="17">
        <v>320.0</v>
      </c>
      <c r="K999" s="17">
        <v>240.0</v>
      </c>
      <c r="L999" s="37" t="s">
        <v>58</v>
      </c>
      <c r="M999" s="37" t="s">
        <v>45</v>
      </c>
      <c r="N999" s="17" t="s">
        <v>39</v>
      </c>
      <c r="O999" s="1"/>
      <c r="P999" s="15"/>
      <c r="Q999" s="15"/>
      <c r="R999" s="1"/>
      <c r="S999" s="1"/>
    </row>
    <row r="1000">
      <c r="A1000" s="1"/>
      <c r="B1000" s="3">
        <f t="shared" si="3"/>
        <v>996</v>
      </c>
      <c r="C1000" s="31" t="s">
        <v>2145</v>
      </c>
      <c r="D1000" s="37" t="s">
        <v>159</v>
      </c>
      <c r="E1000" s="37" t="s">
        <v>2146</v>
      </c>
      <c r="F1000" s="43" t="s">
        <v>2147</v>
      </c>
      <c r="G1000" s="37"/>
      <c r="H1000" s="46">
        <v>46155.0</v>
      </c>
      <c r="I1000" s="37" t="s">
        <v>1289</v>
      </c>
      <c r="J1000" s="17">
        <v>800.0</v>
      </c>
      <c r="K1000" s="17">
        <v>850.0</v>
      </c>
      <c r="L1000" s="37" t="s">
        <v>58</v>
      </c>
      <c r="M1000" s="37"/>
      <c r="N1000" s="17"/>
      <c r="O1000" s="1"/>
      <c r="P1000" s="15"/>
      <c r="Q1000" s="15"/>
      <c r="R1000" s="1"/>
      <c r="S1000" s="1"/>
    </row>
    <row r="1001">
      <c r="A1001" s="1"/>
      <c r="B1001" s="3">
        <f t="shared" si="3"/>
        <v>997</v>
      </c>
      <c r="C1001" s="31" t="s">
        <v>2148</v>
      </c>
      <c r="D1001" s="37" t="s">
        <v>44</v>
      </c>
      <c r="E1001" s="37" t="s">
        <v>2149</v>
      </c>
      <c r="F1001" s="1"/>
      <c r="G1001" s="37"/>
      <c r="H1001" s="46">
        <v>46155.0</v>
      </c>
      <c r="I1001" s="37" t="s">
        <v>1289</v>
      </c>
      <c r="J1001" s="17">
        <v>320.0</v>
      </c>
      <c r="K1001" s="17">
        <v>300.0</v>
      </c>
      <c r="L1001" s="37" t="s">
        <v>58</v>
      </c>
      <c r="M1001" s="37"/>
      <c r="N1001" s="17"/>
      <c r="O1001" s="1"/>
      <c r="P1001" s="15"/>
      <c r="Q1001" s="15"/>
      <c r="R1001" s="1"/>
      <c r="S1001" s="1"/>
    </row>
    <row r="1002">
      <c r="A1002" s="1"/>
      <c r="B1002" s="3">
        <f t="shared" si="3"/>
        <v>998</v>
      </c>
      <c r="C1002" s="31" t="s">
        <v>2150</v>
      </c>
      <c r="D1002" s="37" t="s">
        <v>44</v>
      </c>
      <c r="E1002" s="37" t="s">
        <v>1891</v>
      </c>
      <c r="F1002" s="43" t="s">
        <v>2151</v>
      </c>
      <c r="G1002" s="37"/>
      <c r="H1002" s="46">
        <v>46155.0</v>
      </c>
      <c r="I1002" s="37" t="s">
        <v>1289</v>
      </c>
      <c r="J1002" s="17">
        <v>650.0</v>
      </c>
      <c r="K1002" s="17">
        <v>350.0</v>
      </c>
      <c r="L1002" s="37" t="s">
        <v>58</v>
      </c>
      <c r="M1002" s="37"/>
      <c r="N1002" s="17"/>
      <c r="O1002" s="1"/>
      <c r="P1002" s="15"/>
      <c r="Q1002" s="15"/>
      <c r="R1002" s="1"/>
      <c r="S1002" s="1"/>
    </row>
    <row r="1003">
      <c r="A1003" s="1"/>
      <c r="B1003" s="3">
        <f t="shared" si="3"/>
        <v>999</v>
      </c>
      <c r="C1003" s="31" t="s">
        <v>2152</v>
      </c>
      <c r="D1003" s="37" t="s">
        <v>159</v>
      </c>
      <c r="E1003" s="37" t="s">
        <v>2153</v>
      </c>
      <c r="F1003" s="43" t="s">
        <v>2154</v>
      </c>
      <c r="G1003" s="37"/>
      <c r="H1003" s="46">
        <v>46155.0</v>
      </c>
      <c r="I1003" s="37" t="s">
        <v>1289</v>
      </c>
      <c r="J1003" s="17">
        <v>700.0</v>
      </c>
      <c r="K1003" s="17">
        <v>500.0</v>
      </c>
      <c r="L1003" s="37" t="s">
        <v>58</v>
      </c>
      <c r="M1003" s="37"/>
      <c r="N1003" s="17"/>
      <c r="O1003" s="1"/>
      <c r="P1003" s="15"/>
      <c r="Q1003" s="15"/>
      <c r="R1003" s="1"/>
      <c r="S1003" s="1"/>
    </row>
    <row r="1004">
      <c r="A1004" s="1"/>
      <c r="B1004" s="3">
        <f t="shared" si="3"/>
        <v>1000</v>
      </c>
      <c r="C1004" s="31" t="s">
        <v>2155</v>
      </c>
      <c r="D1004" s="37" t="s">
        <v>112</v>
      </c>
      <c r="E1004" s="37" t="s">
        <v>2156</v>
      </c>
      <c r="F1004" s="43" t="s">
        <v>2157</v>
      </c>
      <c r="G1004" s="37"/>
      <c r="H1004" s="46">
        <v>46155.0</v>
      </c>
      <c r="I1004" s="37" t="s">
        <v>1289</v>
      </c>
      <c r="J1004" s="17">
        <v>380.0</v>
      </c>
      <c r="K1004" s="17">
        <v>350.0</v>
      </c>
      <c r="L1004" s="37" t="s">
        <v>58</v>
      </c>
      <c r="M1004" s="37"/>
      <c r="N1004" s="17"/>
      <c r="O1004" s="1"/>
      <c r="P1004" s="15"/>
      <c r="Q1004" s="15"/>
      <c r="R1004" s="1"/>
      <c r="S1004" s="1"/>
    </row>
    <row r="1005">
      <c r="A1005" s="1"/>
      <c r="B1005" s="3">
        <f t="shared" si="3"/>
        <v>1001</v>
      </c>
      <c r="C1005" s="31" t="s">
        <v>2158</v>
      </c>
      <c r="D1005" s="37" t="s">
        <v>49</v>
      </c>
      <c r="E1005" s="37" t="s">
        <v>2159</v>
      </c>
      <c r="F1005" s="43" t="s">
        <v>2160</v>
      </c>
      <c r="G1005" s="37"/>
      <c r="H1005" s="46">
        <v>46155.0</v>
      </c>
      <c r="I1005" s="37" t="s">
        <v>1289</v>
      </c>
      <c r="J1005" s="17"/>
      <c r="K1005" s="17" t="s">
        <v>1256</v>
      </c>
      <c r="L1005" s="37" t="s">
        <v>58</v>
      </c>
      <c r="M1005" s="37"/>
      <c r="N1005" s="17"/>
      <c r="O1005" s="1"/>
      <c r="P1005" s="15"/>
      <c r="Q1005" s="15"/>
      <c r="R1005" s="1"/>
      <c r="S1005" s="1"/>
    </row>
    <row r="1006">
      <c r="A1006" s="1"/>
      <c r="B1006" s="3">
        <f t="shared" si="3"/>
        <v>1002</v>
      </c>
      <c r="C1006" s="31" t="s">
        <v>2161</v>
      </c>
      <c r="D1006" s="37" t="s">
        <v>49</v>
      </c>
      <c r="E1006" s="37" t="s">
        <v>1438</v>
      </c>
      <c r="F1006" s="43" t="s">
        <v>2162</v>
      </c>
      <c r="G1006" s="37"/>
      <c r="H1006" s="46">
        <v>46155.0</v>
      </c>
      <c r="I1006" s="37" t="s">
        <v>1289</v>
      </c>
      <c r="J1006" s="17">
        <v>200.0</v>
      </c>
      <c r="K1006" s="17">
        <v>300.0</v>
      </c>
      <c r="L1006" s="37" t="s">
        <v>58</v>
      </c>
      <c r="M1006" s="37"/>
      <c r="N1006" s="17"/>
      <c r="O1006" s="1"/>
      <c r="P1006" s="15"/>
      <c r="Q1006" s="15"/>
      <c r="R1006" s="1"/>
      <c r="S1006" s="1"/>
    </row>
    <row r="1007">
      <c r="A1007" s="1"/>
      <c r="B1007" s="3">
        <f t="shared" si="3"/>
        <v>1003</v>
      </c>
      <c r="C1007" s="31" t="s">
        <v>2163</v>
      </c>
      <c r="D1007" s="37" t="s">
        <v>104</v>
      </c>
      <c r="E1007" s="37" t="s">
        <v>2164</v>
      </c>
      <c r="F1007" s="43" t="s">
        <v>2165</v>
      </c>
      <c r="G1007" s="37"/>
      <c r="H1007" s="46">
        <v>46155.0</v>
      </c>
      <c r="I1007" s="37" t="s">
        <v>1289</v>
      </c>
      <c r="J1007" s="17"/>
      <c r="K1007" s="17">
        <v>700.0</v>
      </c>
      <c r="L1007" s="37" t="s">
        <v>58</v>
      </c>
      <c r="M1007" s="37"/>
      <c r="N1007" s="17"/>
      <c r="O1007" s="1"/>
      <c r="P1007" s="15"/>
      <c r="Q1007" s="15"/>
      <c r="R1007" s="1"/>
      <c r="S1007" s="1"/>
    </row>
    <row r="1008">
      <c r="A1008" s="1"/>
      <c r="B1008" s="3">
        <f t="shared" si="3"/>
        <v>1004</v>
      </c>
      <c r="C1008" s="31" t="s">
        <v>2166</v>
      </c>
      <c r="D1008" s="37" t="s">
        <v>49</v>
      </c>
      <c r="E1008" s="37" t="s">
        <v>1535</v>
      </c>
      <c r="F1008" s="43" t="s">
        <v>2167</v>
      </c>
      <c r="G1008" s="37"/>
      <c r="H1008" s="46">
        <v>46155.0</v>
      </c>
      <c r="I1008" s="37" t="s">
        <v>1289</v>
      </c>
      <c r="J1008" s="17"/>
      <c r="K1008" s="17" t="s">
        <v>1256</v>
      </c>
      <c r="L1008" s="37" t="s">
        <v>58</v>
      </c>
      <c r="M1008" s="37"/>
      <c r="N1008" s="17"/>
      <c r="O1008" s="1"/>
      <c r="P1008" s="15"/>
      <c r="Q1008" s="15"/>
      <c r="R1008" s="1"/>
      <c r="S1008" s="1"/>
    </row>
    <row r="1009">
      <c r="A1009" s="1"/>
      <c r="B1009" s="3">
        <f t="shared" si="3"/>
        <v>1005</v>
      </c>
      <c r="C1009" s="31" t="s">
        <v>2168</v>
      </c>
      <c r="D1009" s="37" t="s">
        <v>49</v>
      </c>
      <c r="E1009" s="37" t="s">
        <v>2169</v>
      </c>
      <c r="F1009" s="43" t="s">
        <v>2170</v>
      </c>
      <c r="G1009" s="37"/>
      <c r="H1009" s="46">
        <v>46155.0</v>
      </c>
      <c r="I1009" s="37" t="s">
        <v>1289</v>
      </c>
      <c r="J1009" s="17">
        <v>440.0</v>
      </c>
      <c r="K1009" s="17" t="s">
        <v>1256</v>
      </c>
      <c r="L1009" s="37" t="s">
        <v>58</v>
      </c>
      <c r="M1009" s="37"/>
      <c r="N1009" s="17"/>
      <c r="O1009" s="1"/>
      <c r="P1009" s="15"/>
      <c r="Q1009" s="15"/>
      <c r="R1009" s="1"/>
      <c r="S1009" s="1"/>
    </row>
    <row r="1010">
      <c r="A1010" s="1"/>
      <c r="B1010" s="3">
        <f t="shared" si="3"/>
        <v>1006</v>
      </c>
      <c r="C1010" s="31" t="s">
        <v>2171</v>
      </c>
      <c r="D1010" s="37" t="s">
        <v>83</v>
      </c>
      <c r="E1010" s="37" t="s">
        <v>1398</v>
      </c>
      <c r="F1010" s="43" t="s">
        <v>2172</v>
      </c>
      <c r="G1010" s="37"/>
      <c r="H1010" s="46">
        <v>46155.0</v>
      </c>
      <c r="I1010" s="37" t="s">
        <v>1289</v>
      </c>
      <c r="J1010" s="17"/>
      <c r="K1010" s="17">
        <v>480.0</v>
      </c>
      <c r="L1010" s="37" t="s">
        <v>58</v>
      </c>
      <c r="M1010" s="37"/>
      <c r="N1010" s="17"/>
      <c r="O1010" s="1"/>
      <c r="P1010" s="15"/>
      <c r="Q1010" s="15"/>
      <c r="R1010" s="1"/>
      <c r="S1010" s="1"/>
    </row>
    <row r="1011">
      <c r="A1011" s="1"/>
      <c r="B1011" s="3">
        <f t="shared" si="3"/>
        <v>1007</v>
      </c>
      <c r="C1011" s="31" t="s">
        <v>2173</v>
      </c>
      <c r="D1011" s="37" t="s">
        <v>38</v>
      </c>
      <c r="E1011" s="37"/>
      <c r="F1011" s="43" t="s">
        <v>2173</v>
      </c>
      <c r="G1011" s="37"/>
      <c r="H1011" s="46">
        <v>46169.0</v>
      </c>
      <c r="I1011" s="37" t="s">
        <v>1289</v>
      </c>
      <c r="J1011" s="17"/>
      <c r="K1011" s="17"/>
      <c r="L1011" s="37" t="s">
        <v>58</v>
      </c>
      <c r="M1011" s="37" t="s">
        <v>57</v>
      </c>
      <c r="N1011" s="17" t="s">
        <v>28</v>
      </c>
      <c r="O1011" s="1"/>
      <c r="P1011" s="15"/>
      <c r="Q1011" s="15"/>
      <c r="R1011" s="1"/>
      <c r="S1011" s="1"/>
    </row>
    <row r="1012">
      <c r="A1012" s="1"/>
      <c r="B1012" s="3">
        <f t="shared" si="3"/>
        <v>1008</v>
      </c>
      <c r="C1012" s="31" t="s">
        <v>2174</v>
      </c>
      <c r="D1012" s="37" t="s">
        <v>83</v>
      </c>
      <c r="E1012" s="37" t="s">
        <v>2175</v>
      </c>
      <c r="F1012" s="43" t="s">
        <v>2174</v>
      </c>
      <c r="G1012" s="37"/>
      <c r="H1012" s="46">
        <v>46169.0</v>
      </c>
      <c r="I1012" s="37" t="s">
        <v>1289</v>
      </c>
      <c r="J1012" s="17"/>
      <c r="K1012" s="17"/>
      <c r="L1012" s="37" t="s">
        <v>58</v>
      </c>
      <c r="M1012" s="37" t="s">
        <v>78</v>
      </c>
      <c r="N1012" s="17" t="s">
        <v>28</v>
      </c>
      <c r="O1012" s="1"/>
      <c r="P1012" s="15"/>
      <c r="Q1012" s="15"/>
      <c r="R1012" s="1"/>
      <c r="S1012" s="1"/>
    </row>
    <row r="1013">
      <c r="A1013" s="1"/>
      <c r="B1013" s="3">
        <f t="shared" si="3"/>
        <v>1009</v>
      </c>
      <c r="C1013" s="31" t="s">
        <v>2176</v>
      </c>
      <c r="D1013" s="37" t="s">
        <v>96</v>
      </c>
      <c r="E1013" s="37" t="s">
        <v>1285</v>
      </c>
      <c r="F1013" s="43" t="s">
        <v>2176</v>
      </c>
      <c r="G1013" s="37"/>
      <c r="H1013" s="46">
        <v>46169.0</v>
      </c>
      <c r="I1013" s="37" t="s">
        <v>1289</v>
      </c>
      <c r="J1013" s="17"/>
      <c r="K1013" s="17"/>
      <c r="L1013" s="37" t="s">
        <v>58</v>
      </c>
      <c r="M1013" s="37" t="s">
        <v>63</v>
      </c>
      <c r="N1013" s="17" t="s">
        <v>28</v>
      </c>
      <c r="O1013" s="1"/>
      <c r="P1013" s="15"/>
      <c r="Q1013" s="15"/>
      <c r="R1013" s="1"/>
      <c r="S1013" s="1"/>
    </row>
    <row r="1014">
      <c r="A1014" s="1"/>
      <c r="B1014" s="3">
        <f t="shared" si="3"/>
        <v>1010</v>
      </c>
      <c r="C1014" s="31" t="s">
        <v>2177</v>
      </c>
      <c r="D1014" s="37" t="s">
        <v>56</v>
      </c>
      <c r="E1014" s="37" t="s">
        <v>1945</v>
      </c>
      <c r="F1014" s="43" t="s">
        <v>2178</v>
      </c>
      <c r="G1014" s="37"/>
      <c r="H1014" s="46">
        <v>46169.0</v>
      </c>
      <c r="I1014" s="37" t="s">
        <v>1289</v>
      </c>
      <c r="J1014" s="17"/>
      <c r="K1014" s="17"/>
      <c r="L1014" s="37" t="s">
        <v>58</v>
      </c>
      <c r="M1014" s="37" t="s">
        <v>78</v>
      </c>
      <c r="N1014" s="17"/>
      <c r="O1014" s="1"/>
      <c r="P1014" s="15"/>
      <c r="Q1014" s="15"/>
      <c r="R1014" s="1"/>
      <c r="S1014" s="1"/>
    </row>
    <row r="1015">
      <c r="A1015" s="1"/>
      <c r="B1015" s="3">
        <f t="shared" si="3"/>
        <v>1011</v>
      </c>
      <c r="C1015" s="31" t="s">
        <v>2179</v>
      </c>
      <c r="D1015" s="37" t="s">
        <v>56</v>
      </c>
      <c r="E1015" s="37" t="s">
        <v>1589</v>
      </c>
      <c r="F1015" s="43" t="s">
        <v>2179</v>
      </c>
      <c r="G1015" s="37"/>
      <c r="H1015" s="46">
        <v>46169.0</v>
      </c>
      <c r="I1015" s="37" t="s">
        <v>1289</v>
      </c>
      <c r="J1015" s="17"/>
      <c r="K1015" s="17"/>
      <c r="L1015" s="37" t="s">
        <v>58</v>
      </c>
      <c r="M1015" s="37" t="s">
        <v>60</v>
      </c>
      <c r="N1015" s="17"/>
      <c r="O1015" s="1"/>
      <c r="P1015" s="15"/>
      <c r="Q1015" s="15"/>
      <c r="R1015" s="1"/>
      <c r="S1015" s="1"/>
    </row>
    <row r="1016">
      <c r="A1016" s="1"/>
      <c r="B1016" s="3">
        <f t="shared" si="3"/>
        <v>1012</v>
      </c>
      <c r="C1016" s="31" t="s">
        <v>2180</v>
      </c>
      <c r="D1016" s="37" t="s">
        <v>96</v>
      </c>
      <c r="E1016" s="37" t="s">
        <v>2181</v>
      </c>
      <c r="F1016" s="43" t="s">
        <v>2182</v>
      </c>
      <c r="G1016" s="37"/>
      <c r="H1016" s="46">
        <v>46169.0</v>
      </c>
      <c r="I1016" s="37" t="s">
        <v>1289</v>
      </c>
      <c r="J1016" s="17"/>
      <c r="K1016" s="17"/>
      <c r="L1016" s="37" t="s">
        <v>58</v>
      </c>
      <c r="M1016" s="37" t="s">
        <v>65</v>
      </c>
      <c r="N1016" s="17" t="s">
        <v>28</v>
      </c>
      <c r="O1016" s="1"/>
      <c r="P1016" s="15"/>
      <c r="Q1016" s="15"/>
      <c r="R1016" s="1"/>
      <c r="S1016" s="1"/>
    </row>
    <row r="1017">
      <c r="A1017" s="1"/>
      <c r="B1017" s="3">
        <f t="shared" si="3"/>
        <v>1013</v>
      </c>
      <c r="C1017" s="31" t="s">
        <v>2183</v>
      </c>
      <c r="D1017" s="37" t="s">
        <v>96</v>
      </c>
      <c r="E1017" s="37" t="s">
        <v>2184</v>
      </c>
      <c r="F1017" s="43" t="s">
        <v>2185</v>
      </c>
      <c r="G1017" s="37"/>
      <c r="H1017" s="46">
        <v>46169.0</v>
      </c>
      <c r="I1017" s="37" t="s">
        <v>1289</v>
      </c>
      <c r="J1017" s="17"/>
      <c r="K1017" s="17"/>
      <c r="L1017" s="37" t="s">
        <v>58</v>
      </c>
      <c r="M1017" s="37" t="s">
        <v>57</v>
      </c>
      <c r="N1017" s="17" t="s">
        <v>28</v>
      </c>
      <c r="O1017" s="1"/>
      <c r="P1017" s="15"/>
      <c r="Q1017" s="15"/>
      <c r="R1017" s="1"/>
      <c r="S1017" s="1"/>
    </row>
    <row r="1018">
      <c r="A1018" s="1"/>
      <c r="B1018" s="3">
        <f t="shared" si="3"/>
        <v>1014</v>
      </c>
      <c r="C1018" s="31" t="s">
        <v>2186</v>
      </c>
      <c r="D1018" s="37" t="s">
        <v>96</v>
      </c>
      <c r="E1018" s="37" t="s">
        <v>2187</v>
      </c>
      <c r="F1018" s="43" t="s">
        <v>2188</v>
      </c>
      <c r="G1018" s="37"/>
      <c r="H1018" s="46">
        <v>46169.0</v>
      </c>
      <c r="I1018" s="37" t="s">
        <v>1289</v>
      </c>
      <c r="J1018" s="17"/>
      <c r="K1018" s="17"/>
      <c r="L1018" s="37" t="s">
        <v>58</v>
      </c>
      <c r="M1018" s="37" t="s">
        <v>45</v>
      </c>
      <c r="N1018" s="17"/>
      <c r="O1018" s="1"/>
      <c r="P1018" s="15"/>
      <c r="Q1018" s="15"/>
      <c r="R1018" s="1"/>
      <c r="S1018" s="1"/>
    </row>
    <row r="1019">
      <c r="A1019" s="1"/>
      <c r="B1019" s="3">
        <f t="shared" si="3"/>
        <v>1015</v>
      </c>
      <c r="C1019" s="31" t="s">
        <v>2189</v>
      </c>
      <c r="D1019" s="37" t="s">
        <v>121</v>
      </c>
      <c r="E1019" s="37" t="s">
        <v>2190</v>
      </c>
      <c r="F1019" s="43" t="s">
        <v>2191</v>
      </c>
      <c r="G1019" s="37"/>
      <c r="H1019" s="46">
        <v>46162.0</v>
      </c>
      <c r="I1019" s="37" t="s">
        <v>77</v>
      </c>
      <c r="J1019" s="17"/>
      <c r="K1019" s="17" t="s">
        <v>1256</v>
      </c>
      <c r="L1019" s="37" t="s">
        <v>58</v>
      </c>
      <c r="M1019" s="37"/>
      <c r="N1019" s="17"/>
      <c r="O1019" s="1"/>
      <c r="P1019" s="15"/>
      <c r="Q1019" s="15"/>
      <c r="R1019" s="1"/>
      <c r="S1019" s="1"/>
    </row>
    <row r="1020">
      <c r="A1020" s="1"/>
      <c r="B1020" s="3">
        <f t="shared" si="3"/>
        <v>1016</v>
      </c>
      <c r="C1020" s="31" t="s">
        <v>2192</v>
      </c>
      <c r="D1020" s="37" t="s">
        <v>121</v>
      </c>
      <c r="E1020" s="37" t="s">
        <v>1357</v>
      </c>
      <c r="F1020" s="43" t="s">
        <v>2193</v>
      </c>
      <c r="G1020" s="37"/>
      <c r="H1020" s="46">
        <v>46162.0</v>
      </c>
      <c r="I1020" s="37" t="s">
        <v>77</v>
      </c>
      <c r="J1020" s="17"/>
      <c r="K1020" s="17"/>
      <c r="L1020" s="37" t="s">
        <v>58</v>
      </c>
      <c r="M1020" s="37"/>
      <c r="N1020" s="17"/>
      <c r="O1020" s="1"/>
      <c r="P1020" s="15"/>
      <c r="Q1020" s="15"/>
      <c r="R1020" s="1"/>
      <c r="S1020" s="1"/>
    </row>
    <row r="1021">
      <c r="A1021" s="1"/>
      <c r="B1021" s="3">
        <f t="shared" si="3"/>
        <v>1017</v>
      </c>
      <c r="C1021" s="31" t="s">
        <v>1319</v>
      </c>
      <c r="D1021" s="37" t="s">
        <v>112</v>
      </c>
      <c r="E1021" s="37" t="s">
        <v>1320</v>
      </c>
      <c r="F1021" s="43" t="s">
        <v>1319</v>
      </c>
      <c r="G1021" s="37"/>
      <c r="H1021" s="46">
        <v>46162.0</v>
      </c>
      <c r="I1021" s="37" t="s">
        <v>1289</v>
      </c>
      <c r="J1021" s="17">
        <v>150.0</v>
      </c>
      <c r="K1021" s="17" t="s">
        <v>2194</v>
      </c>
      <c r="L1021" s="37" t="s">
        <v>58</v>
      </c>
      <c r="M1021" s="37"/>
      <c r="N1021" s="17"/>
      <c r="O1021" s="1"/>
      <c r="P1021" s="15"/>
      <c r="Q1021" s="15"/>
      <c r="R1021" s="1"/>
      <c r="S1021" s="1"/>
    </row>
    <row r="1022">
      <c r="A1022" s="1"/>
      <c r="B1022" s="3">
        <f t="shared" si="3"/>
        <v>1018</v>
      </c>
      <c r="C1022" s="31" t="s">
        <v>2195</v>
      </c>
      <c r="D1022" s="37" t="s">
        <v>112</v>
      </c>
      <c r="E1022" s="37" t="s">
        <v>2196</v>
      </c>
      <c r="F1022" s="43" t="s">
        <v>2195</v>
      </c>
      <c r="G1022" s="37"/>
      <c r="H1022" s="46">
        <v>46162.0</v>
      </c>
      <c r="I1022" s="37" t="s">
        <v>1289</v>
      </c>
      <c r="J1022" s="17">
        <v>640.0</v>
      </c>
      <c r="K1022" s="17">
        <v>200.0</v>
      </c>
      <c r="L1022" s="37" t="s">
        <v>58</v>
      </c>
      <c r="M1022" s="37"/>
      <c r="N1022" s="17"/>
      <c r="O1022" s="1"/>
      <c r="P1022" s="15"/>
      <c r="Q1022" s="15"/>
      <c r="R1022" s="1"/>
      <c r="S1022" s="1"/>
    </row>
    <row r="1023">
      <c r="A1023" s="1"/>
      <c r="B1023" s="3">
        <f t="shared" si="3"/>
        <v>1019</v>
      </c>
      <c r="C1023" s="31" t="s">
        <v>2197</v>
      </c>
      <c r="D1023" s="37" t="s">
        <v>112</v>
      </c>
      <c r="E1023" s="37" t="s">
        <v>2198</v>
      </c>
      <c r="F1023" s="43" t="s">
        <v>2197</v>
      </c>
      <c r="G1023" s="37"/>
      <c r="H1023" s="46">
        <v>46162.0</v>
      </c>
      <c r="I1023" s="37" t="s">
        <v>1289</v>
      </c>
      <c r="J1023" s="17">
        <v>150.0</v>
      </c>
      <c r="K1023" s="17">
        <v>200.0</v>
      </c>
      <c r="L1023" s="37" t="s">
        <v>58</v>
      </c>
      <c r="M1023" s="37"/>
      <c r="N1023" s="17"/>
      <c r="O1023" s="1"/>
      <c r="P1023" s="15"/>
      <c r="Q1023" s="15"/>
      <c r="R1023" s="1"/>
      <c r="S1023" s="1"/>
    </row>
    <row r="1024">
      <c r="A1024" s="1"/>
      <c r="B1024" s="3">
        <f t="shared" si="3"/>
        <v>1020</v>
      </c>
      <c r="C1024" s="31" t="s">
        <v>2199</v>
      </c>
      <c r="D1024" s="37" t="s">
        <v>112</v>
      </c>
      <c r="E1024" s="37" t="s">
        <v>1656</v>
      </c>
      <c r="F1024" s="43" t="s">
        <v>2200</v>
      </c>
      <c r="G1024" s="37"/>
      <c r="H1024" s="46">
        <v>46162.0</v>
      </c>
      <c r="I1024" s="37" t="s">
        <v>1289</v>
      </c>
      <c r="J1024" s="17">
        <v>400.0</v>
      </c>
      <c r="K1024" s="17">
        <v>300.0</v>
      </c>
      <c r="L1024" s="37" t="s">
        <v>58</v>
      </c>
      <c r="M1024" s="37"/>
      <c r="N1024" s="17"/>
      <c r="O1024" s="1"/>
      <c r="P1024" s="15"/>
      <c r="Q1024" s="15"/>
      <c r="R1024" s="1"/>
      <c r="S1024" s="1"/>
    </row>
    <row r="1025">
      <c r="A1025" s="1"/>
      <c r="B1025" s="3">
        <f t="shared" si="3"/>
        <v>1021</v>
      </c>
      <c r="C1025" s="31" t="s">
        <v>2201</v>
      </c>
      <c r="D1025" s="37" t="s">
        <v>112</v>
      </c>
      <c r="E1025" s="37" t="s">
        <v>1488</v>
      </c>
      <c r="F1025" s="43" t="s">
        <v>2201</v>
      </c>
      <c r="G1025" s="37"/>
      <c r="H1025" s="46">
        <v>46162.0</v>
      </c>
      <c r="I1025" s="37" t="s">
        <v>77</v>
      </c>
      <c r="J1025" s="17"/>
      <c r="K1025" s="17"/>
      <c r="L1025" s="37" t="s">
        <v>58</v>
      </c>
      <c r="M1025" s="37"/>
      <c r="N1025" s="17"/>
      <c r="O1025" s="1"/>
      <c r="P1025" s="15"/>
      <c r="Q1025" s="15"/>
      <c r="R1025" s="1"/>
      <c r="S1025" s="1"/>
    </row>
    <row r="1026">
      <c r="A1026" s="1"/>
      <c r="B1026" s="3">
        <f t="shared" si="3"/>
        <v>1022</v>
      </c>
      <c r="C1026" s="31" t="s">
        <v>2202</v>
      </c>
      <c r="D1026" s="37" t="s">
        <v>116</v>
      </c>
      <c r="E1026" s="37" t="s">
        <v>2112</v>
      </c>
      <c r="F1026" s="43" t="s">
        <v>2202</v>
      </c>
      <c r="G1026" s="37"/>
      <c r="H1026" s="46">
        <v>46162.0</v>
      </c>
      <c r="I1026" s="37" t="s">
        <v>77</v>
      </c>
      <c r="J1026" s="17"/>
      <c r="K1026" s="17" t="s">
        <v>2203</v>
      </c>
      <c r="L1026" s="37" t="s">
        <v>58</v>
      </c>
      <c r="M1026" s="37"/>
      <c r="N1026" s="17"/>
      <c r="O1026" s="37" t="s">
        <v>2204</v>
      </c>
      <c r="P1026" s="15"/>
      <c r="Q1026" s="15"/>
      <c r="R1026" s="1"/>
      <c r="S1026" s="1"/>
    </row>
    <row r="1027">
      <c r="A1027" s="1"/>
      <c r="B1027" s="3">
        <f t="shared" si="3"/>
        <v>1023</v>
      </c>
      <c r="C1027" s="31" t="s">
        <v>2205</v>
      </c>
      <c r="D1027" s="37" t="s">
        <v>116</v>
      </c>
      <c r="E1027" s="37" t="s">
        <v>1428</v>
      </c>
      <c r="F1027" s="43" t="s">
        <v>2205</v>
      </c>
      <c r="G1027" s="37"/>
      <c r="H1027" s="46">
        <v>46162.0</v>
      </c>
      <c r="I1027" s="37" t="s">
        <v>77</v>
      </c>
      <c r="J1027" s="17"/>
      <c r="K1027" s="17">
        <v>250.0</v>
      </c>
      <c r="L1027" s="37" t="s">
        <v>58</v>
      </c>
      <c r="M1027" s="37"/>
      <c r="N1027" s="17"/>
      <c r="O1027" s="37" t="s">
        <v>2204</v>
      </c>
      <c r="P1027" s="15"/>
      <c r="Q1027" s="15"/>
      <c r="R1027" s="1"/>
      <c r="S1027" s="1"/>
    </row>
    <row r="1028">
      <c r="A1028" s="1"/>
      <c r="B1028" s="3">
        <f t="shared" si="3"/>
        <v>1024</v>
      </c>
      <c r="C1028" s="31" t="s">
        <v>2206</v>
      </c>
      <c r="D1028" s="37" t="s">
        <v>116</v>
      </c>
      <c r="E1028" s="37" t="s">
        <v>1285</v>
      </c>
      <c r="F1028" s="43" t="s">
        <v>2206</v>
      </c>
      <c r="G1028" s="37"/>
      <c r="H1028" s="46">
        <v>46162.0</v>
      </c>
      <c r="I1028" s="37" t="s">
        <v>1289</v>
      </c>
      <c r="J1028" s="17"/>
      <c r="K1028" s="17"/>
      <c r="L1028" s="37" t="s">
        <v>58</v>
      </c>
      <c r="M1028" s="37"/>
      <c r="N1028" s="17"/>
      <c r="O1028" s="37" t="s">
        <v>2204</v>
      </c>
      <c r="P1028" s="15"/>
      <c r="Q1028" s="15"/>
      <c r="R1028" s="1"/>
      <c r="S1028" s="1"/>
    </row>
    <row r="1029">
      <c r="A1029" s="1"/>
      <c r="B1029" s="3">
        <f t="shared" si="3"/>
        <v>1025</v>
      </c>
      <c r="C1029" s="31" t="s">
        <v>2207</v>
      </c>
      <c r="D1029" s="37" t="s">
        <v>116</v>
      </c>
      <c r="E1029" s="37" t="s">
        <v>1535</v>
      </c>
      <c r="F1029" s="43" t="s">
        <v>2208</v>
      </c>
      <c r="G1029" s="37"/>
      <c r="H1029" s="46">
        <v>46162.0</v>
      </c>
      <c r="I1029" s="37" t="s">
        <v>77</v>
      </c>
      <c r="J1029" s="17"/>
      <c r="K1029" s="17"/>
      <c r="L1029" s="37" t="s">
        <v>58</v>
      </c>
      <c r="M1029" s="37"/>
      <c r="N1029" s="17"/>
      <c r="O1029" s="37" t="s">
        <v>2204</v>
      </c>
      <c r="P1029" s="15"/>
      <c r="Q1029" s="15"/>
      <c r="R1029" s="1"/>
      <c r="S1029" s="1"/>
    </row>
    <row r="1030">
      <c r="A1030" s="1"/>
      <c r="B1030" s="3">
        <f t="shared" si="3"/>
        <v>1026</v>
      </c>
      <c r="C1030" s="31" t="s">
        <v>2209</v>
      </c>
      <c r="D1030" s="37" t="s">
        <v>116</v>
      </c>
      <c r="E1030" s="37" t="s">
        <v>2112</v>
      </c>
      <c r="F1030" s="43" t="s">
        <v>2210</v>
      </c>
      <c r="G1030" s="37"/>
      <c r="H1030" s="46">
        <v>46162.0</v>
      </c>
      <c r="I1030" s="37" t="s">
        <v>1289</v>
      </c>
      <c r="J1030" s="17">
        <v>250.0</v>
      </c>
      <c r="K1030" s="17">
        <v>300.0</v>
      </c>
      <c r="L1030" s="37" t="s">
        <v>58</v>
      </c>
      <c r="M1030" s="37"/>
      <c r="N1030" s="17"/>
      <c r="O1030" s="37" t="s">
        <v>2204</v>
      </c>
      <c r="P1030" s="15"/>
      <c r="Q1030" s="15"/>
      <c r="R1030" s="1"/>
      <c r="S1030" s="1"/>
    </row>
    <row r="1031">
      <c r="A1031" s="1"/>
      <c r="B1031" s="3">
        <f t="shared" si="3"/>
        <v>1027</v>
      </c>
      <c r="C1031" s="31" t="s">
        <v>2211</v>
      </c>
      <c r="D1031" s="37" t="s">
        <v>116</v>
      </c>
      <c r="E1031" s="37" t="s">
        <v>1535</v>
      </c>
      <c r="F1031" s="43" t="s">
        <v>2212</v>
      </c>
      <c r="G1031" s="37"/>
      <c r="H1031" s="46">
        <v>46162.0</v>
      </c>
      <c r="I1031" s="37" t="s">
        <v>1289</v>
      </c>
      <c r="J1031" s="17"/>
      <c r="K1031" s="17"/>
      <c r="L1031" s="37" t="s">
        <v>58</v>
      </c>
      <c r="M1031" s="37"/>
      <c r="N1031" s="17"/>
      <c r="O1031" s="37" t="s">
        <v>2204</v>
      </c>
      <c r="P1031" s="15"/>
      <c r="Q1031" s="15"/>
      <c r="R1031" s="1"/>
      <c r="S1031" s="1"/>
    </row>
    <row r="1032">
      <c r="A1032" s="1"/>
      <c r="B1032" s="3">
        <f t="shared" si="3"/>
        <v>1028</v>
      </c>
      <c r="C1032" s="31" t="s">
        <v>2213</v>
      </c>
      <c r="D1032" s="37" t="s">
        <v>116</v>
      </c>
      <c r="E1032" s="37" t="s">
        <v>2214</v>
      </c>
      <c r="F1032" s="43" t="s">
        <v>2215</v>
      </c>
      <c r="G1032" s="37"/>
      <c r="H1032" s="46">
        <v>46162.0</v>
      </c>
      <c r="I1032" s="37" t="s">
        <v>77</v>
      </c>
      <c r="J1032" s="17"/>
      <c r="K1032" s="17"/>
      <c r="L1032" s="37" t="s">
        <v>58</v>
      </c>
      <c r="M1032" s="37"/>
      <c r="N1032" s="17"/>
      <c r="O1032" s="37" t="s">
        <v>2204</v>
      </c>
      <c r="P1032" s="15"/>
      <c r="Q1032" s="15"/>
      <c r="R1032" s="1"/>
      <c r="S1032" s="1"/>
    </row>
    <row r="1033">
      <c r="A1033" s="1"/>
      <c r="B1033" s="3">
        <f t="shared" si="3"/>
        <v>1029</v>
      </c>
      <c r="C1033" s="31" t="s">
        <v>2216</v>
      </c>
      <c r="D1033" s="37" t="s">
        <v>116</v>
      </c>
      <c r="E1033" s="37" t="s">
        <v>1535</v>
      </c>
      <c r="F1033" s="43" t="s">
        <v>2217</v>
      </c>
      <c r="G1033" s="37"/>
      <c r="H1033" s="46">
        <v>46162.0</v>
      </c>
      <c r="I1033" s="37" t="s">
        <v>77</v>
      </c>
      <c r="J1033" s="17"/>
      <c r="K1033" s="17"/>
      <c r="L1033" s="37" t="s">
        <v>58</v>
      </c>
      <c r="M1033" s="37"/>
      <c r="N1033" s="17"/>
      <c r="O1033" s="37" t="s">
        <v>2204</v>
      </c>
      <c r="P1033" s="15"/>
      <c r="Q1033" s="15"/>
      <c r="R1033" s="1"/>
      <c r="S1033" s="1"/>
    </row>
    <row r="1034">
      <c r="A1034" s="1"/>
      <c r="B1034" s="3">
        <f t="shared" si="3"/>
        <v>1030</v>
      </c>
      <c r="C1034" s="31" t="s">
        <v>2218</v>
      </c>
      <c r="D1034" s="37" t="s">
        <v>116</v>
      </c>
      <c r="E1034" s="37" t="s">
        <v>1589</v>
      </c>
      <c r="F1034" s="43" t="s">
        <v>2218</v>
      </c>
      <c r="G1034" s="37"/>
      <c r="H1034" s="46">
        <v>46162.0</v>
      </c>
      <c r="I1034" s="37" t="s">
        <v>1289</v>
      </c>
      <c r="J1034" s="17"/>
      <c r="K1034" s="17"/>
      <c r="L1034" s="37" t="s">
        <v>58</v>
      </c>
      <c r="M1034" s="37"/>
      <c r="N1034" s="17"/>
      <c r="O1034" s="37" t="s">
        <v>2204</v>
      </c>
      <c r="P1034" s="15"/>
      <c r="Q1034" s="15"/>
      <c r="R1034" s="1"/>
      <c r="S1034" s="1"/>
    </row>
    <row r="1035">
      <c r="A1035" s="1"/>
      <c r="B1035" s="3">
        <f t="shared" si="3"/>
        <v>1031</v>
      </c>
      <c r="C1035" s="31" t="s">
        <v>2219</v>
      </c>
      <c r="D1035" s="37" t="s">
        <v>116</v>
      </c>
      <c r="E1035" s="37" t="s">
        <v>1285</v>
      </c>
      <c r="F1035" s="43" t="s">
        <v>2220</v>
      </c>
      <c r="G1035" s="37"/>
      <c r="H1035" s="46">
        <v>46162.0</v>
      </c>
      <c r="I1035" s="37" t="s">
        <v>1289</v>
      </c>
      <c r="J1035" s="17"/>
      <c r="K1035" s="17"/>
      <c r="L1035" s="37" t="s">
        <v>58</v>
      </c>
      <c r="M1035" s="37"/>
      <c r="N1035" s="17"/>
      <c r="O1035" s="37" t="s">
        <v>2204</v>
      </c>
      <c r="P1035" s="15"/>
      <c r="Q1035" s="15"/>
      <c r="R1035" s="1"/>
      <c r="S1035" s="1"/>
    </row>
    <row r="1036">
      <c r="A1036" s="1"/>
      <c r="B1036" s="3">
        <f t="shared" si="3"/>
        <v>1032</v>
      </c>
      <c r="C1036" s="31" t="s">
        <v>2221</v>
      </c>
      <c r="D1036" s="37" t="s">
        <v>116</v>
      </c>
      <c r="E1036" s="37" t="s">
        <v>1595</v>
      </c>
      <c r="F1036" s="43" t="s">
        <v>2221</v>
      </c>
      <c r="G1036" s="37"/>
      <c r="H1036" s="46">
        <v>46162.0</v>
      </c>
      <c r="I1036" s="37" t="s">
        <v>1289</v>
      </c>
      <c r="J1036" s="17"/>
      <c r="K1036" s="17"/>
      <c r="L1036" s="37" t="s">
        <v>58</v>
      </c>
      <c r="M1036" s="37"/>
      <c r="N1036" s="17"/>
      <c r="O1036" s="37" t="s">
        <v>2204</v>
      </c>
      <c r="P1036" s="15"/>
      <c r="Q1036" s="15"/>
      <c r="R1036" s="1"/>
      <c r="S1036" s="1"/>
    </row>
    <row r="1037">
      <c r="A1037" s="1"/>
      <c r="B1037" s="3">
        <f t="shared" si="3"/>
        <v>1033</v>
      </c>
      <c r="C1037" s="31" t="s">
        <v>2222</v>
      </c>
      <c r="D1037" s="37" t="s">
        <v>49</v>
      </c>
      <c r="E1037" s="37" t="s">
        <v>1656</v>
      </c>
      <c r="F1037" s="43" t="s">
        <v>2223</v>
      </c>
      <c r="G1037" s="37"/>
      <c r="H1037" s="46">
        <v>46162.0</v>
      </c>
      <c r="I1037" s="37" t="s">
        <v>1289</v>
      </c>
      <c r="J1037" s="17"/>
      <c r="K1037" s="17" t="s">
        <v>1256</v>
      </c>
      <c r="L1037" s="37" t="s">
        <v>58</v>
      </c>
      <c r="M1037" s="37"/>
      <c r="N1037" s="17"/>
      <c r="O1037" s="37" t="s">
        <v>2224</v>
      </c>
      <c r="P1037" s="15"/>
      <c r="Q1037" s="15"/>
      <c r="R1037" s="1"/>
      <c r="S1037" s="1"/>
    </row>
    <row r="1038">
      <c r="A1038" s="1"/>
      <c r="B1038" s="3">
        <f t="shared" si="3"/>
        <v>1034</v>
      </c>
      <c r="C1038" s="31" t="s">
        <v>2225</v>
      </c>
      <c r="D1038" s="37" t="s">
        <v>49</v>
      </c>
      <c r="E1038" s="37" t="s">
        <v>2226</v>
      </c>
      <c r="F1038" s="43" t="s">
        <v>2227</v>
      </c>
      <c r="G1038" s="37"/>
      <c r="H1038" s="46">
        <v>46162.0</v>
      </c>
      <c r="I1038" s="37" t="s">
        <v>1289</v>
      </c>
      <c r="J1038" s="17">
        <v>340.0</v>
      </c>
      <c r="K1038" s="17">
        <v>340.0</v>
      </c>
      <c r="L1038" s="37" t="s">
        <v>58</v>
      </c>
      <c r="M1038" s="37"/>
      <c r="N1038" s="17"/>
      <c r="O1038" s="37" t="s">
        <v>2224</v>
      </c>
      <c r="P1038" s="15"/>
      <c r="Q1038" s="15"/>
      <c r="R1038" s="1"/>
      <c r="S1038" s="1"/>
    </row>
    <row r="1039">
      <c r="A1039" s="1"/>
      <c r="B1039" s="3">
        <f t="shared" si="3"/>
        <v>1035</v>
      </c>
      <c r="C1039" s="31" t="s">
        <v>2228</v>
      </c>
      <c r="D1039" s="37" t="s">
        <v>49</v>
      </c>
      <c r="E1039" s="37" t="s">
        <v>2229</v>
      </c>
      <c r="F1039" s="43" t="s">
        <v>2230</v>
      </c>
      <c r="G1039" s="37"/>
      <c r="H1039" s="46">
        <v>46162.0</v>
      </c>
      <c r="I1039" s="37" t="s">
        <v>1289</v>
      </c>
      <c r="J1039" s="17">
        <v>800.0</v>
      </c>
      <c r="K1039" s="17" t="s">
        <v>2231</v>
      </c>
      <c r="L1039" s="37" t="s">
        <v>58</v>
      </c>
      <c r="M1039" s="37"/>
      <c r="N1039" s="17"/>
      <c r="O1039" s="37" t="s">
        <v>2224</v>
      </c>
      <c r="P1039" s="15"/>
      <c r="Q1039" s="15"/>
      <c r="R1039" s="1"/>
      <c r="S1039" s="1"/>
    </row>
    <row r="1040">
      <c r="A1040" s="1"/>
      <c r="B1040" s="3">
        <f t="shared" si="3"/>
        <v>1036</v>
      </c>
      <c r="C1040" s="31" t="s">
        <v>2232</v>
      </c>
      <c r="D1040" s="37" t="s">
        <v>49</v>
      </c>
      <c r="E1040" s="37" t="s">
        <v>2233</v>
      </c>
      <c r="F1040" s="43" t="s">
        <v>2234</v>
      </c>
      <c r="G1040" s="37"/>
      <c r="H1040" s="46">
        <v>46162.0</v>
      </c>
      <c r="I1040" s="37" t="s">
        <v>1289</v>
      </c>
      <c r="J1040" s="17">
        <v>250.0</v>
      </c>
      <c r="K1040" s="17" t="s">
        <v>2231</v>
      </c>
      <c r="L1040" s="37" t="s">
        <v>58</v>
      </c>
      <c r="M1040" s="37"/>
      <c r="N1040" s="17"/>
      <c r="O1040" s="37" t="s">
        <v>2224</v>
      </c>
      <c r="P1040" s="15"/>
      <c r="Q1040" s="15"/>
      <c r="R1040" s="1"/>
      <c r="S1040" s="1"/>
    </row>
    <row r="1041">
      <c r="A1041" s="1"/>
      <c r="B1041" s="3">
        <f t="shared" si="3"/>
        <v>1037</v>
      </c>
      <c r="C1041" s="31" t="s">
        <v>2235</v>
      </c>
      <c r="D1041" s="37" t="s">
        <v>49</v>
      </c>
      <c r="E1041" s="37" t="s">
        <v>2236</v>
      </c>
      <c r="F1041" s="43" t="s">
        <v>2237</v>
      </c>
      <c r="G1041" s="37"/>
      <c r="H1041" s="46">
        <v>46162.0</v>
      </c>
      <c r="I1041" s="37" t="s">
        <v>1289</v>
      </c>
      <c r="J1041" s="17">
        <v>300.0</v>
      </c>
      <c r="K1041" s="17">
        <v>350.0</v>
      </c>
      <c r="L1041" s="37" t="s">
        <v>58</v>
      </c>
      <c r="M1041" s="37"/>
      <c r="N1041" s="17"/>
      <c r="O1041" s="37" t="s">
        <v>2224</v>
      </c>
      <c r="P1041" s="15"/>
      <c r="Q1041" s="15"/>
      <c r="R1041" s="1"/>
      <c r="S1041" s="1"/>
    </row>
    <row r="1042">
      <c r="A1042" s="1"/>
      <c r="B1042" s="3">
        <f t="shared" si="3"/>
        <v>1038</v>
      </c>
      <c r="C1042" s="31" t="s">
        <v>2238</v>
      </c>
      <c r="D1042" s="37" t="s">
        <v>49</v>
      </c>
      <c r="E1042" s="37" t="s">
        <v>1285</v>
      </c>
      <c r="F1042" s="43" t="s">
        <v>2238</v>
      </c>
      <c r="G1042" s="37"/>
      <c r="H1042" s="46">
        <v>46162.0</v>
      </c>
      <c r="I1042" s="37" t="s">
        <v>1289</v>
      </c>
      <c r="J1042" s="17">
        <v>200.0</v>
      </c>
      <c r="K1042" s="17">
        <v>250.0</v>
      </c>
      <c r="L1042" s="37" t="s">
        <v>58</v>
      </c>
      <c r="M1042" s="37"/>
      <c r="N1042" s="17"/>
      <c r="O1042" s="37" t="s">
        <v>2224</v>
      </c>
      <c r="P1042" s="15"/>
      <c r="Q1042" s="15"/>
      <c r="R1042" s="1"/>
      <c r="S1042" s="1"/>
    </row>
    <row r="1043">
      <c r="A1043" s="1"/>
      <c r="B1043" s="3">
        <f t="shared" si="3"/>
        <v>1039</v>
      </c>
      <c r="C1043" s="31" t="s">
        <v>2239</v>
      </c>
      <c r="D1043" s="37" t="s">
        <v>49</v>
      </c>
      <c r="E1043" s="37" t="s">
        <v>1589</v>
      </c>
      <c r="F1043" s="43" t="s">
        <v>2240</v>
      </c>
      <c r="G1043" s="37"/>
      <c r="H1043" s="46">
        <v>46162.0</v>
      </c>
      <c r="I1043" s="37" t="s">
        <v>1289</v>
      </c>
      <c r="J1043" s="17"/>
      <c r="K1043" s="17">
        <v>300.0</v>
      </c>
      <c r="L1043" s="37" t="s">
        <v>58</v>
      </c>
      <c r="M1043" s="37"/>
      <c r="N1043" s="17"/>
      <c r="O1043" s="37" t="s">
        <v>2224</v>
      </c>
      <c r="P1043" s="15"/>
      <c r="Q1043" s="15"/>
      <c r="R1043" s="1"/>
      <c r="S1043" s="1"/>
    </row>
    <row r="1044">
      <c r="A1044" s="1"/>
      <c r="B1044" s="3">
        <f t="shared" si="3"/>
        <v>1040</v>
      </c>
      <c r="C1044" s="31" t="s">
        <v>1305</v>
      </c>
      <c r="D1044" s="37" t="s">
        <v>49</v>
      </c>
      <c r="E1044" s="37" t="s">
        <v>1424</v>
      </c>
      <c r="F1044" s="43" t="s">
        <v>1305</v>
      </c>
      <c r="G1044" s="37"/>
      <c r="H1044" s="46">
        <v>46162.0</v>
      </c>
      <c r="I1044" s="37" t="s">
        <v>1289</v>
      </c>
      <c r="J1044" s="17">
        <v>250.0</v>
      </c>
      <c r="K1044" s="17">
        <v>300.0</v>
      </c>
      <c r="L1044" s="37" t="s">
        <v>58</v>
      </c>
      <c r="M1044" s="37"/>
      <c r="N1044" s="17"/>
      <c r="O1044" s="37" t="s">
        <v>2224</v>
      </c>
      <c r="P1044" s="15"/>
      <c r="Q1044" s="15"/>
      <c r="R1044" s="1"/>
      <c r="S1044" s="1"/>
    </row>
    <row r="1045">
      <c r="A1045" s="1"/>
      <c r="B1045" s="3">
        <f t="shared" si="3"/>
        <v>1041</v>
      </c>
      <c r="C1045" s="31" t="s">
        <v>2241</v>
      </c>
      <c r="D1045" s="37" t="s">
        <v>49</v>
      </c>
      <c r="E1045" s="37" t="s">
        <v>1438</v>
      </c>
      <c r="F1045" s="43" t="s">
        <v>2241</v>
      </c>
      <c r="G1045" s="37"/>
      <c r="H1045" s="46">
        <v>46162.0</v>
      </c>
      <c r="I1045" s="37" t="s">
        <v>77</v>
      </c>
      <c r="J1045" s="17"/>
      <c r="K1045" s="17"/>
      <c r="L1045" s="37" t="s">
        <v>58</v>
      </c>
      <c r="M1045" s="37"/>
      <c r="N1045" s="17"/>
      <c r="O1045" s="37" t="s">
        <v>2224</v>
      </c>
      <c r="P1045" s="15"/>
      <c r="Q1045" s="15"/>
      <c r="R1045" s="1"/>
      <c r="S1045" s="1"/>
    </row>
    <row r="1046">
      <c r="A1046" s="1"/>
      <c r="B1046" s="3">
        <f t="shared" si="3"/>
        <v>1042</v>
      </c>
      <c r="C1046" s="31" t="s">
        <v>2242</v>
      </c>
      <c r="D1046" s="37" t="s">
        <v>49</v>
      </c>
      <c r="E1046" s="37" t="s">
        <v>1300</v>
      </c>
      <c r="F1046" s="43" t="s">
        <v>2243</v>
      </c>
      <c r="G1046" s="37"/>
      <c r="H1046" s="46">
        <v>46162.0</v>
      </c>
      <c r="I1046" s="37" t="s">
        <v>77</v>
      </c>
      <c r="J1046" s="17"/>
      <c r="K1046" s="17"/>
      <c r="L1046" s="37" t="s">
        <v>58</v>
      </c>
      <c r="M1046" s="37"/>
      <c r="N1046" s="17"/>
      <c r="O1046" s="37" t="s">
        <v>2224</v>
      </c>
      <c r="P1046" s="15"/>
      <c r="Q1046" s="15"/>
      <c r="R1046" s="1"/>
      <c r="S1046" s="1"/>
    </row>
    <row r="1047">
      <c r="A1047" s="1"/>
      <c r="B1047" s="3">
        <f t="shared" si="3"/>
        <v>1043</v>
      </c>
      <c r="C1047" s="31" t="s">
        <v>2244</v>
      </c>
      <c r="D1047" s="37" t="s">
        <v>38</v>
      </c>
      <c r="E1047" s="37" t="s">
        <v>2226</v>
      </c>
      <c r="F1047" s="43" t="s">
        <v>2245</v>
      </c>
      <c r="G1047" s="37"/>
      <c r="H1047" s="46">
        <v>46162.0</v>
      </c>
      <c r="I1047" s="37" t="s">
        <v>77</v>
      </c>
      <c r="J1047" s="17">
        <v>320.0</v>
      </c>
      <c r="K1047" s="17" t="s">
        <v>2246</v>
      </c>
      <c r="L1047" s="37" t="s">
        <v>58</v>
      </c>
      <c r="M1047" s="37"/>
      <c r="N1047" s="17"/>
      <c r="O1047" s="1"/>
      <c r="P1047" s="15"/>
      <c r="Q1047" s="15"/>
      <c r="R1047" s="1"/>
      <c r="S1047" s="1"/>
    </row>
    <row r="1048">
      <c r="A1048" s="1"/>
      <c r="B1048" s="3">
        <f t="shared" si="3"/>
        <v>1044</v>
      </c>
      <c r="C1048" s="31" t="s">
        <v>474</v>
      </c>
      <c r="D1048" s="37" t="s">
        <v>38</v>
      </c>
      <c r="E1048" s="37" t="s">
        <v>1656</v>
      </c>
      <c r="F1048" s="43" t="s">
        <v>2247</v>
      </c>
      <c r="G1048" s="37"/>
      <c r="H1048" s="46">
        <v>46162.0</v>
      </c>
      <c r="I1048" s="37" t="s">
        <v>77</v>
      </c>
      <c r="K1048" s="17">
        <v>350.0</v>
      </c>
      <c r="L1048" s="37" t="s">
        <v>58</v>
      </c>
      <c r="M1048" s="37"/>
      <c r="N1048" s="17"/>
      <c r="O1048" s="1"/>
      <c r="P1048" s="15"/>
      <c r="Q1048" s="15"/>
      <c r="R1048" s="1"/>
      <c r="S1048" s="1"/>
    </row>
    <row r="1049">
      <c r="A1049" s="1"/>
      <c r="B1049" s="3">
        <f t="shared" si="3"/>
        <v>1045</v>
      </c>
      <c r="C1049" s="31" t="s">
        <v>2248</v>
      </c>
      <c r="D1049" s="37" t="s">
        <v>38</v>
      </c>
      <c r="E1049" s="37" t="s">
        <v>2249</v>
      </c>
      <c r="F1049" s="43" t="s">
        <v>2250</v>
      </c>
      <c r="G1049" s="37"/>
      <c r="H1049" s="46">
        <v>46162.0</v>
      </c>
      <c r="I1049" s="37" t="s">
        <v>77</v>
      </c>
      <c r="J1049" s="17"/>
      <c r="K1049" s="17"/>
      <c r="L1049" s="37" t="s">
        <v>58</v>
      </c>
      <c r="M1049" s="37"/>
      <c r="N1049" s="17"/>
      <c r="O1049" s="1"/>
      <c r="P1049" s="15"/>
      <c r="Q1049" s="15"/>
      <c r="R1049" s="1"/>
      <c r="S1049" s="1"/>
    </row>
    <row r="1050">
      <c r="A1050" s="1"/>
      <c r="B1050" s="3">
        <f t="shared" si="3"/>
        <v>1046</v>
      </c>
      <c r="C1050" s="31" t="s">
        <v>2251</v>
      </c>
      <c r="D1050" s="37" t="s">
        <v>38</v>
      </c>
      <c r="E1050" s="37" t="s">
        <v>1285</v>
      </c>
      <c r="F1050" s="43" t="s">
        <v>2252</v>
      </c>
      <c r="G1050" s="37"/>
      <c r="H1050" s="46">
        <v>46162.0</v>
      </c>
      <c r="I1050" s="37" t="s">
        <v>77</v>
      </c>
      <c r="J1050" s="17"/>
      <c r="K1050" s="17"/>
      <c r="L1050" s="37" t="s">
        <v>58</v>
      </c>
      <c r="M1050" s="37"/>
      <c r="N1050" s="17"/>
      <c r="O1050" s="1"/>
      <c r="P1050" s="15"/>
      <c r="Q1050" s="15"/>
      <c r="R1050" s="1"/>
      <c r="S1050" s="1"/>
    </row>
    <row r="1051">
      <c r="A1051" s="1"/>
      <c r="B1051" s="3">
        <f t="shared" si="3"/>
        <v>1047</v>
      </c>
      <c r="C1051" s="31" t="s">
        <v>2253</v>
      </c>
      <c r="D1051" s="37" t="s">
        <v>83</v>
      </c>
      <c r="E1051" s="37" t="s">
        <v>1595</v>
      </c>
      <c r="F1051" s="43" t="s">
        <v>2254</v>
      </c>
      <c r="G1051" s="37"/>
      <c r="H1051" s="46">
        <v>46162.0</v>
      </c>
      <c r="I1051" s="37" t="s">
        <v>1289</v>
      </c>
      <c r="J1051" s="17">
        <v>250.0</v>
      </c>
      <c r="K1051" s="17">
        <v>300.0</v>
      </c>
      <c r="L1051" s="37" t="s">
        <v>58</v>
      </c>
      <c r="M1051" s="37"/>
      <c r="N1051" s="17"/>
      <c r="O1051" s="1"/>
      <c r="P1051" s="15"/>
      <c r="Q1051" s="15"/>
      <c r="R1051" s="1"/>
      <c r="S1051" s="1"/>
    </row>
    <row r="1052">
      <c r="A1052" s="1"/>
      <c r="B1052" s="3">
        <f t="shared" si="3"/>
        <v>1048</v>
      </c>
      <c r="C1052" s="31" t="s">
        <v>2255</v>
      </c>
      <c r="D1052" s="37" t="s">
        <v>83</v>
      </c>
      <c r="E1052" s="37" t="s">
        <v>2256</v>
      </c>
      <c r="F1052" s="43" t="s">
        <v>2257</v>
      </c>
      <c r="G1052" s="37"/>
      <c r="H1052" s="46">
        <v>46162.0</v>
      </c>
      <c r="I1052" s="37" t="s">
        <v>1289</v>
      </c>
      <c r="J1052" s="17">
        <v>240.0</v>
      </c>
      <c r="K1052" s="17" t="s">
        <v>1256</v>
      </c>
      <c r="L1052" s="37" t="s">
        <v>58</v>
      </c>
      <c r="M1052" s="37"/>
      <c r="N1052" s="17"/>
      <c r="O1052" s="1"/>
      <c r="P1052" s="15"/>
      <c r="Q1052" s="15"/>
      <c r="R1052" s="1"/>
      <c r="S1052" s="1"/>
    </row>
    <row r="1053">
      <c r="A1053" s="1"/>
      <c r="B1053" s="3">
        <f t="shared" si="3"/>
        <v>1049</v>
      </c>
      <c r="C1053" s="31" t="s">
        <v>2258</v>
      </c>
      <c r="D1053" s="37" t="s">
        <v>83</v>
      </c>
      <c r="E1053" s="37" t="s">
        <v>1285</v>
      </c>
      <c r="F1053" s="43" t="s">
        <v>2258</v>
      </c>
      <c r="G1053" s="37"/>
      <c r="H1053" s="46">
        <v>46162.0</v>
      </c>
      <c r="I1053" s="37" t="s">
        <v>1289</v>
      </c>
      <c r="J1053" s="17">
        <v>260.0</v>
      </c>
      <c r="K1053" s="17" t="s">
        <v>1256</v>
      </c>
      <c r="L1053" s="37" t="s">
        <v>58</v>
      </c>
      <c r="M1053" s="37"/>
      <c r="N1053" s="17"/>
      <c r="O1053" s="1"/>
      <c r="P1053" s="15"/>
      <c r="Q1053" s="15"/>
      <c r="R1053" s="1"/>
      <c r="S1053" s="1"/>
    </row>
    <row r="1054">
      <c r="A1054" s="1"/>
      <c r="B1054" s="3">
        <f t="shared" si="3"/>
        <v>1050</v>
      </c>
      <c r="C1054" s="31" t="s">
        <v>2259</v>
      </c>
      <c r="D1054" s="37" t="s">
        <v>83</v>
      </c>
      <c r="E1054" s="37" t="s">
        <v>1285</v>
      </c>
      <c r="F1054" s="43" t="s">
        <v>2260</v>
      </c>
      <c r="G1054" s="37"/>
      <c r="H1054" s="46">
        <v>46162.0</v>
      </c>
      <c r="I1054" s="37" t="s">
        <v>1289</v>
      </c>
      <c r="J1054" s="17">
        <v>120.0</v>
      </c>
      <c r="K1054" s="17">
        <v>200.0</v>
      </c>
      <c r="L1054" s="37" t="s">
        <v>58</v>
      </c>
      <c r="M1054" s="37"/>
      <c r="N1054" s="17"/>
      <c r="O1054" s="1"/>
      <c r="P1054" s="15"/>
      <c r="Q1054" s="15"/>
      <c r="R1054" s="1"/>
      <c r="S1054" s="1"/>
    </row>
    <row r="1055">
      <c r="A1055" s="1"/>
      <c r="B1055" s="3">
        <f t="shared" si="3"/>
        <v>1051</v>
      </c>
      <c r="C1055" s="31" t="s">
        <v>2261</v>
      </c>
      <c r="D1055" s="37" t="s">
        <v>83</v>
      </c>
      <c r="E1055" s="37" t="s">
        <v>2262</v>
      </c>
      <c r="F1055" s="43" t="s">
        <v>2263</v>
      </c>
      <c r="G1055" s="37"/>
      <c r="H1055" s="46">
        <v>46162.0</v>
      </c>
      <c r="I1055" s="37" t="s">
        <v>77</v>
      </c>
      <c r="J1055" s="17"/>
      <c r="K1055" s="17"/>
      <c r="L1055" s="37" t="s">
        <v>58</v>
      </c>
      <c r="M1055" s="37"/>
      <c r="N1055" s="17"/>
      <c r="O1055" s="37" t="s">
        <v>2264</v>
      </c>
      <c r="P1055" s="15"/>
      <c r="Q1055" s="15"/>
      <c r="R1055" s="1"/>
      <c r="S1055" s="1"/>
    </row>
    <row r="1056">
      <c r="A1056" s="1"/>
      <c r="B1056" s="3">
        <f t="shared" si="3"/>
        <v>1052</v>
      </c>
      <c r="C1056" s="31" t="s">
        <v>2265</v>
      </c>
      <c r="D1056" s="37" t="s">
        <v>56</v>
      </c>
      <c r="E1056" s="37"/>
      <c r="F1056" s="43" t="s">
        <v>2243</v>
      </c>
      <c r="G1056" s="37"/>
      <c r="H1056" s="46"/>
      <c r="I1056" s="37"/>
      <c r="J1056" s="17"/>
      <c r="K1056" s="17"/>
      <c r="L1056" s="37" t="s">
        <v>189</v>
      </c>
      <c r="M1056" s="37"/>
      <c r="N1056" s="17"/>
      <c r="O1056" s="1"/>
      <c r="P1056" s="15"/>
      <c r="Q1056" s="15"/>
      <c r="R1056" s="1"/>
      <c r="S1056" s="1"/>
    </row>
    <row r="1057">
      <c r="A1057" s="1"/>
      <c r="B1057" s="3">
        <f t="shared" si="3"/>
        <v>1053</v>
      </c>
      <c r="C1057" s="31" t="s">
        <v>2266</v>
      </c>
      <c r="D1057" s="37" t="s">
        <v>1505</v>
      </c>
      <c r="E1057" s="37" t="s">
        <v>2267</v>
      </c>
      <c r="F1057" s="1"/>
      <c r="G1057" s="37"/>
      <c r="H1057" s="46" t="s">
        <v>2268</v>
      </c>
      <c r="I1057" s="37" t="s">
        <v>1289</v>
      </c>
      <c r="J1057" s="17"/>
      <c r="K1057" s="17"/>
      <c r="L1057" s="37" t="s">
        <v>189</v>
      </c>
      <c r="M1057" s="37"/>
      <c r="N1057" s="17"/>
      <c r="O1057" s="1"/>
      <c r="P1057" s="15"/>
      <c r="Q1057" s="15"/>
      <c r="R1057" s="1"/>
      <c r="S1057" s="1"/>
    </row>
    <row r="1058">
      <c r="A1058" s="1"/>
      <c r="B1058" s="3">
        <f t="shared" si="3"/>
        <v>1054</v>
      </c>
      <c r="C1058" s="31" t="s">
        <v>2269</v>
      </c>
      <c r="D1058" s="37" t="s">
        <v>1505</v>
      </c>
      <c r="E1058" s="37" t="s">
        <v>2270</v>
      </c>
      <c r="F1058" s="1"/>
      <c r="G1058" s="37"/>
      <c r="H1058" s="46" t="s">
        <v>2268</v>
      </c>
      <c r="I1058" s="37" t="s">
        <v>1289</v>
      </c>
      <c r="J1058" s="17"/>
      <c r="K1058" s="17"/>
      <c r="L1058" s="37" t="s">
        <v>189</v>
      </c>
      <c r="M1058" s="37"/>
      <c r="N1058" s="17" t="s">
        <v>28</v>
      </c>
      <c r="O1058" s="1"/>
      <c r="P1058" s="15"/>
      <c r="Q1058" s="15"/>
      <c r="R1058" s="1"/>
      <c r="S1058" s="1"/>
    </row>
    <row r="1059">
      <c r="A1059" s="1"/>
      <c r="B1059" s="3">
        <f t="shared" si="3"/>
        <v>1055</v>
      </c>
      <c r="C1059" s="31" t="s">
        <v>2271</v>
      </c>
      <c r="D1059" s="37" t="s">
        <v>1505</v>
      </c>
      <c r="E1059" s="37" t="s">
        <v>2272</v>
      </c>
      <c r="F1059" s="1"/>
      <c r="G1059" s="37"/>
      <c r="H1059" s="46" t="s">
        <v>2268</v>
      </c>
      <c r="I1059" s="37" t="s">
        <v>1289</v>
      </c>
      <c r="J1059" s="17"/>
      <c r="K1059" s="17"/>
      <c r="L1059" s="37" t="s">
        <v>189</v>
      </c>
      <c r="M1059" s="37"/>
      <c r="N1059" s="17" t="s">
        <v>39</v>
      </c>
      <c r="O1059" s="1"/>
      <c r="P1059" s="15"/>
      <c r="Q1059" s="15"/>
      <c r="R1059" s="1"/>
      <c r="S1059" s="1"/>
    </row>
    <row r="1060">
      <c r="A1060" s="1"/>
      <c r="B1060" s="3">
        <f t="shared" si="3"/>
        <v>1056</v>
      </c>
      <c r="C1060" s="31" t="s">
        <v>2273</v>
      </c>
      <c r="D1060" s="37" t="s">
        <v>38</v>
      </c>
      <c r="E1060" s="37" t="s">
        <v>1672</v>
      </c>
      <c r="F1060" s="43" t="s">
        <v>2140</v>
      </c>
      <c r="G1060" s="37"/>
      <c r="H1060" s="46">
        <v>46155.0</v>
      </c>
      <c r="I1060" s="37" t="s">
        <v>1289</v>
      </c>
      <c r="J1060" s="17"/>
      <c r="K1060" s="17">
        <v>200.0</v>
      </c>
      <c r="L1060" s="37" t="s">
        <v>189</v>
      </c>
      <c r="M1060" s="37"/>
      <c r="N1060" s="17"/>
      <c r="O1060" s="1"/>
      <c r="P1060" s="15"/>
      <c r="Q1060" s="15"/>
      <c r="R1060" s="1"/>
      <c r="S1060" s="1"/>
    </row>
    <row r="1061">
      <c r="A1061" s="1"/>
      <c r="B1061" s="3">
        <f t="shared" si="3"/>
        <v>1057</v>
      </c>
      <c r="C1061" s="31" t="s">
        <v>2274</v>
      </c>
      <c r="D1061" s="37" t="s">
        <v>56</v>
      </c>
      <c r="E1061" s="37" t="s">
        <v>1285</v>
      </c>
      <c r="F1061" s="43" t="s">
        <v>2274</v>
      </c>
      <c r="G1061" s="37"/>
      <c r="H1061" s="46">
        <v>46162.0</v>
      </c>
      <c r="I1061" s="37" t="s">
        <v>1289</v>
      </c>
      <c r="J1061" s="17"/>
      <c r="K1061" s="17" t="s">
        <v>2275</v>
      </c>
      <c r="L1061" s="37" t="s">
        <v>58</v>
      </c>
      <c r="M1061" s="37"/>
      <c r="N1061" s="17"/>
      <c r="O1061" s="1"/>
      <c r="P1061" s="15"/>
      <c r="Q1061" s="15"/>
      <c r="R1061" s="1"/>
      <c r="S1061" s="1"/>
    </row>
    <row r="1062">
      <c r="A1062" s="1"/>
      <c r="B1062" s="3">
        <f t="shared" si="3"/>
        <v>1058</v>
      </c>
      <c r="C1062" s="31" t="s">
        <v>2276</v>
      </c>
      <c r="D1062" s="37" t="s">
        <v>56</v>
      </c>
      <c r="E1062" s="37" t="s">
        <v>1285</v>
      </c>
      <c r="F1062" s="43" t="s">
        <v>2277</v>
      </c>
      <c r="G1062" s="37"/>
      <c r="H1062" s="46">
        <v>46162.0</v>
      </c>
      <c r="I1062" s="37" t="s">
        <v>1289</v>
      </c>
      <c r="J1062" s="17"/>
      <c r="K1062" s="17" t="s">
        <v>2278</v>
      </c>
      <c r="L1062" s="37" t="s">
        <v>58</v>
      </c>
      <c r="M1062" s="37"/>
      <c r="N1062" s="17"/>
      <c r="O1062" s="1"/>
      <c r="P1062" s="15"/>
      <c r="Q1062" s="15"/>
      <c r="R1062" s="1"/>
      <c r="S1062" s="1"/>
    </row>
    <row r="1063">
      <c r="A1063" s="1"/>
      <c r="B1063" s="3">
        <f t="shared" si="3"/>
        <v>1059</v>
      </c>
      <c r="C1063" s="31" t="s">
        <v>2279</v>
      </c>
      <c r="D1063" s="37" t="s">
        <v>159</v>
      </c>
      <c r="E1063" s="37" t="s">
        <v>2051</v>
      </c>
      <c r="F1063" s="43" t="s">
        <v>2279</v>
      </c>
      <c r="G1063" s="37"/>
      <c r="H1063" s="46">
        <v>46162.0</v>
      </c>
      <c r="I1063" s="37" t="s">
        <v>1289</v>
      </c>
      <c r="J1063" s="17"/>
      <c r="K1063" s="17">
        <v>400.0</v>
      </c>
      <c r="L1063" s="37" t="s">
        <v>58</v>
      </c>
      <c r="M1063" s="37"/>
      <c r="N1063" s="17"/>
      <c r="O1063" s="1"/>
      <c r="P1063" s="15"/>
      <c r="Q1063" s="15"/>
      <c r="R1063" s="1"/>
      <c r="S1063" s="1"/>
    </row>
    <row r="1064">
      <c r="A1064" s="1"/>
      <c r="B1064" s="3">
        <f t="shared" si="3"/>
        <v>1060</v>
      </c>
      <c r="C1064" s="31" t="s">
        <v>2280</v>
      </c>
      <c r="D1064" s="37" t="s">
        <v>159</v>
      </c>
      <c r="E1064" s="37" t="s">
        <v>2281</v>
      </c>
      <c r="F1064" s="43" t="s">
        <v>2280</v>
      </c>
      <c r="G1064" s="37"/>
      <c r="H1064" s="46">
        <v>46162.0</v>
      </c>
      <c r="I1064" s="37" t="s">
        <v>1289</v>
      </c>
      <c r="J1064" s="17"/>
      <c r="K1064" s="17">
        <v>300.0</v>
      </c>
      <c r="L1064" s="37" t="s">
        <v>58</v>
      </c>
      <c r="M1064" s="37"/>
      <c r="N1064" s="17"/>
      <c r="O1064" s="1"/>
      <c r="P1064" s="15"/>
      <c r="Q1064" s="15"/>
      <c r="R1064" s="1"/>
      <c r="S1064" s="1"/>
    </row>
    <row r="1065">
      <c r="A1065" s="1"/>
      <c r="B1065" s="3">
        <f t="shared" si="3"/>
        <v>1061</v>
      </c>
      <c r="C1065" s="31" t="s">
        <v>2282</v>
      </c>
      <c r="D1065" s="37" t="s">
        <v>159</v>
      </c>
      <c r="E1065" s="37" t="s">
        <v>1455</v>
      </c>
      <c r="F1065" s="43" t="s">
        <v>2282</v>
      </c>
      <c r="G1065" s="37"/>
      <c r="H1065" s="46" t="s">
        <v>2268</v>
      </c>
      <c r="I1065" s="37" t="s">
        <v>1289</v>
      </c>
      <c r="J1065" s="17"/>
      <c r="K1065" s="17">
        <v>450.0</v>
      </c>
      <c r="L1065" s="37" t="s">
        <v>58</v>
      </c>
      <c r="M1065" s="37"/>
      <c r="N1065" s="17"/>
      <c r="O1065" s="1"/>
      <c r="P1065" s="15"/>
      <c r="Q1065" s="15"/>
      <c r="R1065" s="1"/>
      <c r="S1065" s="1"/>
    </row>
    <row r="1066">
      <c r="A1066" s="142"/>
      <c r="B1066" s="3">
        <f t="shared" si="3"/>
        <v>1062</v>
      </c>
      <c r="C1066" s="143" t="s">
        <v>2283</v>
      </c>
      <c r="D1066" s="144" t="s">
        <v>44</v>
      </c>
      <c r="E1066" s="144" t="s">
        <v>2284</v>
      </c>
      <c r="F1066" s="145" t="s">
        <v>2283</v>
      </c>
      <c r="G1066" s="144"/>
      <c r="H1066" s="46" t="s">
        <v>2268</v>
      </c>
      <c r="I1066" s="146" t="s">
        <v>1289</v>
      </c>
      <c r="J1066" s="144"/>
      <c r="K1066" s="146" t="s">
        <v>2285</v>
      </c>
      <c r="L1066" s="144"/>
      <c r="M1066" s="146" t="s">
        <v>60</v>
      </c>
      <c r="N1066" s="146" t="s">
        <v>39</v>
      </c>
      <c r="O1066" s="142"/>
      <c r="P1066" s="147"/>
      <c r="Q1066" s="147"/>
      <c r="R1066" s="142"/>
      <c r="S1066" s="142"/>
    </row>
    <row r="1067">
      <c r="A1067" s="142"/>
      <c r="B1067" s="3">
        <f t="shared" si="3"/>
        <v>1063</v>
      </c>
      <c r="C1067" s="148" t="s">
        <v>2286</v>
      </c>
      <c r="D1067" s="146" t="s">
        <v>44</v>
      </c>
      <c r="E1067" s="146" t="s">
        <v>1285</v>
      </c>
      <c r="F1067" s="145" t="s">
        <v>2287</v>
      </c>
      <c r="G1067" s="144"/>
      <c r="H1067" s="46" t="s">
        <v>2268</v>
      </c>
      <c r="I1067" s="146" t="s">
        <v>1289</v>
      </c>
      <c r="J1067" s="144"/>
      <c r="K1067" s="146" t="s">
        <v>554</v>
      </c>
      <c r="L1067" s="144"/>
      <c r="M1067" s="146" t="s">
        <v>65</v>
      </c>
      <c r="N1067" s="146" t="s">
        <v>39</v>
      </c>
      <c r="O1067" s="142"/>
      <c r="P1067" s="147"/>
      <c r="Q1067" s="147"/>
      <c r="R1067" s="142"/>
      <c r="S1067" s="142"/>
    </row>
    <row r="1068">
      <c r="A1068" s="1"/>
      <c r="B1068" s="3">
        <f t="shared" si="3"/>
        <v>1064</v>
      </c>
      <c r="C1068" s="31" t="s">
        <v>2288</v>
      </c>
      <c r="D1068" s="37" t="s">
        <v>44</v>
      </c>
      <c r="E1068" s="37" t="s">
        <v>1937</v>
      </c>
      <c r="F1068" s="43" t="s">
        <v>2289</v>
      </c>
      <c r="G1068" s="37"/>
      <c r="H1068" s="46">
        <v>46162.0</v>
      </c>
      <c r="I1068" s="37" t="s">
        <v>1289</v>
      </c>
      <c r="J1068" s="17"/>
      <c r="K1068" s="17">
        <v>300.0</v>
      </c>
      <c r="L1068" s="37" t="s">
        <v>58</v>
      </c>
      <c r="M1068" s="37"/>
      <c r="N1068" s="17"/>
      <c r="O1068" s="1"/>
      <c r="P1068" s="15"/>
      <c r="Q1068" s="15"/>
      <c r="R1068" s="1"/>
      <c r="S1068" s="1"/>
    </row>
    <row r="1069">
      <c r="A1069" s="1"/>
      <c r="B1069" s="3">
        <f t="shared" si="3"/>
        <v>1065</v>
      </c>
      <c r="C1069" s="31" t="s">
        <v>2290</v>
      </c>
      <c r="D1069" s="37" t="s">
        <v>44</v>
      </c>
      <c r="E1069" s="37" t="s">
        <v>2284</v>
      </c>
      <c r="F1069" s="1"/>
      <c r="G1069" s="37"/>
      <c r="H1069" s="46">
        <v>46162.0</v>
      </c>
      <c r="I1069" s="37" t="s">
        <v>1289</v>
      </c>
      <c r="J1069" s="17"/>
      <c r="K1069" s="17">
        <v>320.0</v>
      </c>
      <c r="L1069" s="37" t="s">
        <v>58</v>
      </c>
      <c r="M1069" s="37"/>
      <c r="N1069" s="17"/>
      <c r="O1069" s="1"/>
      <c r="P1069" s="15"/>
      <c r="Q1069" s="15"/>
      <c r="R1069" s="1"/>
      <c r="S1069" s="1"/>
    </row>
    <row r="1070">
      <c r="A1070" s="1"/>
      <c r="B1070" s="3">
        <f t="shared" si="3"/>
        <v>1066</v>
      </c>
      <c r="C1070" s="31" t="s">
        <v>2291</v>
      </c>
      <c r="D1070" s="37" t="s">
        <v>44</v>
      </c>
      <c r="E1070" s="37" t="s">
        <v>1589</v>
      </c>
      <c r="F1070" s="43" t="s">
        <v>2291</v>
      </c>
      <c r="G1070" s="37"/>
      <c r="H1070" s="46">
        <v>46162.0</v>
      </c>
      <c r="I1070" s="37" t="s">
        <v>1289</v>
      </c>
      <c r="J1070" s="17"/>
      <c r="K1070" s="17" t="s">
        <v>2292</v>
      </c>
      <c r="L1070" s="37" t="s">
        <v>58</v>
      </c>
      <c r="M1070" s="37"/>
      <c r="N1070" s="17"/>
      <c r="O1070" s="1"/>
      <c r="P1070" s="15"/>
      <c r="Q1070" s="15"/>
      <c r="R1070" s="1"/>
      <c r="S1070" s="1"/>
    </row>
    <row r="1071">
      <c r="A1071" s="1"/>
      <c r="B1071" s="3">
        <f t="shared" si="3"/>
        <v>1067</v>
      </c>
      <c r="C1071" s="31" t="s">
        <v>2293</v>
      </c>
      <c r="D1071" s="37" t="s">
        <v>44</v>
      </c>
      <c r="E1071" s="37" t="s">
        <v>2294</v>
      </c>
      <c r="F1071" s="43" t="s">
        <v>2293</v>
      </c>
      <c r="G1071" s="37"/>
      <c r="H1071" s="46">
        <v>46162.0</v>
      </c>
      <c r="I1071" s="37" t="s">
        <v>1289</v>
      </c>
      <c r="J1071" s="17"/>
      <c r="K1071" s="17">
        <v>200.0</v>
      </c>
      <c r="L1071" s="37" t="s">
        <v>58</v>
      </c>
      <c r="M1071" s="37"/>
      <c r="N1071" s="17"/>
      <c r="O1071" s="1"/>
      <c r="P1071" s="15"/>
      <c r="Q1071" s="15"/>
      <c r="R1071" s="1"/>
      <c r="S1071" s="1"/>
    </row>
    <row r="1072">
      <c r="A1072" s="1"/>
      <c r="B1072" s="3">
        <f t="shared" si="3"/>
        <v>1068</v>
      </c>
      <c r="C1072" s="31" t="s">
        <v>2295</v>
      </c>
      <c r="D1072" s="37" t="s">
        <v>96</v>
      </c>
      <c r="E1072" s="37" t="s">
        <v>2296</v>
      </c>
      <c r="F1072" s="43" t="s">
        <v>2295</v>
      </c>
      <c r="G1072" s="37"/>
      <c r="H1072" s="46">
        <v>46162.0</v>
      </c>
      <c r="I1072" s="37" t="s">
        <v>1289</v>
      </c>
      <c r="J1072" s="17"/>
      <c r="K1072" s="17" t="s">
        <v>2297</v>
      </c>
      <c r="L1072" s="37" t="s">
        <v>58</v>
      </c>
      <c r="M1072" s="37"/>
      <c r="N1072" s="17" t="s">
        <v>28</v>
      </c>
      <c r="O1072" s="1"/>
      <c r="P1072" s="15"/>
      <c r="Q1072" s="15"/>
      <c r="R1072" s="1"/>
      <c r="S1072" s="1"/>
    </row>
    <row r="1073">
      <c r="A1073" s="1"/>
      <c r="B1073" s="3">
        <f t="shared" si="3"/>
        <v>1069</v>
      </c>
      <c r="C1073" s="31" t="s">
        <v>2298</v>
      </c>
      <c r="D1073" s="37" t="s">
        <v>96</v>
      </c>
      <c r="E1073" s="37" t="s">
        <v>2299</v>
      </c>
      <c r="F1073" s="43" t="s">
        <v>2298</v>
      </c>
      <c r="G1073" s="37"/>
      <c r="H1073" s="46">
        <v>46162.0</v>
      </c>
      <c r="I1073" s="37" t="s">
        <v>1289</v>
      </c>
      <c r="J1073" s="17"/>
      <c r="K1073" s="17">
        <v>400.0</v>
      </c>
      <c r="L1073" s="37" t="s">
        <v>58</v>
      </c>
      <c r="M1073" s="37"/>
      <c r="N1073" s="17"/>
      <c r="O1073" s="1"/>
      <c r="P1073" s="15"/>
      <c r="Q1073" s="15"/>
      <c r="R1073" s="1"/>
      <c r="S1073" s="1"/>
    </row>
    <row r="1074">
      <c r="A1074" s="1"/>
      <c r="B1074" s="3">
        <f t="shared" si="3"/>
        <v>1070</v>
      </c>
      <c r="C1074" s="31" t="s">
        <v>2300</v>
      </c>
      <c r="D1074" s="37" t="s">
        <v>96</v>
      </c>
      <c r="E1074" s="37" t="s">
        <v>2301</v>
      </c>
      <c r="F1074" s="43" t="s">
        <v>2300</v>
      </c>
      <c r="G1074" s="37"/>
      <c r="H1074" s="46">
        <v>46162.0</v>
      </c>
      <c r="I1074" s="37" t="s">
        <v>1289</v>
      </c>
      <c r="J1074" s="17"/>
      <c r="K1074" s="17"/>
      <c r="L1074" s="37" t="s">
        <v>58</v>
      </c>
      <c r="M1074" s="37"/>
      <c r="N1074" s="17"/>
      <c r="O1074" s="1"/>
      <c r="P1074" s="15"/>
      <c r="Q1074" s="15"/>
      <c r="R1074" s="1"/>
      <c r="S1074" s="1"/>
    </row>
    <row r="1075">
      <c r="A1075" s="1"/>
      <c r="B1075" s="3">
        <f t="shared" si="3"/>
        <v>1071</v>
      </c>
      <c r="C1075" s="31" t="s">
        <v>2302</v>
      </c>
      <c r="D1075" s="37" t="s">
        <v>96</v>
      </c>
      <c r="E1075" s="37" t="s">
        <v>1692</v>
      </c>
      <c r="F1075" s="43" t="s">
        <v>2302</v>
      </c>
      <c r="G1075" s="37"/>
      <c r="H1075" s="46">
        <v>46162.0</v>
      </c>
      <c r="I1075" s="37" t="s">
        <v>1289</v>
      </c>
      <c r="J1075" s="17"/>
      <c r="K1075" s="17" t="s">
        <v>2303</v>
      </c>
      <c r="L1075" s="37" t="s">
        <v>58</v>
      </c>
      <c r="M1075" s="37"/>
      <c r="N1075" s="17"/>
      <c r="O1075" s="1"/>
      <c r="P1075" s="15"/>
      <c r="Q1075" s="15"/>
      <c r="R1075" s="1"/>
      <c r="S1075" s="1"/>
    </row>
    <row r="1076">
      <c r="A1076" s="1"/>
      <c r="B1076" s="3">
        <f t="shared" si="3"/>
        <v>1072</v>
      </c>
      <c r="C1076" s="31" t="s">
        <v>2304</v>
      </c>
      <c r="D1076" s="37" t="s">
        <v>1505</v>
      </c>
      <c r="E1076" s="37" t="s">
        <v>2305</v>
      </c>
      <c r="F1076" s="43" t="s">
        <v>2306</v>
      </c>
      <c r="G1076" s="37"/>
      <c r="H1076" s="46">
        <v>46162.0</v>
      </c>
      <c r="I1076" s="37" t="s">
        <v>1289</v>
      </c>
      <c r="J1076" s="17"/>
      <c r="K1076" s="17">
        <v>330.0</v>
      </c>
      <c r="L1076" s="37" t="s">
        <v>58</v>
      </c>
      <c r="M1076" s="37"/>
      <c r="N1076" s="17" t="s">
        <v>28</v>
      </c>
      <c r="O1076" s="1"/>
      <c r="P1076" s="15"/>
      <c r="Q1076" s="15"/>
      <c r="R1076" s="1"/>
      <c r="S1076" s="1"/>
    </row>
    <row r="1077">
      <c r="A1077" s="1"/>
      <c r="B1077" s="3">
        <f t="shared" si="3"/>
        <v>1073</v>
      </c>
      <c r="C1077" s="31" t="s">
        <v>2307</v>
      </c>
      <c r="D1077" s="37" t="s">
        <v>83</v>
      </c>
      <c r="E1077" s="37" t="s">
        <v>2308</v>
      </c>
      <c r="F1077" s="43" t="s">
        <v>2307</v>
      </c>
      <c r="G1077" s="37"/>
      <c r="H1077" s="46">
        <v>46162.0</v>
      </c>
      <c r="I1077" s="37" t="s">
        <v>1289</v>
      </c>
      <c r="J1077" s="17"/>
      <c r="K1077" s="17"/>
      <c r="L1077" s="37" t="s">
        <v>58</v>
      </c>
      <c r="M1077" s="37" t="s">
        <v>57</v>
      </c>
      <c r="N1077" s="17" t="s">
        <v>28</v>
      </c>
      <c r="O1077" s="1"/>
      <c r="P1077" s="15"/>
      <c r="Q1077" s="15"/>
      <c r="R1077" s="1"/>
      <c r="S1077" s="1"/>
    </row>
    <row r="1078">
      <c r="A1078" s="130"/>
      <c r="B1078" s="3">
        <f t="shared" si="3"/>
        <v>1074</v>
      </c>
      <c r="C1078" s="132" t="s">
        <v>2309</v>
      </c>
      <c r="D1078" s="133" t="s">
        <v>497</v>
      </c>
      <c r="E1078" s="133" t="s">
        <v>2310</v>
      </c>
      <c r="F1078" s="134" t="s">
        <v>2309</v>
      </c>
      <c r="G1078" s="133"/>
      <c r="H1078" s="135">
        <v>46162.0</v>
      </c>
      <c r="I1078" s="133" t="s">
        <v>1289</v>
      </c>
      <c r="J1078" s="136"/>
      <c r="K1078" s="136"/>
      <c r="L1078" s="133" t="s">
        <v>58</v>
      </c>
      <c r="M1078" s="133"/>
      <c r="N1078" s="136"/>
      <c r="O1078" s="130"/>
      <c r="P1078" s="137"/>
      <c r="Q1078" s="137"/>
      <c r="R1078" s="130"/>
      <c r="S1078" s="130"/>
    </row>
    <row r="1079">
      <c r="A1079" s="1"/>
      <c r="B1079" s="3">
        <f t="shared" si="3"/>
        <v>1075</v>
      </c>
      <c r="C1079" s="31" t="s">
        <v>2311</v>
      </c>
      <c r="D1079" s="37" t="s">
        <v>497</v>
      </c>
      <c r="E1079" s="37" t="s">
        <v>2312</v>
      </c>
      <c r="F1079" s="43" t="s">
        <v>2311</v>
      </c>
      <c r="G1079" s="37"/>
      <c r="H1079" s="46">
        <v>46162.0</v>
      </c>
      <c r="I1079" s="37" t="s">
        <v>1289</v>
      </c>
      <c r="J1079" s="17"/>
      <c r="K1079" s="17"/>
      <c r="L1079" s="37" t="s">
        <v>58</v>
      </c>
      <c r="M1079" s="37"/>
      <c r="N1079" s="17"/>
      <c r="O1079" s="1"/>
      <c r="P1079" s="15"/>
      <c r="Q1079" s="15"/>
      <c r="R1079" s="1"/>
      <c r="S1079" s="1"/>
    </row>
    <row r="1080">
      <c r="A1080" s="1"/>
      <c r="B1080" s="3">
        <f t="shared" si="3"/>
        <v>1076</v>
      </c>
      <c r="C1080" s="31" t="s">
        <v>2313</v>
      </c>
      <c r="D1080" s="37" t="s">
        <v>96</v>
      </c>
      <c r="E1080" s="37" t="s">
        <v>2014</v>
      </c>
      <c r="F1080" s="43" t="s">
        <v>2314</v>
      </c>
      <c r="G1080" s="37"/>
      <c r="H1080" s="46">
        <v>46162.0</v>
      </c>
      <c r="I1080" s="37" t="s">
        <v>1289</v>
      </c>
      <c r="J1080" s="17"/>
      <c r="K1080" s="17"/>
      <c r="L1080" s="37" t="s">
        <v>58</v>
      </c>
      <c r="M1080" s="37"/>
      <c r="N1080" s="17"/>
      <c r="O1080" s="1"/>
      <c r="P1080" s="15"/>
      <c r="Q1080" s="15"/>
      <c r="R1080" s="1"/>
      <c r="S1080" s="1"/>
    </row>
    <row r="1081">
      <c r="A1081" s="1"/>
      <c r="B1081" s="3">
        <f t="shared" si="3"/>
        <v>1077</v>
      </c>
      <c r="C1081" s="31" t="s">
        <v>2315</v>
      </c>
      <c r="D1081" s="37" t="s">
        <v>1505</v>
      </c>
      <c r="E1081" s="37" t="s">
        <v>1248</v>
      </c>
      <c r="F1081" s="43" t="s">
        <v>2315</v>
      </c>
      <c r="G1081" s="37"/>
      <c r="H1081" s="46">
        <v>46162.0</v>
      </c>
      <c r="I1081" s="37" t="s">
        <v>1289</v>
      </c>
      <c r="J1081" s="17"/>
      <c r="K1081" s="17">
        <v>300.0</v>
      </c>
      <c r="L1081" s="37" t="s">
        <v>58</v>
      </c>
      <c r="M1081" s="37"/>
      <c r="N1081" s="17"/>
      <c r="O1081" s="1"/>
      <c r="P1081" s="15"/>
      <c r="Q1081" s="15"/>
      <c r="R1081" s="1"/>
      <c r="S1081" s="1"/>
    </row>
    <row r="1082">
      <c r="A1082" s="1"/>
      <c r="B1082" s="3">
        <f t="shared" si="3"/>
        <v>1078</v>
      </c>
      <c r="C1082" s="31" t="s">
        <v>2316</v>
      </c>
      <c r="D1082" s="37" t="s">
        <v>1505</v>
      </c>
      <c r="E1082" s="37" t="s">
        <v>2312</v>
      </c>
      <c r="F1082" s="1"/>
      <c r="G1082" s="37"/>
      <c r="H1082" s="46">
        <v>46162.0</v>
      </c>
      <c r="I1082" s="37" t="s">
        <v>1289</v>
      </c>
      <c r="J1082" s="17"/>
      <c r="K1082" s="17">
        <v>500.0</v>
      </c>
      <c r="L1082" s="37" t="s">
        <v>58</v>
      </c>
      <c r="M1082" s="37"/>
      <c r="N1082" s="17" t="s">
        <v>28</v>
      </c>
      <c r="O1082" s="1"/>
      <c r="P1082" s="15"/>
      <c r="Q1082" s="67" t="s">
        <v>2317</v>
      </c>
      <c r="R1082" s="1"/>
      <c r="S1082" s="1"/>
    </row>
    <row r="1083">
      <c r="A1083" s="1"/>
      <c r="B1083" s="3">
        <f t="shared" si="3"/>
        <v>1079</v>
      </c>
      <c r="C1083" s="31" t="s">
        <v>2318</v>
      </c>
      <c r="D1083" s="37" t="s">
        <v>1505</v>
      </c>
      <c r="E1083" s="37" t="s">
        <v>2312</v>
      </c>
      <c r="F1083" s="43" t="s">
        <v>2318</v>
      </c>
      <c r="G1083" s="37"/>
      <c r="H1083" s="46">
        <v>46162.0</v>
      </c>
      <c r="I1083" s="37" t="s">
        <v>1289</v>
      </c>
      <c r="J1083" s="17"/>
      <c r="K1083" s="17"/>
      <c r="L1083" s="37" t="s">
        <v>189</v>
      </c>
      <c r="M1083" s="37"/>
      <c r="N1083" s="17" t="s">
        <v>28</v>
      </c>
      <c r="O1083" s="1"/>
      <c r="P1083" s="15"/>
      <c r="Q1083" s="67" t="s">
        <v>2319</v>
      </c>
      <c r="R1083" s="1"/>
      <c r="S1083" s="1"/>
    </row>
    <row r="1084">
      <c r="A1084" s="1"/>
      <c r="B1084" s="3">
        <f t="shared" si="3"/>
        <v>1080</v>
      </c>
      <c r="C1084" s="31" t="s">
        <v>2320</v>
      </c>
      <c r="D1084" s="37" t="s">
        <v>1505</v>
      </c>
      <c r="E1084" s="37" t="s">
        <v>2312</v>
      </c>
      <c r="F1084" s="1"/>
      <c r="G1084" s="37"/>
      <c r="H1084" s="46">
        <v>46162.0</v>
      </c>
      <c r="I1084" s="37" t="s">
        <v>1289</v>
      </c>
      <c r="J1084" s="17"/>
      <c r="K1084" s="17">
        <v>230.0</v>
      </c>
      <c r="L1084" s="37" t="s">
        <v>189</v>
      </c>
      <c r="M1084" s="37"/>
      <c r="N1084" s="17" t="s">
        <v>28</v>
      </c>
      <c r="O1084" s="1"/>
      <c r="P1084" s="15"/>
      <c r="Q1084" s="67" t="s">
        <v>2319</v>
      </c>
      <c r="R1084" s="1"/>
      <c r="S1084" s="1"/>
    </row>
    <row r="1085">
      <c r="A1085" s="1"/>
      <c r="B1085" s="3">
        <f t="shared" si="3"/>
        <v>1081</v>
      </c>
      <c r="C1085" s="31" t="s">
        <v>2321</v>
      </c>
      <c r="D1085" s="37" t="s">
        <v>83</v>
      </c>
      <c r="E1085" s="37" t="s">
        <v>1285</v>
      </c>
      <c r="F1085" s="1"/>
      <c r="G1085" s="37"/>
      <c r="H1085" s="46">
        <v>46162.0</v>
      </c>
      <c r="I1085" s="37" t="s">
        <v>1289</v>
      </c>
      <c r="J1085" s="17"/>
      <c r="K1085" s="17">
        <v>350.0</v>
      </c>
      <c r="L1085" s="37" t="s">
        <v>58</v>
      </c>
      <c r="M1085" s="37" t="s">
        <v>54</v>
      </c>
      <c r="N1085" s="17" t="s">
        <v>39</v>
      </c>
      <c r="O1085" s="1"/>
      <c r="P1085" s="15"/>
      <c r="Q1085" s="15"/>
      <c r="R1085" s="1"/>
      <c r="S1085" s="1"/>
    </row>
    <row r="1086">
      <c r="A1086" s="1"/>
      <c r="B1086" s="3">
        <f t="shared" si="3"/>
        <v>1082</v>
      </c>
      <c r="C1086" s="31" t="s">
        <v>2322</v>
      </c>
      <c r="D1086" s="37" t="s">
        <v>83</v>
      </c>
      <c r="E1086" s="37" t="s">
        <v>1646</v>
      </c>
      <c r="F1086" s="43" t="s">
        <v>2322</v>
      </c>
      <c r="G1086" s="37"/>
      <c r="H1086" s="46">
        <v>46162.0</v>
      </c>
      <c r="I1086" s="37" t="s">
        <v>1289</v>
      </c>
      <c r="J1086" s="17"/>
      <c r="K1086" s="17"/>
      <c r="L1086" s="37" t="s">
        <v>58</v>
      </c>
      <c r="M1086" s="37"/>
      <c r="N1086" s="17"/>
      <c r="O1086" s="1"/>
      <c r="P1086" s="15"/>
      <c r="Q1086" s="15"/>
      <c r="R1086" s="1"/>
      <c r="S1086" s="1"/>
    </row>
    <row r="1087">
      <c r="A1087" s="1"/>
      <c r="B1087" s="3">
        <f t="shared" si="3"/>
        <v>1083</v>
      </c>
      <c r="C1087" s="31" t="s">
        <v>2323</v>
      </c>
      <c r="D1087" s="37" t="s">
        <v>83</v>
      </c>
      <c r="E1087" s="37" t="s">
        <v>1530</v>
      </c>
      <c r="F1087" s="43" t="s">
        <v>2324</v>
      </c>
      <c r="G1087" s="37"/>
      <c r="H1087" s="46">
        <v>46178.0</v>
      </c>
      <c r="I1087" s="37" t="s">
        <v>1289</v>
      </c>
      <c r="J1087" s="17"/>
      <c r="K1087" s="17" t="s">
        <v>1298</v>
      </c>
      <c r="L1087" s="37" t="s">
        <v>189</v>
      </c>
      <c r="M1087" s="37"/>
      <c r="N1087" s="17"/>
      <c r="O1087" s="1"/>
      <c r="P1087" s="15"/>
      <c r="Q1087" s="15"/>
      <c r="R1087" s="1"/>
      <c r="S1087" s="1"/>
    </row>
    <row r="1088">
      <c r="A1088" s="1"/>
      <c r="B1088" s="3">
        <f t="shared" si="3"/>
        <v>1084</v>
      </c>
      <c r="C1088" s="31" t="s">
        <v>2325</v>
      </c>
      <c r="D1088" s="37" t="s">
        <v>44</v>
      </c>
      <c r="E1088" s="37" t="s">
        <v>1580</v>
      </c>
      <c r="F1088" s="1"/>
      <c r="G1088" s="37"/>
      <c r="H1088" s="46">
        <v>46178.0</v>
      </c>
      <c r="I1088" s="37" t="s">
        <v>1289</v>
      </c>
      <c r="J1088" s="17"/>
      <c r="K1088" s="17" t="s">
        <v>554</v>
      </c>
      <c r="L1088" s="37" t="s">
        <v>189</v>
      </c>
      <c r="M1088" s="37"/>
      <c r="N1088" s="17"/>
      <c r="O1088" s="1"/>
      <c r="P1088" s="15"/>
      <c r="Q1088" s="67" t="s">
        <v>2326</v>
      </c>
      <c r="R1088" s="1"/>
      <c r="S1088" s="1"/>
    </row>
    <row r="1089">
      <c r="A1089" s="1"/>
      <c r="B1089" s="3">
        <f t="shared" si="3"/>
        <v>1085</v>
      </c>
      <c r="C1089" s="31" t="s">
        <v>2327</v>
      </c>
      <c r="D1089" s="37" t="s">
        <v>112</v>
      </c>
      <c r="E1089" s="37" t="s">
        <v>1589</v>
      </c>
      <c r="F1089" s="43" t="s">
        <v>2328</v>
      </c>
      <c r="G1089" s="37"/>
      <c r="H1089" s="46">
        <v>46178.0</v>
      </c>
      <c r="I1089" s="37" t="s">
        <v>1289</v>
      </c>
      <c r="J1089" s="17"/>
      <c r="K1089" s="17" t="s">
        <v>2329</v>
      </c>
      <c r="L1089" s="37" t="s">
        <v>58</v>
      </c>
      <c r="M1089" s="37"/>
      <c r="N1089" s="17"/>
      <c r="O1089" s="1"/>
      <c r="P1089" s="15"/>
      <c r="Q1089" s="15"/>
      <c r="R1089" s="1"/>
      <c r="S1089" s="1"/>
    </row>
    <row r="1090">
      <c r="A1090" s="1"/>
      <c r="B1090" s="3">
        <f t="shared" si="3"/>
        <v>1086</v>
      </c>
      <c r="C1090" s="31" t="s">
        <v>2330</v>
      </c>
      <c r="D1090" s="37" t="s">
        <v>44</v>
      </c>
      <c r="E1090" s="37" t="s">
        <v>2019</v>
      </c>
      <c r="F1090" s="1"/>
      <c r="G1090" s="37"/>
      <c r="H1090" s="46">
        <v>46178.0</v>
      </c>
      <c r="I1090" s="37" t="s">
        <v>1289</v>
      </c>
      <c r="J1090" s="17"/>
      <c r="K1090" s="17" t="s">
        <v>605</v>
      </c>
      <c r="L1090" s="37" t="s">
        <v>189</v>
      </c>
      <c r="M1090" s="37"/>
      <c r="N1090" s="17"/>
      <c r="O1090" s="1"/>
      <c r="P1090" s="15"/>
      <c r="Q1090" s="67" t="s">
        <v>2331</v>
      </c>
      <c r="R1090" s="1"/>
      <c r="S1090" s="1"/>
    </row>
    <row r="1091">
      <c r="A1091" s="1"/>
      <c r="B1091" s="3">
        <f t="shared" si="3"/>
        <v>1087</v>
      </c>
      <c r="C1091" s="31" t="s">
        <v>2332</v>
      </c>
      <c r="D1091" s="37" t="s">
        <v>44</v>
      </c>
      <c r="E1091" s="37" t="s">
        <v>2333</v>
      </c>
      <c r="F1091" s="43" t="s">
        <v>2334</v>
      </c>
      <c r="G1091" s="37"/>
      <c r="H1091" s="46">
        <v>46178.0</v>
      </c>
      <c r="I1091" s="37" t="s">
        <v>1289</v>
      </c>
      <c r="J1091" s="17"/>
      <c r="K1091" s="17" t="s">
        <v>571</v>
      </c>
      <c r="L1091" s="37" t="s">
        <v>58</v>
      </c>
      <c r="M1091" s="37"/>
      <c r="N1091" s="17"/>
      <c r="O1091" s="1"/>
      <c r="P1091" s="15"/>
      <c r="Q1091" s="15"/>
      <c r="R1091" s="1"/>
      <c r="S1091" s="1"/>
    </row>
    <row r="1092">
      <c r="A1092" s="1"/>
      <c r="B1092" s="3">
        <f t="shared" si="3"/>
        <v>1088</v>
      </c>
      <c r="C1092" s="31" t="s">
        <v>2335</v>
      </c>
      <c r="D1092" s="37" t="s">
        <v>96</v>
      </c>
      <c r="E1092" s="37" t="s">
        <v>1300</v>
      </c>
      <c r="F1092" s="43" t="s">
        <v>2336</v>
      </c>
      <c r="G1092" s="37"/>
      <c r="H1092" s="46">
        <v>46178.0</v>
      </c>
      <c r="I1092" s="37" t="s">
        <v>1289</v>
      </c>
      <c r="J1092" s="17"/>
      <c r="K1092" s="17" t="s">
        <v>533</v>
      </c>
      <c r="L1092" s="37" t="s">
        <v>189</v>
      </c>
      <c r="M1092" s="37"/>
      <c r="N1092" s="17"/>
      <c r="O1092" s="1"/>
      <c r="P1092" s="15"/>
      <c r="Q1092" s="67" t="s">
        <v>2337</v>
      </c>
      <c r="R1092" s="1"/>
      <c r="S1092" s="1"/>
    </row>
    <row r="1093">
      <c r="A1093" s="1"/>
      <c r="B1093" s="3">
        <f t="shared" si="3"/>
        <v>1089</v>
      </c>
      <c r="C1093" s="31" t="s">
        <v>2338</v>
      </c>
      <c r="D1093" s="37" t="s">
        <v>83</v>
      </c>
      <c r="E1093" s="37" t="s">
        <v>2339</v>
      </c>
      <c r="F1093" s="43" t="s">
        <v>2338</v>
      </c>
      <c r="G1093" s="37"/>
      <c r="H1093" s="46">
        <v>46178.0</v>
      </c>
      <c r="I1093" s="37" t="s">
        <v>1289</v>
      </c>
      <c r="J1093" s="17"/>
      <c r="K1093" s="17" t="s">
        <v>540</v>
      </c>
      <c r="L1093" s="37" t="s">
        <v>189</v>
      </c>
      <c r="M1093" s="37"/>
      <c r="N1093" s="17"/>
      <c r="O1093" s="1"/>
      <c r="P1093" s="15"/>
      <c r="Q1093" s="15"/>
      <c r="R1093" s="1"/>
      <c r="S1093" s="1"/>
    </row>
    <row r="1094">
      <c r="A1094" s="1"/>
      <c r="B1094" s="3">
        <f t="shared" si="3"/>
        <v>1090</v>
      </c>
      <c r="C1094" s="31" t="s">
        <v>2340</v>
      </c>
      <c r="D1094" s="37" t="s">
        <v>116</v>
      </c>
      <c r="E1094" s="37" t="s">
        <v>1583</v>
      </c>
      <c r="F1094" s="43" t="s">
        <v>2341</v>
      </c>
      <c r="G1094" s="37"/>
      <c r="H1094" s="46">
        <v>46178.0</v>
      </c>
      <c r="I1094" s="37" t="s">
        <v>1289</v>
      </c>
      <c r="J1094" s="17"/>
      <c r="K1094" s="17" t="s">
        <v>2342</v>
      </c>
      <c r="L1094" s="37" t="s">
        <v>58</v>
      </c>
      <c r="M1094" s="37"/>
      <c r="N1094" s="17"/>
      <c r="O1094" s="1"/>
      <c r="P1094" s="15"/>
      <c r="Q1094" s="15"/>
      <c r="R1094" s="1"/>
      <c r="S1094" s="1"/>
    </row>
    <row r="1095">
      <c r="A1095" s="1"/>
      <c r="B1095" s="3">
        <f t="shared" si="3"/>
        <v>1091</v>
      </c>
      <c r="C1095" s="31" t="s">
        <v>2343</v>
      </c>
      <c r="D1095" s="37" t="s">
        <v>199</v>
      </c>
      <c r="E1095" s="37" t="s">
        <v>2344</v>
      </c>
      <c r="F1095" s="43" t="s">
        <v>2343</v>
      </c>
      <c r="G1095" s="37"/>
      <c r="H1095" s="46">
        <v>46178.0</v>
      </c>
      <c r="I1095" s="37" t="s">
        <v>1289</v>
      </c>
      <c r="J1095" s="17"/>
      <c r="K1095" s="17" t="s">
        <v>518</v>
      </c>
      <c r="L1095" s="37" t="s">
        <v>189</v>
      </c>
      <c r="M1095" s="37"/>
      <c r="N1095" s="17"/>
      <c r="O1095" s="1"/>
      <c r="P1095" s="67" t="s">
        <v>2345</v>
      </c>
      <c r="Q1095" s="67" t="s">
        <v>2346</v>
      </c>
      <c r="R1095" s="1"/>
      <c r="S1095" s="1"/>
    </row>
    <row r="1096">
      <c r="A1096" s="1"/>
      <c r="B1096" s="3">
        <f t="shared" si="3"/>
        <v>1092</v>
      </c>
      <c r="C1096" s="31" t="s">
        <v>2347</v>
      </c>
      <c r="D1096" s="37" t="s">
        <v>83</v>
      </c>
      <c r="E1096" s="37" t="s">
        <v>1420</v>
      </c>
      <c r="F1096" s="43" t="s">
        <v>2347</v>
      </c>
      <c r="G1096" s="37"/>
      <c r="H1096" s="46">
        <v>46178.0</v>
      </c>
      <c r="I1096" s="37" t="s">
        <v>1289</v>
      </c>
      <c r="J1096" s="17"/>
      <c r="K1096" s="17" t="s">
        <v>533</v>
      </c>
      <c r="L1096" s="37" t="s">
        <v>58</v>
      </c>
      <c r="M1096" s="37"/>
      <c r="N1096" s="17"/>
      <c r="O1096" s="1"/>
      <c r="P1096" s="15"/>
      <c r="Q1096" s="15"/>
      <c r="R1096" s="1"/>
      <c r="S1096" s="1"/>
    </row>
    <row r="1097">
      <c r="A1097" s="1"/>
      <c r="B1097" s="3">
        <f t="shared" si="3"/>
        <v>1093</v>
      </c>
      <c r="C1097" s="31" t="s">
        <v>2348</v>
      </c>
      <c r="D1097" s="37" t="s">
        <v>83</v>
      </c>
      <c r="E1097" s="37" t="s">
        <v>1589</v>
      </c>
      <c r="F1097" s="43" t="s">
        <v>2348</v>
      </c>
      <c r="G1097" s="37"/>
      <c r="H1097" s="46">
        <v>46178.0</v>
      </c>
      <c r="I1097" s="37" t="s">
        <v>1289</v>
      </c>
      <c r="J1097" s="17" t="s">
        <v>648</v>
      </c>
      <c r="K1097" s="17" t="s">
        <v>2342</v>
      </c>
      <c r="L1097" s="37" t="s">
        <v>58</v>
      </c>
      <c r="M1097" s="37"/>
      <c r="N1097" s="17"/>
      <c r="O1097" s="1"/>
      <c r="P1097" s="15"/>
      <c r="Q1097" s="15"/>
      <c r="R1097" s="1"/>
      <c r="S1097" s="1"/>
    </row>
    <row r="1098">
      <c r="A1098" s="1"/>
      <c r="B1098" s="3">
        <f t="shared" si="3"/>
        <v>1094</v>
      </c>
      <c r="C1098" s="31" t="s">
        <v>2349</v>
      </c>
      <c r="D1098" s="37" t="s">
        <v>44</v>
      </c>
      <c r="E1098" s="37" t="s">
        <v>2350</v>
      </c>
      <c r="F1098" s="43" t="s">
        <v>2351</v>
      </c>
      <c r="G1098" s="37"/>
      <c r="H1098" s="46">
        <v>46178.0</v>
      </c>
      <c r="I1098" s="37" t="s">
        <v>1289</v>
      </c>
      <c r="J1098" s="17" t="s">
        <v>2352</v>
      </c>
      <c r="K1098" s="17" t="s">
        <v>2342</v>
      </c>
      <c r="L1098" s="37" t="s">
        <v>189</v>
      </c>
      <c r="M1098" s="37"/>
      <c r="N1098" s="17"/>
      <c r="O1098" s="1"/>
      <c r="P1098" s="15"/>
      <c r="Q1098" s="15"/>
      <c r="R1098" s="1"/>
      <c r="S1098" s="1"/>
    </row>
    <row r="1099">
      <c r="A1099" s="1"/>
      <c r="B1099" s="3">
        <f t="shared" si="3"/>
        <v>1095</v>
      </c>
      <c r="C1099" s="31" t="s">
        <v>2353</v>
      </c>
      <c r="D1099" s="37" t="s">
        <v>116</v>
      </c>
      <c r="E1099" s="37" t="s">
        <v>1285</v>
      </c>
      <c r="F1099" s="43" t="s">
        <v>2354</v>
      </c>
      <c r="G1099" s="37"/>
      <c r="H1099" s="46">
        <v>46178.0</v>
      </c>
      <c r="I1099" s="37" t="s">
        <v>1289</v>
      </c>
      <c r="J1099" s="17" t="s">
        <v>2355</v>
      </c>
      <c r="K1099" s="17" t="s">
        <v>2355</v>
      </c>
      <c r="L1099" s="37" t="s">
        <v>58</v>
      </c>
      <c r="M1099" s="37"/>
      <c r="N1099" s="17"/>
      <c r="O1099" s="1"/>
      <c r="P1099" s="15"/>
      <c r="Q1099" s="15"/>
      <c r="R1099" s="1"/>
      <c r="S1099" s="1"/>
    </row>
    <row r="1100">
      <c r="A1100" s="1"/>
      <c r="B1100" s="3">
        <f t="shared" si="3"/>
        <v>1096</v>
      </c>
      <c r="C1100" s="31" t="s">
        <v>2356</v>
      </c>
      <c r="D1100" s="37" t="s">
        <v>112</v>
      </c>
      <c r="E1100" s="37" t="s">
        <v>2357</v>
      </c>
      <c r="F1100" s="43" t="s">
        <v>2356</v>
      </c>
      <c r="G1100" s="37"/>
      <c r="H1100" s="46">
        <v>46178.0</v>
      </c>
      <c r="I1100" s="37" t="s">
        <v>1289</v>
      </c>
      <c r="J1100" s="17" t="s">
        <v>554</v>
      </c>
      <c r="K1100" s="17"/>
      <c r="L1100" s="37" t="s">
        <v>58</v>
      </c>
      <c r="M1100" s="37"/>
      <c r="N1100" s="17"/>
      <c r="O1100" s="1"/>
      <c r="P1100" s="15"/>
      <c r="Q1100" s="67" t="s">
        <v>2358</v>
      </c>
      <c r="R1100" s="1"/>
      <c r="S1100" s="1"/>
    </row>
    <row r="1101">
      <c r="A1101" s="1"/>
      <c r="B1101" s="3">
        <f t="shared" si="3"/>
        <v>1097</v>
      </c>
      <c r="C1101" s="31" t="s">
        <v>2359</v>
      </c>
      <c r="D1101" s="37" t="s">
        <v>44</v>
      </c>
      <c r="E1101" s="37" t="s">
        <v>2357</v>
      </c>
      <c r="F1101" s="43" t="s">
        <v>2360</v>
      </c>
      <c r="G1101" s="37"/>
      <c r="H1101" s="46">
        <v>46178.0</v>
      </c>
      <c r="I1101" s="37" t="s">
        <v>1289</v>
      </c>
      <c r="J1101" s="17"/>
      <c r="K1101" s="17" t="s">
        <v>517</v>
      </c>
      <c r="L1101" s="37" t="s">
        <v>189</v>
      </c>
      <c r="M1101" s="37"/>
      <c r="N1101" s="17"/>
      <c r="O1101" s="1"/>
      <c r="P1101" s="15"/>
      <c r="Q1101" s="67" t="s">
        <v>2361</v>
      </c>
      <c r="R1101" s="1"/>
      <c r="S1101" s="1"/>
    </row>
    <row r="1102">
      <c r="A1102" s="1"/>
      <c r="B1102" s="3">
        <f t="shared" si="3"/>
        <v>1098</v>
      </c>
      <c r="C1102" s="31" t="s">
        <v>2362</v>
      </c>
      <c r="D1102" s="37" t="s">
        <v>116</v>
      </c>
      <c r="E1102" s="37" t="s">
        <v>1285</v>
      </c>
      <c r="F1102" s="43" t="s">
        <v>2363</v>
      </c>
      <c r="G1102" s="37"/>
      <c r="H1102" s="46">
        <v>46178.0</v>
      </c>
      <c r="I1102" s="37" t="s">
        <v>1289</v>
      </c>
      <c r="J1102" s="17"/>
      <c r="K1102" s="17" t="s">
        <v>2364</v>
      </c>
      <c r="L1102" s="37" t="s">
        <v>58</v>
      </c>
      <c r="M1102" s="37"/>
      <c r="N1102" s="17"/>
      <c r="O1102" s="1"/>
      <c r="P1102" s="15"/>
      <c r="Q1102" s="15"/>
      <c r="R1102" s="1"/>
      <c r="S1102" s="1"/>
    </row>
    <row r="1103">
      <c r="A1103" s="1"/>
      <c r="B1103" s="3">
        <f t="shared" si="3"/>
        <v>1099</v>
      </c>
      <c r="C1103" s="31" t="s">
        <v>2365</v>
      </c>
      <c r="D1103" s="37" t="s">
        <v>112</v>
      </c>
      <c r="E1103" s="37" t="s">
        <v>2366</v>
      </c>
      <c r="F1103" s="43" t="s">
        <v>2367</v>
      </c>
      <c r="G1103" s="37"/>
      <c r="H1103" s="46">
        <v>46178.0</v>
      </c>
      <c r="I1103" s="37" t="s">
        <v>1289</v>
      </c>
      <c r="J1103" s="17"/>
      <c r="K1103" s="17" t="s">
        <v>517</v>
      </c>
      <c r="L1103" s="37" t="s">
        <v>189</v>
      </c>
      <c r="M1103" s="37"/>
      <c r="N1103" s="17"/>
      <c r="O1103" s="1"/>
      <c r="P1103" s="15"/>
      <c r="Q1103" s="67" t="s">
        <v>2368</v>
      </c>
      <c r="R1103" s="1"/>
      <c r="S1103" s="1"/>
    </row>
    <row r="1104">
      <c r="A1104" s="1"/>
      <c r="B1104" s="3">
        <f t="shared" si="3"/>
        <v>1100</v>
      </c>
      <c r="C1104" s="31" t="s">
        <v>2369</v>
      </c>
      <c r="D1104" s="37" t="s">
        <v>116</v>
      </c>
      <c r="E1104" s="37" t="s">
        <v>2370</v>
      </c>
      <c r="F1104" s="43" t="s">
        <v>2371</v>
      </c>
      <c r="G1104" s="37"/>
      <c r="H1104" s="46">
        <v>46178.0</v>
      </c>
      <c r="I1104" s="37" t="s">
        <v>1289</v>
      </c>
      <c r="J1104" s="17" t="s">
        <v>2372</v>
      </c>
      <c r="K1104" s="17" t="s">
        <v>2342</v>
      </c>
      <c r="L1104" s="37" t="s">
        <v>58</v>
      </c>
      <c r="M1104" s="37"/>
      <c r="N1104" s="17"/>
      <c r="O1104" s="1"/>
      <c r="P1104" s="15"/>
      <c r="Q1104" s="15"/>
      <c r="R1104" s="1"/>
      <c r="S1104" s="1"/>
    </row>
    <row r="1105">
      <c r="A1105" s="1"/>
      <c r="B1105" s="3">
        <f t="shared" si="3"/>
        <v>1101</v>
      </c>
      <c r="C1105" s="31" t="s">
        <v>2373</v>
      </c>
      <c r="D1105" s="37" t="s">
        <v>96</v>
      </c>
      <c r="E1105" s="37" t="s">
        <v>2374</v>
      </c>
      <c r="F1105" s="43" t="s">
        <v>2375</v>
      </c>
      <c r="G1105" s="37"/>
      <c r="H1105" s="46">
        <v>46178.0</v>
      </c>
      <c r="I1105" s="37" t="s">
        <v>1289</v>
      </c>
      <c r="J1105" s="17"/>
      <c r="K1105" s="17" t="s">
        <v>533</v>
      </c>
      <c r="L1105" s="37" t="s">
        <v>58</v>
      </c>
      <c r="M1105" s="37"/>
      <c r="N1105" s="17"/>
      <c r="O1105" s="1"/>
      <c r="P1105" s="15"/>
      <c r="Q1105" s="67" t="s">
        <v>2376</v>
      </c>
      <c r="R1105" s="1"/>
      <c r="S1105" s="1"/>
    </row>
    <row r="1106">
      <c r="A1106" s="1"/>
      <c r="B1106" s="3">
        <f t="shared" si="3"/>
        <v>1102</v>
      </c>
      <c r="C1106" s="31" t="s">
        <v>2377</v>
      </c>
      <c r="D1106" s="37" t="s">
        <v>83</v>
      </c>
      <c r="E1106" s="37" t="s">
        <v>1493</v>
      </c>
      <c r="F1106" s="43" t="s">
        <v>2377</v>
      </c>
      <c r="G1106" s="37"/>
      <c r="H1106" s="46">
        <v>46178.0</v>
      </c>
      <c r="I1106" s="37" t="s">
        <v>1289</v>
      </c>
      <c r="J1106" s="17">
        <v>58500.0</v>
      </c>
      <c r="K1106" s="17" t="s">
        <v>2342</v>
      </c>
      <c r="L1106" s="37" t="s">
        <v>58</v>
      </c>
      <c r="M1106" s="37"/>
      <c r="N1106" s="17"/>
      <c r="O1106" s="1"/>
      <c r="P1106" s="15"/>
      <c r="Q1106" s="67" t="s">
        <v>2378</v>
      </c>
      <c r="R1106" s="1"/>
      <c r="S1106" s="1"/>
    </row>
    <row r="1107">
      <c r="A1107" s="1"/>
      <c r="B1107" s="3">
        <f t="shared" si="3"/>
        <v>1103</v>
      </c>
      <c r="C1107" s="31" t="s">
        <v>2379</v>
      </c>
      <c r="D1107" s="37" t="s">
        <v>56</v>
      </c>
      <c r="E1107" s="37" t="s">
        <v>1530</v>
      </c>
      <c r="F1107" s="43" t="s">
        <v>2379</v>
      </c>
      <c r="G1107" s="37"/>
      <c r="H1107" s="46">
        <v>46178.0</v>
      </c>
      <c r="I1107" s="37" t="s">
        <v>1289</v>
      </c>
      <c r="J1107" s="17"/>
      <c r="K1107" s="17" t="s">
        <v>605</v>
      </c>
      <c r="L1107" s="37" t="s">
        <v>58</v>
      </c>
      <c r="M1107" s="37"/>
      <c r="N1107" s="17"/>
      <c r="O1107" s="1"/>
      <c r="P1107" s="15"/>
      <c r="Q1107" s="67" t="s">
        <v>2380</v>
      </c>
      <c r="R1107" s="1"/>
      <c r="S1107" s="1"/>
    </row>
    <row r="1108">
      <c r="A1108" s="1"/>
      <c r="B1108" s="3">
        <f t="shared" si="3"/>
        <v>1104</v>
      </c>
      <c r="C1108" s="31" t="s">
        <v>2381</v>
      </c>
      <c r="D1108" s="37" t="s">
        <v>49</v>
      </c>
      <c r="E1108" s="37" t="s">
        <v>1285</v>
      </c>
      <c r="F1108" s="43" t="s">
        <v>2381</v>
      </c>
      <c r="G1108" s="37"/>
      <c r="H1108" s="46">
        <v>46178.0</v>
      </c>
      <c r="I1108" s="37" t="s">
        <v>1289</v>
      </c>
      <c r="J1108" s="17" t="s">
        <v>2382</v>
      </c>
      <c r="K1108" s="17" t="s">
        <v>2342</v>
      </c>
      <c r="L1108" s="37" t="s">
        <v>58</v>
      </c>
      <c r="M1108" s="37"/>
      <c r="N1108" s="17"/>
      <c r="O1108" s="1"/>
      <c r="P1108" s="15"/>
      <c r="Q1108" s="15"/>
      <c r="R1108" s="1"/>
      <c r="S1108" s="1"/>
    </row>
    <row r="1109">
      <c r="A1109" s="1"/>
      <c r="B1109" s="3">
        <f t="shared" si="3"/>
        <v>1105</v>
      </c>
      <c r="C1109" s="31" t="s">
        <v>2383</v>
      </c>
      <c r="D1109" s="37" t="s">
        <v>116</v>
      </c>
      <c r="E1109" s="37" t="s">
        <v>2384</v>
      </c>
      <c r="F1109" s="43" t="s">
        <v>2383</v>
      </c>
      <c r="G1109" s="37"/>
      <c r="H1109" s="46">
        <v>46178.0</v>
      </c>
      <c r="I1109" s="37" t="s">
        <v>1289</v>
      </c>
      <c r="J1109" s="17"/>
      <c r="K1109" s="17" t="s">
        <v>2342</v>
      </c>
      <c r="L1109" s="37" t="s">
        <v>58</v>
      </c>
      <c r="M1109" s="37"/>
      <c r="N1109" s="17"/>
      <c r="O1109" s="1"/>
      <c r="P1109" s="15"/>
      <c r="Q1109" s="15"/>
      <c r="R1109" s="1"/>
      <c r="S1109" s="1"/>
    </row>
    <row r="1110">
      <c r="A1110" s="1"/>
      <c r="B1110" s="3">
        <f t="shared" si="3"/>
        <v>1106</v>
      </c>
      <c r="C1110" s="31" t="s">
        <v>2385</v>
      </c>
      <c r="D1110" s="37" t="s">
        <v>159</v>
      </c>
      <c r="E1110" s="37" t="s">
        <v>2386</v>
      </c>
      <c r="F1110" s="43" t="s">
        <v>2387</v>
      </c>
      <c r="G1110" s="37"/>
      <c r="H1110" s="46">
        <v>46178.0</v>
      </c>
      <c r="I1110" s="37" t="s">
        <v>1289</v>
      </c>
      <c r="J1110" s="17" t="s">
        <v>2388</v>
      </c>
      <c r="K1110" s="17" t="s">
        <v>2389</v>
      </c>
      <c r="L1110" s="37" t="s">
        <v>58</v>
      </c>
      <c r="M1110" s="37"/>
      <c r="N1110" s="17"/>
      <c r="O1110" s="1"/>
      <c r="P1110" s="15"/>
      <c r="Q1110" s="67" t="s">
        <v>2390</v>
      </c>
      <c r="R1110" s="1"/>
      <c r="S1110" s="1"/>
    </row>
    <row r="1111">
      <c r="A1111" s="1"/>
      <c r="B1111" s="3">
        <f t="shared" si="3"/>
        <v>1107</v>
      </c>
      <c r="C1111" s="31" t="s">
        <v>2391</v>
      </c>
      <c r="D1111" s="37" t="s">
        <v>44</v>
      </c>
      <c r="E1111" s="37" t="s">
        <v>1398</v>
      </c>
      <c r="F1111" s="43" t="s">
        <v>2392</v>
      </c>
      <c r="G1111" s="37"/>
      <c r="H1111" s="46">
        <v>46178.0</v>
      </c>
      <c r="I1111" s="37" t="s">
        <v>1289</v>
      </c>
      <c r="J1111" s="17" t="s">
        <v>2393</v>
      </c>
      <c r="K1111" s="17" t="s">
        <v>571</v>
      </c>
      <c r="L1111" s="37" t="s">
        <v>58</v>
      </c>
      <c r="M1111" s="37"/>
      <c r="N1111" s="17"/>
      <c r="O1111" s="1"/>
      <c r="P1111" s="15"/>
      <c r="Q1111" s="15"/>
      <c r="R1111" s="1"/>
      <c r="S1111" s="1"/>
    </row>
    <row r="1112">
      <c r="A1112" s="1"/>
      <c r="B1112" s="3">
        <f t="shared" si="3"/>
        <v>1108</v>
      </c>
      <c r="C1112" s="31" t="s">
        <v>2394</v>
      </c>
      <c r="D1112" s="37" t="s">
        <v>47</v>
      </c>
      <c r="E1112" s="37" t="s">
        <v>2395</v>
      </c>
      <c r="F1112" s="43" t="s">
        <v>2396</v>
      </c>
      <c r="G1112" s="37"/>
      <c r="H1112" s="46">
        <v>46178.0</v>
      </c>
      <c r="I1112" s="37" t="s">
        <v>1289</v>
      </c>
      <c r="J1112" s="17"/>
      <c r="K1112" s="17" t="s">
        <v>2397</v>
      </c>
      <c r="L1112" s="37" t="s">
        <v>189</v>
      </c>
      <c r="M1112" s="37"/>
      <c r="N1112" s="17"/>
      <c r="O1112" s="1"/>
      <c r="P1112" s="15"/>
      <c r="Q1112" s="15"/>
      <c r="R1112" s="1"/>
      <c r="S1112" s="1"/>
    </row>
    <row r="1113">
      <c r="A1113" s="1"/>
      <c r="B1113" s="3">
        <f t="shared" si="3"/>
        <v>1109</v>
      </c>
      <c r="C1113" s="31" t="s">
        <v>2398</v>
      </c>
      <c r="D1113" s="37" t="s">
        <v>112</v>
      </c>
      <c r="E1113" s="37" t="s">
        <v>1589</v>
      </c>
      <c r="F1113" s="43" t="s">
        <v>2399</v>
      </c>
      <c r="G1113" s="37"/>
      <c r="H1113" s="46">
        <v>46178.0</v>
      </c>
      <c r="I1113" s="37" t="s">
        <v>1289</v>
      </c>
      <c r="J1113" s="17" t="s">
        <v>2400</v>
      </c>
      <c r="K1113" s="17" t="s">
        <v>2342</v>
      </c>
      <c r="L1113" s="37" t="s">
        <v>58</v>
      </c>
      <c r="M1113" s="37"/>
      <c r="N1113" s="17"/>
      <c r="O1113" s="1"/>
      <c r="P1113" s="15"/>
      <c r="Q1113" s="15"/>
      <c r="R1113" s="1"/>
      <c r="S1113" s="1"/>
    </row>
    <row r="1114">
      <c r="A1114" s="1"/>
      <c r="B1114" s="3">
        <f t="shared" si="3"/>
        <v>1110</v>
      </c>
      <c r="C1114" s="31" t="s">
        <v>2401</v>
      </c>
      <c r="D1114" s="37" t="s">
        <v>56</v>
      </c>
      <c r="E1114" s="37" t="s">
        <v>1500</v>
      </c>
      <c r="F1114" s="43" t="s">
        <v>2402</v>
      </c>
      <c r="G1114" s="37"/>
      <c r="H1114" s="46">
        <v>46178.0</v>
      </c>
      <c r="I1114" s="37" t="s">
        <v>1289</v>
      </c>
      <c r="J1114" s="17" t="s">
        <v>571</v>
      </c>
      <c r="K1114" s="17" t="s">
        <v>2342</v>
      </c>
      <c r="L1114" s="37" t="s">
        <v>189</v>
      </c>
      <c r="M1114" s="37"/>
      <c r="N1114" s="17"/>
      <c r="O1114" s="1"/>
      <c r="P1114" s="15"/>
      <c r="Q1114" s="15"/>
      <c r="R1114" s="1"/>
      <c r="S1114" s="1"/>
    </row>
    <row r="1115">
      <c r="A1115" s="1"/>
      <c r="B1115" s="3">
        <f t="shared" si="3"/>
        <v>1111</v>
      </c>
      <c r="C1115" s="31" t="s">
        <v>2403</v>
      </c>
      <c r="D1115" s="37" t="s">
        <v>96</v>
      </c>
      <c r="E1115" s="37" t="s">
        <v>2404</v>
      </c>
      <c r="F1115" s="43" t="s">
        <v>1509</v>
      </c>
      <c r="G1115" s="37"/>
      <c r="H1115" s="46">
        <v>46178.0</v>
      </c>
      <c r="I1115" s="37" t="s">
        <v>1289</v>
      </c>
      <c r="J1115" s="17"/>
      <c r="K1115" s="17" t="s">
        <v>605</v>
      </c>
      <c r="L1115" s="37" t="s">
        <v>58</v>
      </c>
      <c r="M1115" s="37"/>
      <c r="N1115" s="17"/>
      <c r="O1115" s="1"/>
      <c r="P1115" s="15"/>
      <c r="Q1115" s="15"/>
      <c r="R1115" s="1"/>
      <c r="S1115" s="1"/>
    </row>
    <row r="1116">
      <c r="A1116" s="1"/>
      <c r="B1116" s="3">
        <f t="shared" si="3"/>
        <v>1112</v>
      </c>
      <c r="C1116" s="31" t="s">
        <v>2405</v>
      </c>
      <c r="D1116" s="37" t="s">
        <v>1505</v>
      </c>
      <c r="E1116" s="37" t="s">
        <v>2384</v>
      </c>
      <c r="F1116" s="43" t="s">
        <v>2406</v>
      </c>
      <c r="G1116" s="37"/>
      <c r="H1116" s="46">
        <v>46178.0</v>
      </c>
      <c r="I1116" s="37" t="s">
        <v>1289</v>
      </c>
      <c r="J1116" s="17"/>
      <c r="K1116" s="17" t="s">
        <v>533</v>
      </c>
      <c r="L1116" s="37" t="s">
        <v>58</v>
      </c>
      <c r="M1116" s="37"/>
      <c r="N1116" s="17" t="s">
        <v>28</v>
      </c>
      <c r="O1116" s="37" t="s">
        <v>16</v>
      </c>
      <c r="P1116" s="67" t="s">
        <v>2407</v>
      </c>
      <c r="Q1116" s="15"/>
      <c r="R1116" s="1"/>
      <c r="S1116" s="1"/>
    </row>
    <row r="1117">
      <c r="A1117" s="1"/>
      <c r="B1117" s="3">
        <f t="shared" si="3"/>
        <v>1113</v>
      </c>
      <c r="C1117" s="31" t="s">
        <v>2408</v>
      </c>
      <c r="D1117" s="37" t="s">
        <v>83</v>
      </c>
      <c r="E1117" s="37" t="s">
        <v>1477</v>
      </c>
      <c r="F1117" s="43" t="s">
        <v>2409</v>
      </c>
      <c r="G1117" s="37"/>
      <c r="H1117" s="46">
        <v>46148.0</v>
      </c>
      <c r="I1117" s="37" t="s">
        <v>1289</v>
      </c>
      <c r="J1117" s="17"/>
      <c r="K1117" s="17" t="s">
        <v>2342</v>
      </c>
      <c r="L1117" s="37" t="s">
        <v>58</v>
      </c>
      <c r="M1117" s="37" t="s">
        <v>68</v>
      </c>
      <c r="N1117" s="17" t="s">
        <v>28</v>
      </c>
      <c r="O1117" s="1"/>
      <c r="P1117" s="15"/>
      <c r="Q1117" s="67" t="s">
        <v>2410</v>
      </c>
      <c r="R1117" s="1"/>
      <c r="S1117" s="1"/>
    </row>
    <row r="1118">
      <c r="A1118" s="1"/>
      <c r="B1118" s="3">
        <f t="shared" si="3"/>
        <v>1114</v>
      </c>
      <c r="C1118" s="31" t="s">
        <v>2411</v>
      </c>
      <c r="D1118" s="37" t="s">
        <v>56</v>
      </c>
      <c r="E1118" s="37" t="s">
        <v>1583</v>
      </c>
      <c r="F1118" s="43" t="s">
        <v>2412</v>
      </c>
      <c r="G1118" s="37"/>
      <c r="H1118" s="46">
        <v>46178.0</v>
      </c>
      <c r="I1118" s="37" t="s">
        <v>1289</v>
      </c>
      <c r="J1118" s="17"/>
      <c r="K1118" s="17" t="s">
        <v>884</v>
      </c>
      <c r="L1118" s="37" t="s">
        <v>58</v>
      </c>
      <c r="M1118" s="37" t="s">
        <v>73</v>
      </c>
      <c r="N1118" s="17" t="s">
        <v>28</v>
      </c>
      <c r="O1118" s="1"/>
      <c r="P1118" s="15"/>
      <c r="Q1118" s="15"/>
      <c r="R1118" s="1"/>
      <c r="S1118" s="1"/>
    </row>
    <row r="1119">
      <c r="A1119" s="1"/>
      <c r="B1119" s="3">
        <f t="shared" si="3"/>
        <v>1115</v>
      </c>
      <c r="C1119" s="31" t="s">
        <v>2413</v>
      </c>
      <c r="D1119" s="37" t="s">
        <v>1505</v>
      </c>
      <c r="E1119" s="37" t="s">
        <v>1424</v>
      </c>
      <c r="F1119" s="1"/>
      <c r="G1119" s="37"/>
      <c r="H1119" s="46">
        <v>46178.0</v>
      </c>
      <c r="I1119" s="37" t="s">
        <v>1289</v>
      </c>
      <c r="J1119" s="17"/>
      <c r="K1119" s="17"/>
      <c r="L1119" s="37" t="s">
        <v>189</v>
      </c>
      <c r="M1119" s="37"/>
      <c r="N1119" s="17"/>
      <c r="O1119" s="1"/>
      <c r="P1119" s="67" t="s">
        <v>2414</v>
      </c>
      <c r="Q1119" s="15"/>
      <c r="R1119" s="1"/>
      <c r="S1119" s="1"/>
    </row>
    <row r="1120">
      <c r="A1120" s="1"/>
      <c r="B1120" s="3">
        <f t="shared" si="3"/>
        <v>1116</v>
      </c>
      <c r="C1120" s="31" t="s">
        <v>2415</v>
      </c>
      <c r="D1120" s="37" t="s">
        <v>1505</v>
      </c>
      <c r="E1120" s="37" t="s">
        <v>1477</v>
      </c>
      <c r="F1120" s="1"/>
      <c r="G1120" s="37"/>
      <c r="H1120" s="46">
        <v>46178.0</v>
      </c>
      <c r="I1120" s="37" t="s">
        <v>1289</v>
      </c>
      <c r="J1120" s="17"/>
      <c r="K1120" s="17"/>
      <c r="L1120" s="37" t="s">
        <v>189</v>
      </c>
      <c r="M1120" s="37"/>
      <c r="N1120" s="17"/>
      <c r="O1120" s="1"/>
      <c r="P1120" s="67" t="s">
        <v>2414</v>
      </c>
      <c r="Q1120" s="15"/>
      <c r="R1120" s="1"/>
      <c r="S1120" s="1"/>
    </row>
    <row r="1121">
      <c r="A1121" s="1"/>
      <c r="B1121" s="3">
        <f t="shared" si="3"/>
        <v>1117</v>
      </c>
      <c r="C1121" s="31" t="s">
        <v>2416</v>
      </c>
      <c r="D1121" s="37" t="s">
        <v>83</v>
      </c>
      <c r="E1121" s="37" t="s">
        <v>2374</v>
      </c>
      <c r="F1121" s="1"/>
      <c r="G1121" s="37"/>
      <c r="H1121" s="46">
        <v>46178.0</v>
      </c>
      <c r="I1121" s="37" t="s">
        <v>1289</v>
      </c>
      <c r="J1121" s="17"/>
      <c r="K1121" s="17"/>
      <c r="L1121" s="37" t="s">
        <v>189</v>
      </c>
      <c r="M1121" s="37"/>
      <c r="N1121" s="17"/>
      <c r="O1121" s="1"/>
      <c r="P1121" s="67" t="s">
        <v>2417</v>
      </c>
      <c r="Q1121" s="15"/>
      <c r="R1121" s="1"/>
      <c r="S1121" s="1"/>
    </row>
    <row r="1122">
      <c r="A1122" s="1"/>
      <c r="B1122" s="3">
        <f t="shared" si="3"/>
        <v>1118</v>
      </c>
      <c r="C1122" s="31" t="s">
        <v>2418</v>
      </c>
      <c r="D1122" s="37" t="s">
        <v>1505</v>
      </c>
      <c r="E1122" s="37" t="s">
        <v>2419</v>
      </c>
      <c r="F1122" s="43" t="s">
        <v>2418</v>
      </c>
      <c r="G1122" s="37"/>
      <c r="H1122" s="46">
        <v>46178.0</v>
      </c>
      <c r="I1122" s="37" t="s">
        <v>1289</v>
      </c>
      <c r="J1122" s="17"/>
      <c r="K1122" s="17"/>
      <c r="L1122" s="37" t="s">
        <v>58</v>
      </c>
      <c r="M1122" s="37"/>
      <c r="N1122" s="17" t="s">
        <v>28</v>
      </c>
      <c r="O1122" s="37" t="s">
        <v>16</v>
      </c>
      <c r="P1122" s="67" t="s">
        <v>2420</v>
      </c>
      <c r="Q1122" s="15"/>
      <c r="R1122" s="1"/>
      <c r="S1122" s="1"/>
    </row>
    <row r="1123">
      <c r="A1123" s="1"/>
      <c r="B1123" s="3">
        <f t="shared" si="3"/>
        <v>1119</v>
      </c>
      <c r="C1123" s="31" t="s">
        <v>2421</v>
      </c>
      <c r="D1123" s="37" t="s">
        <v>56</v>
      </c>
      <c r="E1123" s="37" t="s">
        <v>2422</v>
      </c>
      <c r="F1123" s="43" t="s">
        <v>2423</v>
      </c>
      <c r="G1123" s="37"/>
      <c r="H1123" s="46">
        <v>6707104.0</v>
      </c>
      <c r="I1123" s="37" t="s">
        <v>1289</v>
      </c>
      <c r="J1123" s="17"/>
      <c r="K1123" s="17"/>
      <c r="L1123" s="37" t="s">
        <v>58</v>
      </c>
      <c r="M1123" s="37" t="s">
        <v>45</v>
      </c>
      <c r="N1123" s="17"/>
      <c r="O1123" s="1"/>
      <c r="P1123" s="15"/>
      <c r="Q1123" s="15"/>
      <c r="R1123" s="1"/>
      <c r="S1123" s="1"/>
    </row>
    <row r="1124">
      <c r="A1124" s="1"/>
      <c r="B1124" s="3">
        <f t="shared" si="3"/>
        <v>1120</v>
      </c>
      <c r="C1124" s="31" t="s">
        <v>2424</v>
      </c>
      <c r="D1124" s="37" t="s">
        <v>96</v>
      </c>
      <c r="E1124" s="37"/>
      <c r="F1124" s="43" t="s">
        <v>2425</v>
      </c>
      <c r="G1124" s="37"/>
      <c r="H1124" s="46">
        <v>46169.0</v>
      </c>
      <c r="I1124" s="37" t="s">
        <v>1289</v>
      </c>
      <c r="J1124" s="17"/>
      <c r="K1124" s="17"/>
      <c r="L1124" s="37" t="s">
        <v>58</v>
      </c>
      <c r="M1124" s="37" t="s">
        <v>57</v>
      </c>
      <c r="N1124" s="17"/>
      <c r="O1124" s="1"/>
      <c r="P1124" s="67" t="s">
        <v>2426</v>
      </c>
      <c r="Q1124" s="15"/>
      <c r="R1124" s="1"/>
      <c r="S1124" s="1"/>
    </row>
    <row r="1125">
      <c r="A1125" s="1"/>
      <c r="B1125" s="3">
        <f t="shared" si="3"/>
        <v>1121</v>
      </c>
      <c r="C1125" s="31" t="s">
        <v>2427</v>
      </c>
      <c r="D1125" s="37" t="s">
        <v>44</v>
      </c>
      <c r="E1125" s="37" t="s">
        <v>2428</v>
      </c>
      <c r="F1125" s="43" t="s">
        <v>2427</v>
      </c>
      <c r="G1125" s="37"/>
      <c r="H1125" s="46">
        <v>46169.0</v>
      </c>
      <c r="I1125" s="37" t="s">
        <v>1289</v>
      </c>
      <c r="J1125" s="17"/>
      <c r="K1125" s="17"/>
      <c r="L1125" s="37" t="s">
        <v>58</v>
      </c>
      <c r="M1125" s="37"/>
      <c r="N1125" s="17"/>
      <c r="O1125" s="1"/>
      <c r="P1125" s="67" t="s">
        <v>2429</v>
      </c>
      <c r="Q1125" s="15"/>
      <c r="R1125" s="1"/>
      <c r="S1125" s="1"/>
    </row>
    <row r="1126">
      <c r="A1126" s="1"/>
      <c r="B1126" s="3">
        <f t="shared" si="3"/>
        <v>1122</v>
      </c>
      <c r="C1126" s="31" t="s">
        <v>2430</v>
      </c>
      <c r="D1126" s="37" t="s">
        <v>96</v>
      </c>
      <c r="E1126" s="37" t="s">
        <v>2431</v>
      </c>
      <c r="F1126" s="43" t="s">
        <v>2430</v>
      </c>
      <c r="G1126" s="37"/>
      <c r="H1126" s="46">
        <v>46169.0</v>
      </c>
      <c r="I1126" s="37" t="s">
        <v>1289</v>
      </c>
      <c r="J1126" s="17"/>
      <c r="K1126" s="17"/>
      <c r="L1126" s="37" t="s">
        <v>58</v>
      </c>
      <c r="M1126" s="37" t="s">
        <v>57</v>
      </c>
      <c r="N1126" s="17"/>
      <c r="O1126" s="1"/>
      <c r="P1126" s="67" t="s">
        <v>2426</v>
      </c>
      <c r="Q1126" s="67" t="s">
        <v>1163</v>
      </c>
      <c r="R1126" s="1"/>
      <c r="S1126" s="1"/>
    </row>
    <row r="1127">
      <c r="A1127" s="1"/>
      <c r="B1127" s="3">
        <f t="shared" si="3"/>
        <v>1123</v>
      </c>
      <c r="C1127" s="31" t="s">
        <v>2432</v>
      </c>
      <c r="D1127" s="37" t="s">
        <v>112</v>
      </c>
      <c r="E1127" s="37" t="s">
        <v>1593</v>
      </c>
      <c r="F1127" s="43" t="s">
        <v>2432</v>
      </c>
      <c r="G1127" s="37"/>
      <c r="H1127" s="46">
        <v>46169.0</v>
      </c>
      <c r="I1127" s="37" t="s">
        <v>1289</v>
      </c>
      <c r="J1127" s="17"/>
      <c r="K1127" s="17"/>
      <c r="L1127" s="37" t="s">
        <v>58</v>
      </c>
      <c r="M1127" s="37" t="s">
        <v>60</v>
      </c>
      <c r="N1127" s="17" t="s">
        <v>39</v>
      </c>
      <c r="O1127" s="1"/>
      <c r="P1127" s="15"/>
      <c r="Q1127" s="15"/>
      <c r="R1127" s="1"/>
      <c r="S1127" s="1"/>
    </row>
    <row r="1128">
      <c r="A1128" s="1"/>
      <c r="B1128" s="3">
        <f t="shared" si="3"/>
        <v>1124</v>
      </c>
      <c r="C1128" s="31" t="s">
        <v>2433</v>
      </c>
      <c r="D1128" s="37" t="s">
        <v>112</v>
      </c>
      <c r="E1128" s="37" t="s">
        <v>600</v>
      </c>
      <c r="F1128" s="43" t="s">
        <v>2434</v>
      </c>
      <c r="G1128" s="37"/>
      <c r="H1128" s="46">
        <v>46169.0</v>
      </c>
      <c r="I1128" s="37" t="s">
        <v>1289</v>
      </c>
      <c r="J1128" s="17"/>
      <c r="K1128" s="17"/>
      <c r="L1128" s="37" t="s">
        <v>58</v>
      </c>
      <c r="M1128" s="37"/>
      <c r="N1128" s="17"/>
      <c r="O1128" s="1"/>
      <c r="P1128" s="15"/>
      <c r="Q1128" s="15"/>
      <c r="R1128" s="1"/>
      <c r="S1128" s="1"/>
    </row>
    <row r="1129">
      <c r="A1129" s="1"/>
      <c r="B1129" s="3">
        <f t="shared" si="3"/>
        <v>1125</v>
      </c>
      <c r="C1129" s="31" t="s">
        <v>2435</v>
      </c>
      <c r="D1129" s="37" t="s">
        <v>38</v>
      </c>
      <c r="E1129" s="37" t="s">
        <v>2436</v>
      </c>
      <c r="F1129" s="43" t="s">
        <v>2437</v>
      </c>
      <c r="G1129" s="37"/>
      <c r="H1129" s="46">
        <v>46169.0</v>
      </c>
      <c r="I1129" s="37" t="s">
        <v>1289</v>
      </c>
      <c r="J1129" s="17"/>
      <c r="K1129" s="17"/>
      <c r="L1129" s="37" t="s">
        <v>58</v>
      </c>
      <c r="M1129" s="37" t="s">
        <v>74</v>
      </c>
      <c r="N1129" s="17"/>
      <c r="O1129" s="1"/>
      <c r="P1129" s="15"/>
      <c r="Q1129" s="15"/>
      <c r="R1129" s="1"/>
      <c r="S1129" s="1"/>
    </row>
    <row r="1130">
      <c r="A1130" s="1"/>
      <c r="B1130" s="3">
        <f t="shared" si="3"/>
        <v>1126</v>
      </c>
      <c r="C1130" s="31" t="s">
        <v>2438</v>
      </c>
      <c r="D1130" s="37" t="s">
        <v>49</v>
      </c>
      <c r="E1130" s="37" t="s">
        <v>600</v>
      </c>
      <c r="F1130" s="43" t="s">
        <v>2439</v>
      </c>
      <c r="G1130" s="37"/>
      <c r="H1130" s="46">
        <v>46169.0</v>
      </c>
      <c r="I1130" s="37" t="s">
        <v>1289</v>
      </c>
      <c r="J1130" s="17"/>
      <c r="K1130" s="17"/>
      <c r="L1130" s="37" t="s">
        <v>58</v>
      </c>
      <c r="M1130" s="37"/>
      <c r="N1130" s="17"/>
      <c r="O1130" s="1"/>
      <c r="P1130" s="15"/>
      <c r="Q1130" s="15"/>
      <c r="R1130" s="1"/>
      <c r="S1130" s="1"/>
    </row>
    <row r="1131">
      <c r="A1131" s="1"/>
      <c r="B1131" s="3">
        <f t="shared" si="3"/>
        <v>1127</v>
      </c>
      <c r="C1131" s="31" t="s">
        <v>2440</v>
      </c>
      <c r="D1131" s="37" t="s">
        <v>497</v>
      </c>
      <c r="E1131" s="37"/>
      <c r="F1131" s="1"/>
      <c r="G1131" s="37"/>
      <c r="H1131" s="46">
        <v>46169.0</v>
      </c>
      <c r="I1131" s="37" t="s">
        <v>1289</v>
      </c>
      <c r="J1131" s="17"/>
      <c r="K1131" s="17"/>
      <c r="L1131" s="37" t="s">
        <v>58</v>
      </c>
      <c r="M1131" s="37"/>
      <c r="N1131" s="17"/>
      <c r="O1131" s="1"/>
      <c r="P1131" s="15"/>
      <c r="Q1131" s="15"/>
      <c r="R1131" s="1"/>
      <c r="S1131" s="1"/>
    </row>
    <row r="1132">
      <c r="A1132" s="1"/>
      <c r="B1132" s="3">
        <f t="shared" si="3"/>
        <v>1128</v>
      </c>
      <c r="C1132" s="31" t="s">
        <v>2441</v>
      </c>
      <c r="D1132" s="37" t="s">
        <v>49</v>
      </c>
      <c r="E1132" s="37"/>
      <c r="F1132" s="43" t="s">
        <v>2441</v>
      </c>
      <c r="G1132" s="37"/>
      <c r="H1132" s="46">
        <v>46169.0</v>
      </c>
      <c r="I1132" s="37" t="s">
        <v>1289</v>
      </c>
      <c r="J1132" s="17"/>
      <c r="K1132" s="17"/>
      <c r="L1132" s="37" t="s">
        <v>58</v>
      </c>
      <c r="M1132" s="37"/>
      <c r="N1132" s="17"/>
      <c r="O1132" s="1"/>
      <c r="P1132" s="15"/>
      <c r="Q1132" s="15"/>
      <c r="R1132" s="1"/>
      <c r="S1132" s="1"/>
    </row>
    <row r="1133">
      <c r="A1133" s="1"/>
      <c r="B1133" s="3">
        <f t="shared" si="3"/>
        <v>1129</v>
      </c>
      <c r="C1133" s="31" t="s">
        <v>2442</v>
      </c>
      <c r="D1133" s="37"/>
      <c r="E1133" s="37" t="s">
        <v>2443</v>
      </c>
      <c r="F1133" s="43" t="s">
        <v>2444</v>
      </c>
      <c r="G1133" s="37"/>
      <c r="H1133" s="46">
        <v>46169.0</v>
      </c>
      <c r="I1133" s="37" t="s">
        <v>1289</v>
      </c>
      <c r="J1133" s="17"/>
      <c r="K1133" s="17"/>
      <c r="L1133" s="37" t="s">
        <v>58</v>
      </c>
      <c r="M1133" s="37"/>
      <c r="N1133" s="17"/>
      <c r="O1133" s="1"/>
      <c r="P1133" s="15"/>
      <c r="Q1133" s="15"/>
      <c r="R1133" s="1"/>
      <c r="S1133" s="1"/>
    </row>
    <row r="1134">
      <c r="A1134" s="1"/>
      <c r="B1134" s="3">
        <f t="shared" si="3"/>
        <v>1130</v>
      </c>
      <c r="C1134" s="31" t="s">
        <v>2445</v>
      </c>
      <c r="D1134" s="37" t="s">
        <v>44</v>
      </c>
      <c r="E1134" s="37" t="s">
        <v>2446</v>
      </c>
      <c r="F1134" s="43" t="s">
        <v>2445</v>
      </c>
      <c r="G1134" s="37"/>
      <c r="H1134" s="46">
        <v>46169.0</v>
      </c>
      <c r="I1134" s="37" t="s">
        <v>1289</v>
      </c>
      <c r="J1134" s="17"/>
      <c r="K1134" s="17"/>
      <c r="L1134" s="37" t="s">
        <v>58</v>
      </c>
      <c r="M1134" s="37" t="s">
        <v>73</v>
      </c>
      <c r="N1134" s="17"/>
      <c r="O1134" s="1"/>
      <c r="P1134" s="15"/>
      <c r="Q1134" s="15"/>
      <c r="R1134" s="1"/>
      <c r="S1134" s="1"/>
    </row>
    <row r="1135">
      <c r="A1135" s="1"/>
      <c r="B1135" s="3">
        <f t="shared" si="3"/>
        <v>1131</v>
      </c>
      <c r="C1135" s="31" t="s">
        <v>2447</v>
      </c>
      <c r="D1135" s="37" t="s">
        <v>44</v>
      </c>
      <c r="E1135" s="37"/>
      <c r="F1135" s="43" t="s">
        <v>2447</v>
      </c>
      <c r="G1135" s="37"/>
      <c r="H1135" s="46">
        <v>46169.0</v>
      </c>
      <c r="I1135" s="37" t="s">
        <v>1289</v>
      </c>
      <c r="J1135" s="17"/>
      <c r="K1135" s="17"/>
      <c r="L1135" s="37" t="s">
        <v>58</v>
      </c>
      <c r="M1135" s="37"/>
      <c r="N1135" s="17"/>
      <c r="O1135" s="1"/>
      <c r="P1135" s="15"/>
      <c r="Q1135" s="15"/>
      <c r="R1135" s="1"/>
      <c r="S1135" s="1"/>
    </row>
    <row r="1136">
      <c r="A1136" s="1"/>
      <c r="B1136" s="3">
        <f t="shared" si="3"/>
        <v>1132</v>
      </c>
      <c r="C1136" s="31" t="s">
        <v>2448</v>
      </c>
      <c r="D1136" s="37" t="s">
        <v>44</v>
      </c>
      <c r="E1136" s="37" t="s">
        <v>2088</v>
      </c>
      <c r="F1136" s="43" t="s">
        <v>2448</v>
      </c>
      <c r="G1136" s="37"/>
      <c r="H1136" s="46">
        <v>46169.0</v>
      </c>
      <c r="I1136" s="37" t="s">
        <v>1289</v>
      </c>
      <c r="J1136" s="17"/>
      <c r="K1136" s="17"/>
      <c r="L1136" s="37" t="s">
        <v>58</v>
      </c>
      <c r="M1136" s="37"/>
      <c r="N1136" s="17"/>
      <c r="O1136" s="1"/>
      <c r="P1136" s="15"/>
      <c r="Q1136" s="15"/>
      <c r="R1136" s="1"/>
      <c r="S1136" s="1"/>
    </row>
    <row r="1137">
      <c r="A1137" s="1"/>
      <c r="B1137" s="3">
        <f t="shared" si="3"/>
        <v>1133</v>
      </c>
      <c r="C1137" s="31" t="s">
        <v>2449</v>
      </c>
      <c r="D1137" s="37" t="s">
        <v>49</v>
      </c>
      <c r="E1137" s="37" t="s">
        <v>2450</v>
      </c>
      <c r="F1137" s="43" t="s">
        <v>2449</v>
      </c>
      <c r="G1137" s="37"/>
      <c r="H1137" s="46">
        <v>46169.0</v>
      </c>
      <c r="I1137" s="37" t="s">
        <v>1289</v>
      </c>
      <c r="J1137" s="17"/>
      <c r="K1137" s="17"/>
      <c r="L1137" s="37" t="s">
        <v>58</v>
      </c>
      <c r="M1137" s="37"/>
      <c r="N1137" s="17"/>
      <c r="O1137" s="1"/>
      <c r="P1137" s="15"/>
      <c r="Q1137" s="15"/>
      <c r="R1137" s="1"/>
      <c r="S1137" s="1"/>
    </row>
    <row r="1138">
      <c r="A1138" s="1"/>
      <c r="B1138" s="3">
        <f t="shared" si="3"/>
        <v>1134</v>
      </c>
      <c r="C1138" s="31" t="s">
        <v>2451</v>
      </c>
      <c r="D1138" s="37" t="s">
        <v>49</v>
      </c>
      <c r="E1138" s="37"/>
      <c r="F1138" s="43" t="s">
        <v>2452</v>
      </c>
      <c r="G1138" s="37"/>
      <c r="H1138" s="46">
        <v>46169.0</v>
      </c>
      <c r="I1138" s="37" t="s">
        <v>1289</v>
      </c>
      <c r="J1138" s="17"/>
      <c r="K1138" s="17"/>
      <c r="L1138" s="37" t="s">
        <v>58</v>
      </c>
      <c r="M1138" s="37"/>
      <c r="N1138" s="17"/>
      <c r="O1138" s="1"/>
      <c r="P1138" s="15"/>
      <c r="Q1138" s="15"/>
      <c r="R1138" s="1"/>
      <c r="S1138" s="1"/>
    </row>
    <row r="1139">
      <c r="A1139" s="1"/>
      <c r="B1139" s="3">
        <f t="shared" si="3"/>
        <v>1135</v>
      </c>
      <c r="C1139" s="31" t="s">
        <v>2453</v>
      </c>
      <c r="D1139" s="37" t="s">
        <v>497</v>
      </c>
      <c r="E1139" s="37"/>
      <c r="F1139" s="43" t="s">
        <v>2453</v>
      </c>
      <c r="G1139" s="37"/>
      <c r="H1139" s="46">
        <v>46169.0</v>
      </c>
      <c r="I1139" s="37" t="s">
        <v>1289</v>
      </c>
      <c r="J1139" s="17"/>
      <c r="K1139" s="17"/>
      <c r="L1139" s="37" t="s">
        <v>58</v>
      </c>
      <c r="M1139" s="37"/>
      <c r="N1139" s="17"/>
      <c r="O1139" s="1"/>
      <c r="P1139" s="15"/>
      <c r="Q1139" s="15"/>
      <c r="R1139" s="1"/>
      <c r="S1139" s="1"/>
    </row>
    <row r="1140">
      <c r="A1140" s="1"/>
      <c r="B1140" s="3">
        <f t="shared" si="3"/>
        <v>1136</v>
      </c>
      <c r="C1140" s="31" t="s">
        <v>2454</v>
      </c>
      <c r="D1140" s="37" t="s">
        <v>116</v>
      </c>
      <c r="E1140" s="37" t="s">
        <v>2455</v>
      </c>
      <c r="F1140" s="43" t="s">
        <v>2454</v>
      </c>
      <c r="G1140" s="37"/>
      <c r="H1140" s="46">
        <v>46169.0</v>
      </c>
      <c r="I1140" s="37" t="s">
        <v>1289</v>
      </c>
      <c r="J1140" s="17"/>
      <c r="K1140" s="17"/>
      <c r="L1140" s="37" t="s">
        <v>58</v>
      </c>
      <c r="M1140" s="37"/>
      <c r="N1140" s="17"/>
      <c r="O1140" s="1"/>
      <c r="P1140" s="15"/>
      <c r="Q1140" s="15"/>
      <c r="R1140" s="1"/>
      <c r="S1140" s="1"/>
    </row>
    <row r="1141">
      <c r="A1141" s="1"/>
      <c r="B1141" s="3">
        <f t="shared" si="3"/>
        <v>1137</v>
      </c>
      <c r="C1141" s="31" t="s">
        <v>2456</v>
      </c>
      <c r="D1141" s="37" t="s">
        <v>116</v>
      </c>
      <c r="E1141" s="37"/>
      <c r="F1141" s="43" t="s">
        <v>2456</v>
      </c>
      <c r="G1141" s="37"/>
      <c r="H1141" s="17" t="s">
        <v>2457</v>
      </c>
      <c r="I1141" s="37" t="s">
        <v>1289</v>
      </c>
      <c r="J1141" s="17"/>
      <c r="K1141" s="17"/>
      <c r="L1141" s="37" t="s">
        <v>58</v>
      </c>
      <c r="M1141" s="37"/>
      <c r="N1141" s="17"/>
      <c r="O1141" s="1"/>
      <c r="P1141" s="15"/>
      <c r="Q1141" s="15"/>
      <c r="R1141" s="1"/>
      <c r="S1141" s="1"/>
    </row>
    <row r="1142">
      <c r="A1142" s="1"/>
      <c r="B1142" s="3">
        <f t="shared" si="3"/>
        <v>1138</v>
      </c>
      <c r="C1142" s="31" t="s">
        <v>2458</v>
      </c>
      <c r="D1142" s="37" t="s">
        <v>116</v>
      </c>
      <c r="E1142" s="37" t="s">
        <v>1285</v>
      </c>
      <c r="F1142" s="43" t="s">
        <v>2459</v>
      </c>
      <c r="G1142" s="37"/>
      <c r="H1142" s="46">
        <v>46169.0</v>
      </c>
      <c r="I1142" s="37" t="s">
        <v>1289</v>
      </c>
      <c r="J1142" s="17"/>
      <c r="K1142" s="17"/>
      <c r="L1142" s="37" t="s">
        <v>58</v>
      </c>
      <c r="M1142" s="37"/>
      <c r="N1142" s="17"/>
      <c r="O1142" s="1"/>
      <c r="P1142" s="15"/>
      <c r="Q1142" s="15"/>
      <c r="R1142" s="1"/>
      <c r="S1142" s="1"/>
    </row>
    <row r="1143">
      <c r="A1143" s="1"/>
      <c r="B1143" s="3">
        <f t="shared" si="3"/>
        <v>1139</v>
      </c>
      <c r="C1143" s="31" t="s">
        <v>2460</v>
      </c>
      <c r="D1143" s="37" t="s">
        <v>116</v>
      </c>
      <c r="E1143" s="37" t="s">
        <v>2270</v>
      </c>
      <c r="F1143" s="43" t="s">
        <v>2461</v>
      </c>
      <c r="G1143" s="37"/>
      <c r="H1143" s="46">
        <v>46169.0</v>
      </c>
      <c r="I1143" s="37" t="s">
        <v>1289</v>
      </c>
      <c r="J1143" s="17"/>
      <c r="K1143" s="17"/>
      <c r="L1143" s="37" t="s">
        <v>58</v>
      </c>
      <c r="M1143" s="37"/>
      <c r="N1143" s="17"/>
      <c r="O1143" s="1"/>
      <c r="P1143" s="15"/>
      <c r="Q1143" s="15"/>
      <c r="R1143" s="1"/>
      <c r="S1143" s="1"/>
    </row>
    <row r="1144">
      <c r="A1144" s="1"/>
      <c r="B1144" s="3">
        <f t="shared" si="3"/>
        <v>1140</v>
      </c>
      <c r="C1144" s="31" t="s">
        <v>2462</v>
      </c>
      <c r="D1144" s="37" t="s">
        <v>116</v>
      </c>
      <c r="E1144" s="37" t="s">
        <v>600</v>
      </c>
      <c r="F1144" s="43" t="s">
        <v>2463</v>
      </c>
      <c r="G1144" s="37"/>
      <c r="H1144" s="46">
        <v>46169.0</v>
      </c>
      <c r="I1144" s="37" t="s">
        <v>1289</v>
      </c>
      <c r="J1144" s="17"/>
      <c r="K1144" s="17"/>
      <c r="L1144" s="37" t="s">
        <v>58</v>
      </c>
      <c r="M1144" s="37"/>
      <c r="N1144" s="17"/>
      <c r="O1144" s="1"/>
      <c r="P1144" s="15"/>
      <c r="Q1144" s="15"/>
      <c r="R1144" s="1"/>
      <c r="S1144" s="1"/>
    </row>
    <row r="1145">
      <c r="A1145" s="1"/>
      <c r="B1145" s="3">
        <f t="shared" si="3"/>
        <v>1141</v>
      </c>
      <c r="C1145" s="31" t="s">
        <v>2464</v>
      </c>
      <c r="D1145" s="37" t="s">
        <v>83</v>
      </c>
      <c r="E1145" s="37" t="s">
        <v>2465</v>
      </c>
      <c r="F1145" s="43" t="s">
        <v>2464</v>
      </c>
      <c r="G1145" s="37"/>
      <c r="H1145" s="46">
        <v>46169.0</v>
      </c>
      <c r="I1145" s="37" t="s">
        <v>1289</v>
      </c>
      <c r="J1145" s="17"/>
      <c r="K1145" s="17"/>
      <c r="L1145" s="37" t="s">
        <v>58</v>
      </c>
      <c r="M1145" s="37"/>
      <c r="N1145" s="17"/>
      <c r="O1145" s="1"/>
      <c r="P1145" s="15"/>
      <c r="Q1145" s="15"/>
      <c r="R1145" s="1"/>
      <c r="S1145" s="1"/>
    </row>
    <row r="1146">
      <c r="A1146" s="1"/>
      <c r="B1146" s="3">
        <f t="shared" si="3"/>
        <v>1142</v>
      </c>
      <c r="C1146" s="31" t="s">
        <v>2466</v>
      </c>
      <c r="D1146" s="37" t="s">
        <v>44</v>
      </c>
      <c r="E1146" s="37" t="s">
        <v>2467</v>
      </c>
      <c r="F1146" s="43" t="s">
        <v>2466</v>
      </c>
      <c r="G1146" s="37"/>
      <c r="H1146" s="46">
        <v>46169.0</v>
      </c>
      <c r="I1146" s="37" t="s">
        <v>1289</v>
      </c>
      <c r="J1146" s="17"/>
      <c r="K1146" s="17"/>
      <c r="L1146" s="37" t="s">
        <v>58</v>
      </c>
      <c r="M1146" s="37"/>
      <c r="N1146" s="17"/>
      <c r="O1146" s="1"/>
      <c r="P1146" s="15"/>
      <c r="Q1146" s="15"/>
      <c r="R1146" s="1"/>
      <c r="S1146" s="1"/>
    </row>
    <row r="1147">
      <c r="A1147" s="1"/>
      <c r="B1147" s="3">
        <f t="shared" si="3"/>
        <v>1143</v>
      </c>
      <c r="C1147" s="31" t="s">
        <v>2468</v>
      </c>
      <c r="D1147" s="37" t="s">
        <v>44</v>
      </c>
      <c r="E1147" s="37" t="s">
        <v>2469</v>
      </c>
      <c r="F1147" s="1"/>
      <c r="G1147" s="37"/>
      <c r="H1147" s="46">
        <v>46169.0</v>
      </c>
      <c r="I1147" s="37" t="s">
        <v>1289</v>
      </c>
      <c r="J1147" s="17"/>
      <c r="K1147" s="17"/>
      <c r="L1147" s="37" t="s">
        <v>189</v>
      </c>
      <c r="M1147" s="37"/>
      <c r="N1147" s="17"/>
      <c r="O1147" s="1"/>
      <c r="P1147" s="15"/>
      <c r="Q1147" s="15"/>
      <c r="R1147" s="1"/>
      <c r="S1147" s="1"/>
    </row>
    <row r="1148">
      <c r="A1148" s="1"/>
      <c r="B1148" s="3">
        <f t="shared" si="3"/>
        <v>1144</v>
      </c>
      <c r="C1148" s="31" t="s">
        <v>2470</v>
      </c>
      <c r="D1148" s="37" t="s">
        <v>44</v>
      </c>
      <c r="E1148" s="37" t="s">
        <v>2465</v>
      </c>
      <c r="F1148" s="43" t="s">
        <v>2471</v>
      </c>
      <c r="G1148" s="37"/>
      <c r="H1148" s="46">
        <v>46169.0</v>
      </c>
      <c r="I1148" s="37" t="s">
        <v>1289</v>
      </c>
      <c r="J1148" s="17"/>
      <c r="K1148" s="17"/>
      <c r="L1148" s="37" t="s">
        <v>58</v>
      </c>
      <c r="M1148" s="37" t="s">
        <v>73</v>
      </c>
      <c r="N1148" s="17"/>
      <c r="O1148" s="1"/>
      <c r="P1148" s="15"/>
      <c r="Q1148" s="15"/>
      <c r="R1148" s="1"/>
      <c r="S1148" s="1"/>
    </row>
    <row r="1149">
      <c r="A1149" s="1"/>
      <c r="B1149" s="3">
        <f t="shared" si="3"/>
        <v>1145</v>
      </c>
      <c r="C1149" s="31" t="s">
        <v>2472</v>
      </c>
      <c r="D1149" s="37" t="s">
        <v>44</v>
      </c>
      <c r="E1149" s="37" t="s">
        <v>1533</v>
      </c>
      <c r="F1149" s="43" t="s">
        <v>2473</v>
      </c>
      <c r="G1149" s="37"/>
      <c r="H1149" s="140">
        <v>46169.0</v>
      </c>
      <c r="I1149" s="37" t="s">
        <v>1289</v>
      </c>
      <c r="J1149" s="17"/>
      <c r="K1149" s="17"/>
      <c r="L1149" s="37" t="s">
        <v>58</v>
      </c>
      <c r="M1149" s="37" t="s">
        <v>73</v>
      </c>
      <c r="N1149" s="17" t="s">
        <v>28</v>
      </c>
      <c r="O1149" s="1"/>
      <c r="P1149" s="15"/>
      <c r="Q1149" s="15"/>
      <c r="R1149" s="1"/>
      <c r="S1149" s="1"/>
    </row>
    <row r="1150">
      <c r="A1150" s="1"/>
      <c r="B1150" s="3">
        <f t="shared" si="3"/>
        <v>1146</v>
      </c>
      <c r="C1150" s="31" t="s">
        <v>2474</v>
      </c>
      <c r="D1150" s="37" t="s">
        <v>159</v>
      </c>
      <c r="E1150" s="37" t="s">
        <v>1533</v>
      </c>
      <c r="F1150" s="43" t="s">
        <v>2475</v>
      </c>
      <c r="G1150" s="37"/>
      <c r="H1150" s="46">
        <v>46169.0</v>
      </c>
      <c r="I1150" s="37" t="s">
        <v>1289</v>
      </c>
      <c r="J1150" s="17"/>
      <c r="K1150" s="17"/>
      <c r="L1150" s="37" t="s">
        <v>58</v>
      </c>
      <c r="M1150" s="37"/>
      <c r="N1150" s="17"/>
      <c r="O1150" s="1"/>
      <c r="P1150" s="15"/>
      <c r="Q1150" s="15"/>
      <c r="R1150" s="1"/>
      <c r="S1150" s="1"/>
    </row>
    <row r="1151">
      <c r="A1151" s="1"/>
      <c r="B1151" s="3">
        <f t="shared" si="3"/>
        <v>1147</v>
      </c>
      <c r="C1151" s="31" t="s">
        <v>2476</v>
      </c>
      <c r="D1151" s="37" t="s">
        <v>38</v>
      </c>
      <c r="E1151" s="37" t="s">
        <v>600</v>
      </c>
      <c r="F1151" s="43" t="s">
        <v>2477</v>
      </c>
      <c r="G1151" s="37"/>
      <c r="H1151" s="46">
        <v>46169.0</v>
      </c>
      <c r="I1151" s="37" t="s">
        <v>1289</v>
      </c>
      <c r="J1151" s="17"/>
      <c r="K1151" s="17"/>
      <c r="L1151" s="37" t="s">
        <v>58</v>
      </c>
      <c r="M1151" s="37"/>
      <c r="N1151" s="17"/>
      <c r="O1151" s="1"/>
      <c r="P1151" s="15"/>
      <c r="Q1151" s="15"/>
      <c r="R1151" s="1"/>
      <c r="S1151" s="1"/>
    </row>
    <row r="1152">
      <c r="A1152" s="1"/>
      <c r="B1152" s="3">
        <f t="shared" si="3"/>
        <v>1148</v>
      </c>
      <c r="C1152" s="31" t="s">
        <v>2478</v>
      </c>
      <c r="D1152" s="37" t="s">
        <v>83</v>
      </c>
      <c r="E1152" s="37" t="s">
        <v>1398</v>
      </c>
      <c r="F1152" s="43" t="s">
        <v>2479</v>
      </c>
      <c r="G1152" s="37"/>
      <c r="H1152" s="46">
        <v>46169.0</v>
      </c>
      <c r="I1152" s="37" t="s">
        <v>1289</v>
      </c>
      <c r="J1152" s="17"/>
      <c r="K1152" s="17"/>
      <c r="L1152" s="37" t="s">
        <v>58</v>
      </c>
      <c r="M1152" s="37"/>
      <c r="N1152" s="17"/>
      <c r="O1152" s="1"/>
      <c r="P1152" s="15"/>
      <c r="Q1152" s="15"/>
      <c r="R1152" s="1"/>
      <c r="S1152" s="1"/>
    </row>
    <row r="1153">
      <c r="A1153" s="1"/>
      <c r="B1153" s="3">
        <f t="shared" si="3"/>
        <v>1149</v>
      </c>
      <c r="C1153" s="31" t="s">
        <v>2480</v>
      </c>
      <c r="D1153" s="37" t="s">
        <v>112</v>
      </c>
      <c r="E1153" s="37" t="s">
        <v>2465</v>
      </c>
      <c r="F1153" s="43" t="s">
        <v>2481</v>
      </c>
      <c r="G1153" s="37"/>
      <c r="H1153" s="46">
        <v>46169.0</v>
      </c>
      <c r="I1153" s="37" t="s">
        <v>1289</v>
      </c>
      <c r="J1153" s="17"/>
      <c r="K1153" s="17"/>
      <c r="L1153" s="37" t="s">
        <v>189</v>
      </c>
      <c r="M1153" s="37"/>
      <c r="N1153" s="17"/>
      <c r="O1153" s="1"/>
      <c r="P1153" s="15"/>
      <c r="Q1153" s="15"/>
      <c r="R1153" s="1"/>
      <c r="S1153" s="1"/>
    </row>
    <row r="1154">
      <c r="A1154" s="1"/>
      <c r="B1154" s="3">
        <f t="shared" si="3"/>
        <v>1150</v>
      </c>
      <c r="C1154" s="31" t="s">
        <v>2482</v>
      </c>
      <c r="D1154" s="37" t="s">
        <v>44</v>
      </c>
      <c r="E1154" s="37" t="s">
        <v>2483</v>
      </c>
      <c r="F1154" s="43" t="s">
        <v>2484</v>
      </c>
      <c r="G1154" s="37"/>
      <c r="H1154" s="46">
        <v>46177.0</v>
      </c>
      <c r="I1154" s="37" t="s">
        <v>1289</v>
      </c>
      <c r="J1154" s="17"/>
      <c r="K1154" s="17"/>
      <c r="L1154" s="37" t="s">
        <v>58</v>
      </c>
      <c r="M1154" s="37" t="s">
        <v>78</v>
      </c>
      <c r="N1154" s="17" t="s">
        <v>28</v>
      </c>
      <c r="O1154" s="1"/>
      <c r="P1154" s="67" t="s">
        <v>2485</v>
      </c>
      <c r="Q1154" s="15"/>
      <c r="R1154" s="1"/>
      <c r="S1154" s="1"/>
    </row>
    <row r="1155">
      <c r="A1155" s="1"/>
      <c r="B1155" s="3">
        <f t="shared" si="3"/>
        <v>1151</v>
      </c>
      <c r="C1155" s="31" t="s">
        <v>2486</v>
      </c>
      <c r="D1155" s="37" t="s">
        <v>44</v>
      </c>
      <c r="E1155" s="37" t="s">
        <v>2465</v>
      </c>
      <c r="F1155" s="43" t="s">
        <v>2486</v>
      </c>
      <c r="G1155" s="37"/>
      <c r="H1155" s="46">
        <v>46177.0</v>
      </c>
      <c r="I1155" s="37" t="s">
        <v>1289</v>
      </c>
      <c r="J1155" s="17"/>
      <c r="K1155" s="17"/>
      <c r="L1155" s="37" t="s">
        <v>58</v>
      </c>
      <c r="M1155" s="37" t="s">
        <v>60</v>
      </c>
      <c r="N1155" s="17"/>
      <c r="O1155" s="1"/>
      <c r="P1155" s="15"/>
      <c r="Q1155" s="15"/>
      <c r="R1155" s="1"/>
      <c r="S1155" s="1"/>
    </row>
    <row r="1156">
      <c r="A1156" s="1"/>
      <c r="B1156" s="3">
        <f t="shared" si="3"/>
        <v>1152</v>
      </c>
      <c r="C1156" s="31" t="s">
        <v>2487</v>
      </c>
      <c r="D1156" s="37" t="s">
        <v>38</v>
      </c>
      <c r="E1156" s="37" t="s">
        <v>600</v>
      </c>
      <c r="F1156" s="43" t="s">
        <v>2488</v>
      </c>
      <c r="G1156" s="37"/>
      <c r="H1156" s="46">
        <v>46177.0</v>
      </c>
      <c r="I1156" s="37" t="s">
        <v>1289</v>
      </c>
      <c r="J1156" s="17"/>
      <c r="K1156" s="17"/>
      <c r="L1156" s="37" t="s">
        <v>58</v>
      </c>
      <c r="M1156" s="37" t="s">
        <v>60</v>
      </c>
      <c r="N1156" s="17"/>
      <c r="O1156" s="1"/>
      <c r="P1156" s="15"/>
      <c r="Q1156" s="15"/>
      <c r="R1156" s="1"/>
      <c r="S1156" s="1"/>
    </row>
    <row r="1157">
      <c r="A1157" s="1"/>
      <c r="B1157" s="3">
        <f t="shared" si="3"/>
        <v>1153</v>
      </c>
      <c r="C1157" s="31" t="s">
        <v>2489</v>
      </c>
      <c r="D1157" s="37" t="s">
        <v>44</v>
      </c>
      <c r="E1157" s="37" t="s">
        <v>600</v>
      </c>
      <c r="F1157" s="43" t="s">
        <v>2490</v>
      </c>
      <c r="G1157" s="37"/>
      <c r="H1157" s="46">
        <v>46177.0</v>
      </c>
      <c r="I1157" s="37" t="s">
        <v>1289</v>
      </c>
      <c r="J1157" s="17"/>
      <c r="K1157" s="17"/>
      <c r="L1157" s="37" t="s">
        <v>58</v>
      </c>
      <c r="M1157" s="37" t="s">
        <v>63</v>
      </c>
      <c r="N1157" s="17"/>
      <c r="O1157" s="1"/>
      <c r="P1157" s="15"/>
      <c r="Q1157" s="15"/>
      <c r="R1157" s="1"/>
      <c r="S1157" s="1"/>
    </row>
    <row r="1158">
      <c r="A1158" s="1"/>
      <c r="B1158" s="3">
        <f t="shared" si="3"/>
        <v>1154</v>
      </c>
      <c r="C1158" s="31" t="s">
        <v>2491</v>
      </c>
      <c r="D1158" s="37" t="s">
        <v>44</v>
      </c>
      <c r="E1158" s="37" t="s">
        <v>2492</v>
      </c>
      <c r="F1158" s="43" t="s">
        <v>2493</v>
      </c>
      <c r="G1158" s="37"/>
      <c r="H1158" s="46" t="s">
        <v>2494</v>
      </c>
      <c r="I1158" s="37" t="s">
        <v>1289</v>
      </c>
      <c r="J1158" s="17"/>
      <c r="K1158" s="17"/>
      <c r="L1158" s="37" t="s">
        <v>189</v>
      </c>
      <c r="M1158" s="37"/>
      <c r="N1158" s="17"/>
      <c r="O1158" s="1"/>
      <c r="P1158" s="15"/>
      <c r="Q1158" s="15"/>
      <c r="R1158" s="1"/>
      <c r="S1158" s="1"/>
    </row>
    <row r="1159">
      <c r="A1159" s="1"/>
      <c r="B1159" s="3">
        <f t="shared" si="3"/>
        <v>1155</v>
      </c>
      <c r="C1159" s="31" t="s">
        <v>2495</v>
      </c>
      <c r="D1159" s="37" t="s">
        <v>83</v>
      </c>
      <c r="E1159" s="37" t="s">
        <v>2496</v>
      </c>
      <c r="F1159" s="43" t="s">
        <v>2497</v>
      </c>
      <c r="G1159" s="37"/>
      <c r="H1159" s="46">
        <v>46177.0</v>
      </c>
      <c r="I1159" s="37" t="s">
        <v>1289</v>
      </c>
      <c r="J1159" s="17"/>
      <c r="K1159" s="17"/>
      <c r="L1159" s="37" t="s">
        <v>58</v>
      </c>
      <c r="M1159" s="37" t="s">
        <v>45</v>
      </c>
      <c r="N1159" s="17" t="s">
        <v>28</v>
      </c>
      <c r="O1159" s="1"/>
      <c r="P1159" s="67" t="s">
        <v>2498</v>
      </c>
      <c r="Q1159" s="15"/>
      <c r="R1159" s="1"/>
      <c r="S1159" s="1"/>
    </row>
    <row r="1160">
      <c r="A1160" s="1"/>
      <c r="B1160" s="3">
        <f t="shared" si="3"/>
        <v>1156</v>
      </c>
      <c r="C1160" s="31" t="s">
        <v>2499</v>
      </c>
      <c r="D1160" s="37" t="s">
        <v>112</v>
      </c>
      <c r="E1160" s="37"/>
      <c r="F1160" s="43" t="s">
        <v>2500</v>
      </c>
      <c r="G1160" s="37"/>
      <c r="H1160" s="46">
        <v>46177.0</v>
      </c>
      <c r="I1160" s="37" t="s">
        <v>1289</v>
      </c>
      <c r="J1160" s="17"/>
      <c r="K1160" s="17" t="s">
        <v>571</v>
      </c>
      <c r="L1160" s="37" t="s">
        <v>58</v>
      </c>
      <c r="M1160" s="37"/>
      <c r="N1160" s="17"/>
      <c r="O1160" s="1"/>
      <c r="P1160" s="67" t="s">
        <v>2501</v>
      </c>
      <c r="Q1160" s="15"/>
      <c r="R1160" s="1"/>
      <c r="S1160" s="1"/>
    </row>
    <row r="1161">
      <c r="A1161" s="1"/>
      <c r="B1161" s="3">
        <f t="shared" si="3"/>
        <v>1157</v>
      </c>
      <c r="C1161" s="31" t="s">
        <v>2502</v>
      </c>
      <c r="D1161" s="37" t="s">
        <v>38</v>
      </c>
      <c r="E1161" s="37" t="s">
        <v>1332</v>
      </c>
      <c r="F1161" s="43" t="s">
        <v>2503</v>
      </c>
      <c r="G1161" s="37"/>
      <c r="H1161" s="46">
        <v>46177.0</v>
      </c>
      <c r="I1161" s="37" t="s">
        <v>1289</v>
      </c>
      <c r="J1161" s="17"/>
      <c r="K1161" s="17" t="s">
        <v>2504</v>
      </c>
      <c r="L1161" s="37" t="s">
        <v>58</v>
      </c>
      <c r="M1161" s="37"/>
      <c r="N1161" s="17"/>
      <c r="O1161" s="1"/>
      <c r="P1161" s="15"/>
      <c r="Q1161" s="15"/>
      <c r="R1161" s="1"/>
      <c r="S1161" s="1"/>
    </row>
    <row r="1162">
      <c r="A1162" s="1"/>
      <c r="B1162" s="3">
        <f t="shared" si="3"/>
        <v>1158</v>
      </c>
      <c r="C1162" s="31" t="s">
        <v>2505</v>
      </c>
      <c r="D1162" s="37" t="s">
        <v>56</v>
      </c>
      <c r="E1162" s="37" t="s">
        <v>1285</v>
      </c>
      <c r="F1162" s="43" t="s">
        <v>2505</v>
      </c>
      <c r="G1162" s="37"/>
      <c r="H1162" s="46">
        <v>46177.0</v>
      </c>
      <c r="I1162" s="37" t="s">
        <v>1289</v>
      </c>
      <c r="J1162" s="17"/>
      <c r="K1162" s="17" t="s">
        <v>518</v>
      </c>
      <c r="L1162" s="37" t="s">
        <v>58</v>
      </c>
      <c r="M1162" s="37" t="s">
        <v>78</v>
      </c>
      <c r="N1162" s="17"/>
      <c r="O1162" s="1"/>
      <c r="P1162" s="15"/>
      <c r="Q1162" s="15"/>
      <c r="R1162" s="1"/>
      <c r="S1162" s="1"/>
    </row>
    <row r="1163">
      <c r="A1163" s="1"/>
      <c r="B1163" s="3">
        <f t="shared" si="3"/>
        <v>1159</v>
      </c>
      <c r="C1163" s="31" t="s">
        <v>2506</v>
      </c>
      <c r="D1163" s="37" t="s">
        <v>56</v>
      </c>
      <c r="E1163" s="37" t="s">
        <v>1285</v>
      </c>
      <c r="F1163" s="43" t="s">
        <v>2507</v>
      </c>
      <c r="G1163" s="37"/>
      <c r="H1163" s="46">
        <v>46177.0</v>
      </c>
      <c r="I1163" s="37" t="s">
        <v>1289</v>
      </c>
      <c r="J1163" s="17"/>
      <c r="K1163" s="17"/>
      <c r="L1163" s="37" t="s">
        <v>189</v>
      </c>
      <c r="M1163" s="37"/>
      <c r="N1163" s="17"/>
      <c r="O1163" s="1"/>
      <c r="P1163" s="15"/>
      <c r="Q1163" s="15"/>
      <c r="R1163" s="1"/>
      <c r="S1163" s="1"/>
    </row>
    <row r="1164">
      <c r="A1164" s="1"/>
      <c r="B1164" s="3">
        <f t="shared" si="3"/>
        <v>1160</v>
      </c>
      <c r="C1164" s="31" t="s">
        <v>2508</v>
      </c>
      <c r="D1164" s="37" t="s">
        <v>56</v>
      </c>
      <c r="E1164" s="37" t="s">
        <v>1379</v>
      </c>
      <c r="F1164" s="43" t="s">
        <v>2509</v>
      </c>
      <c r="G1164" s="37"/>
      <c r="H1164" s="46">
        <v>46177.0</v>
      </c>
      <c r="I1164" s="37" t="s">
        <v>1289</v>
      </c>
      <c r="J1164" s="17"/>
      <c r="K1164" s="17" t="s">
        <v>571</v>
      </c>
      <c r="L1164" s="37" t="s">
        <v>58</v>
      </c>
      <c r="M1164" s="37" t="s">
        <v>60</v>
      </c>
      <c r="N1164" s="17"/>
      <c r="O1164" s="1"/>
      <c r="P1164" s="67" t="s">
        <v>2510</v>
      </c>
      <c r="Q1164" s="15"/>
      <c r="R1164" s="1"/>
      <c r="S1164" s="1"/>
    </row>
    <row r="1165">
      <c r="A1165" s="1"/>
      <c r="B1165" s="3">
        <f t="shared" si="3"/>
        <v>1161</v>
      </c>
      <c r="C1165" s="31" t="s">
        <v>2511</v>
      </c>
      <c r="D1165" s="37" t="s">
        <v>56</v>
      </c>
      <c r="E1165" s="37" t="s">
        <v>2512</v>
      </c>
      <c r="F1165" s="1"/>
      <c r="G1165" s="37"/>
      <c r="H1165" s="46">
        <v>46177.0</v>
      </c>
      <c r="I1165" s="37" t="s">
        <v>1289</v>
      </c>
      <c r="J1165" s="17"/>
      <c r="K1165" s="17"/>
      <c r="L1165" s="37" t="s">
        <v>58</v>
      </c>
      <c r="M1165" s="37"/>
      <c r="N1165" s="17"/>
      <c r="O1165" s="1"/>
      <c r="P1165" s="15"/>
      <c r="Q1165" s="15"/>
      <c r="R1165" s="1"/>
      <c r="S1165" s="1"/>
    </row>
    <row r="1166">
      <c r="A1166" s="1"/>
      <c r="B1166" s="3">
        <f t="shared" si="3"/>
        <v>1162</v>
      </c>
      <c r="C1166" s="31" t="s">
        <v>2513</v>
      </c>
      <c r="D1166" s="37" t="s">
        <v>159</v>
      </c>
      <c r="E1166" s="37" t="s">
        <v>1710</v>
      </c>
      <c r="F1166" s="1"/>
      <c r="G1166" s="37"/>
      <c r="H1166" s="46">
        <v>46177.0</v>
      </c>
      <c r="I1166" s="37" t="s">
        <v>1289</v>
      </c>
      <c r="J1166" s="17"/>
      <c r="K1166" s="17"/>
      <c r="L1166" s="37" t="s">
        <v>189</v>
      </c>
      <c r="M1166" s="37"/>
      <c r="N1166" s="17"/>
      <c r="O1166" s="1"/>
      <c r="P1166" s="67" t="s">
        <v>2514</v>
      </c>
      <c r="Q1166" s="15"/>
      <c r="R1166" s="1"/>
      <c r="S1166" s="1"/>
    </row>
    <row r="1167">
      <c r="A1167" s="1"/>
      <c r="B1167" s="3">
        <f t="shared" si="3"/>
        <v>1163</v>
      </c>
      <c r="C1167" s="31" t="s">
        <v>2515</v>
      </c>
      <c r="D1167" s="37" t="s">
        <v>104</v>
      </c>
      <c r="E1167" s="37" t="s">
        <v>2516</v>
      </c>
      <c r="F1167" s="1"/>
      <c r="G1167" s="37"/>
      <c r="H1167" s="46">
        <v>46177.0</v>
      </c>
      <c r="I1167" s="37"/>
      <c r="J1167" s="17"/>
      <c r="K1167" s="17" t="s">
        <v>2517</v>
      </c>
      <c r="L1167" s="37" t="s">
        <v>189</v>
      </c>
      <c r="M1167" s="37"/>
      <c r="N1167" s="17"/>
      <c r="O1167" s="1"/>
      <c r="P1167" s="67" t="s">
        <v>2518</v>
      </c>
      <c r="Q1167" s="15"/>
      <c r="R1167" s="1"/>
      <c r="S1167" s="1"/>
    </row>
    <row r="1168">
      <c r="A1168" s="1"/>
      <c r="B1168" s="3">
        <f t="shared" si="3"/>
        <v>1164</v>
      </c>
      <c r="C1168" s="31" t="s">
        <v>2519</v>
      </c>
      <c r="D1168" s="37" t="s">
        <v>116</v>
      </c>
      <c r="E1168" s="37" t="s">
        <v>2520</v>
      </c>
      <c r="F1168" s="43" t="s">
        <v>2521</v>
      </c>
      <c r="G1168" s="37"/>
      <c r="H1168" s="46">
        <v>46177.0</v>
      </c>
      <c r="I1168" s="37"/>
      <c r="J1168" s="17"/>
      <c r="K1168" s="17" t="s">
        <v>540</v>
      </c>
      <c r="L1168" s="37" t="s">
        <v>58</v>
      </c>
      <c r="M1168" s="37"/>
      <c r="N1168" s="17"/>
      <c r="O1168" s="1"/>
      <c r="P1168" s="15"/>
      <c r="Q1168" s="15"/>
      <c r="R1168" s="1"/>
      <c r="S1168" s="1"/>
    </row>
    <row r="1169">
      <c r="A1169" s="1"/>
      <c r="B1169" s="3">
        <f t="shared" si="3"/>
        <v>1165</v>
      </c>
      <c r="C1169" s="31" t="s">
        <v>2522</v>
      </c>
      <c r="D1169" s="37" t="s">
        <v>116</v>
      </c>
      <c r="E1169" s="37" t="s">
        <v>2523</v>
      </c>
      <c r="F1169" s="43" t="s">
        <v>2522</v>
      </c>
      <c r="G1169" s="37"/>
      <c r="H1169" s="46">
        <v>46177.0</v>
      </c>
      <c r="I1169" s="37"/>
      <c r="J1169" s="17"/>
      <c r="K1169" s="17" t="s">
        <v>2524</v>
      </c>
      <c r="L1169" s="37" t="s">
        <v>58</v>
      </c>
      <c r="M1169" s="37"/>
      <c r="N1169" s="17"/>
      <c r="O1169" s="1"/>
      <c r="P1169" s="15"/>
      <c r="Q1169" s="15"/>
      <c r="R1169" s="1"/>
      <c r="S1169" s="1"/>
    </row>
    <row r="1170">
      <c r="A1170" s="1"/>
      <c r="B1170" s="3">
        <f t="shared" si="3"/>
        <v>1166</v>
      </c>
      <c r="C1170" s="31" t="s">
        <v>2525</v>
      </c>
      <c r="D1170" s="37" t="s">
        <v>116</v>
      </c>
      <c r="E1170" s="37" t="s">
        <v>2526</v>
      </c>
      <c r="F1170" s="43" t="s">
        <v>2527</v>
      </c>
      <c r="G1170" s="37"/>
      <c r="H1170" s="46">
        <v>46177.0</v>
      </c>
      <c r="I1170" s="37"/>
      <c r="J1170" s="17"/>
      <c r="K1170" s="17" t="s">
        <v>2528</v>
      </c>
      <c r="L1170" s="37" t="s">
        <v>58</v>
      </c>
      <c r="M1170" s="37"/>
      <c r="N1170" s="17"/>
      <c r="O1170" s="1"/>
      <c r="P1170" s="15"/>
      <c r="Q1170" s="15"/>
      <c r="R1170" s="1"/>
      <c r="S1170" s="1"/>
    </row>
    <row r="1171">
      <c r="A1171" s="1"/>
      <c r="B1171" s="3">
        <f t="shared" si="3"/>
        <v>1167</v>
      </c>
      <c r="C1171" s="31" t="s">
        <v>2529</v>
      </c>
      <c r="D1171" s="37" t="s">
        <v>116</v>
      </c>
      <c r="E1171" s="37" t="s">
        <v>2339</v>
      </c>
      <c r="F1171" s="43" t="s">
        <v>2530</v>
      </c>
      <c r="G1171" s="37"/>
      <c r="H1171" s="46">
        <v>46177.0</v>
      </c>
      <c r="I1171" s="37"/>
      <c r="J1171" s="17"/>
      <c r="K1171" s="17" t="s">
        <v>2531</v>
      </c>
      <c r="L1171" s="37" t="s">
        <v>58</v>
      </c>
      <c r="M1171" s="37"/>
      <c r="N1171" s="17"/>
      <c r="O1171" s="1"/>
      <c r="P1171" s="15"/>
      <c r="Q1171" s="15"/>
      <c r="R1171" s="1"/>
      <c r="S1171" s="1"/>
    </row>
    <row r="1172">
      <c r="A1172" s="1"/>
      <c r="B1172" s="3">
        <f t="shared" si="3"/>
        <v>1168</v>
      </c>
      <c r="C1172" s="31" t="s">
        <v>2532</v>
      </c>
      <c r="D1172" s="37" t="s">
        <v>44</v>
      </c>
      <c r="E1172" s="37" t="s">
        <v>600</v>
      </c>
      <c r="F1172" s="43" t="s">
        <v>2533</v>
      </c>
      <c r="G1172" s="37"/>
      <c r="H1172" s="46">
        <v>46177.0</v>
      </c>
      <c r="I1172" s="37"/>
      <c r="J1172" s="17"/>
      <c r="K1172" s="17" t="s">
        <v>533</v>
      </c>
      <c r="L1172" s="37" t="s">
        <v>58</v>
      </c>
      <c r="M1172" s="37"/>
      <c r="N1172" s="17"/>
      <c r="O1172" s="1"/>
      <c r="P1172" s="15"/>
      <c r="Q1172" s="15"/>
      <c r="R1172" s="1"/>
      <c r="S1172" s="1"/>
    </row>
    <row r="1173">
      <c r="A1173" s="1"/>
      <c r="B1173" s="3">
        <f t="shared" si="3"/>
        <v>1169</v>
      </c>
      <c r="C1173" s="31" t="s">
        <v>2534</v>
      </c>
      <c r="D1173" s="37" t="s">
        <v>44</v>
      </c>
      <c r="E1173" s="37" t="s">
        <v>1533</v>
      </c>
      <c r="F1173" s="43" t="s">
        <v>2535</v>
      </c>
      <c r="G1173" s="37"/>
      <c r="H1173" s="46">
        <v>46177.0</v>
      </c>
      <c r="I1173" s="37"/>
      <c r="J1173" s="17"/>
      <c r="K1173" s="17" t="s">
        <v>2536</v>
      </c>
      <c r="L1173" s="37" t="s">
        <v>58</v>
      </c>
      <c r="M1173" s="37"/>
      <c r="N1173" s="17"/>
      <c r="O1173" s="1"/>
      <c r="P1173" s="67" t="s">
        <v>2537</v>
      </c>
      <c r="Q1173" s="15"/>
      <c r="R1173" s="1"/>
      <c r="S1173" s="1"/>
    </row>
    <row r="1174">
      <c r="A1174" s="1"/>
      <c r="B1174" s="3">
        <f t="shared" si="3"/>
        <v>1170</v>
      </c>
      <c r="C1174" s="31" t="s">
        <v>2538</v>
      </c>
      <c r="D1174" s="37" t="s">
        <v>44</v>
      </c>
      <c r="E1174" s="37" t="s">
        <v>2539</v>
      </c>
      <c r="F1174" s="1"/>
      <c r="G1174" s="37"/>
      <c r="H1174" s="46">
        <v>46177.0</v>
      </c>
      <c r="I1174" s="37"/>
      <c r="J1174" s="17"/>
      <c r="K1174" s="17" t="s">
        <v>2540</v>
      </c>
      <c r="L1174" s="37" t="s">
        <v>58</v>
      </c>
      <c r="M1174" s="37"/>
      <c r="N1174" s="17"/>
      <c r="O1174" s="1"/>
      <c r="P1174" s="15"/>
      <c r="Q1174" s="15"/>
      <c r="R1174" s="1"/>
      <c r="S1174" s="1"/>
    </row>
    <row r="1175">
      <c r="A1175" s="1"/>
      <c r="B1175" s="3">
        <f t="shared" si="3"/>
        <v>1171</v>
      </c>
      <c r="C1175" s="31" t="s">
        <v>2541</v>
      </c>
      <c r="D1175" s="37" t="s">
        <v>44</v>
      </c>
      <c r="E1175" s="37" t="s">
        <v>1379</v>
      </c>
      <c r="F1175" s="1"/>
      <c r="G1175" s="37"/>
      <c r="H1175" s="46">
        <v>46177.0</v>
      </c>
      <c r="I1175" s="37"/>
      <c r="J1175" s="17"/>
      <c r="K1175" s="17" t="s">
        <v>923</v>
      </c>
      <c r="L1175" s="37" t="s">
        <v>58</v>
      </c>
      <c r="M1175" s="37"/>
      <c r="N1175" s="17"/>
      <c r="O1175" s="1"/>
      <c r="P1175" s="15"/>
      <c r="Q1175" s="15"/>
      <c r="R1175" s="1"/>
      <c r="S1175" s="1"/>
    </row>
    <row r="1176">
      <c r="A1176" s="1"/>
      <c r="B1176" s="3">
        <f t="shared" si="3"/>
        <v>1172</v>
      </c>
      <c r="C1176" s="31" t="s">
        <v>2542</v>
      </c>
      <c r="D1176" s="37" t="s">
        <v>44</v>
      </c>
      <c r="E1176" s="37" t="s">
        <v>1285</v>
      </c>
      <c r="F1176" s="43" t="s">
        <v>2542</v>
      </c>
      <c r="G1176" s="37"/>
      <c r="H1176" s="46">
        <v>46177.0</v>
      </c>
      <c r="I1176" s="37"/>
      <c r="J1176" s="17"/>
      <c r="K1176" s="17" t="s">
        <v>518</v>
      </c>
      <c r="L1176" s="37" t="s">
        <v>58</v>
      </c>
      <c r="M1176" s="37" t="s">
        <v>78</v>
      </c>
      <c r="N1176" s="17"/>
      <c r="O1176" s="1"/>
      <c r="P1176" s="67" t="s">
        <v>2543</v>
      </c>
      <c r="Q1176" s="15"/>
      <c r="R1176" s="1"/>
      <c r="S1176" s="1"/>
    </row>
    <row r="1177">
      <c r="A1177" s="1"/>
      <c r="B1177" s="3">
        <f t="shared" si="3"/>
        <v>1173</v>
      </c>
      <c r="C1177" s="31" t="s">
        <v>2544</v>
      </c>
      <c r="D1177" s="37" t="s">
        <v>44</v>
      </c>
      <c r="E1177" s="37" t="s">
        <v>1574</v>
      </c>
      <c r="F1177" s="43" t="s">
        <v>2545</v>
      </c>
      <c r="G1177" s="37"/>
      <c r="H1177" s="46">
        <v>46177.0</v>
      </c>
      <c r="I1177" s="37"/>
      <c r="J1177" s="17"/>
      <c r="K1177" s="17" t="s">
        <v>571</v>
      </c>
      <c r="L1177" s="37" t="s">
        <v>58</v>
      </c>
      <c r="M1177" s="37"/>
      <c r="N1177" s="17"/>
      <c r="O1177" s="1"/>
      <c r="P1177" s="15"/>
      <c r="Q1177" s="15"/>
      <c r="R1177" s="1"/>
      <c r="S1177" s="1"/>
    </row>
    <row r="1178">
      <c r="A1178" s="1"/>
      <c r="B1178" s="3">
        <f t="shared" si="3"/>
        <v>1174</v>
      </c>
      <c r="C1178" s="31" t="s">
        <v>2546</v>
      </c>
      <c r="D1178" s="37" t="s">
        <v>49</v>
      </c>
      <c r="E1178" s="37" t="s">
        <v>2547</v>
      </c>
      <c r="F1178" s="43" t="s">
        <v>2546</v>
      </c>
      <c r="G1178" s="37"/>
      <c r="H1178" s="46">
        <v>46177.0</v>
      </c>
      <c r="I1178" s="37"/>
      <c r="J1178" s="17"/>
      <c r="K1178" s="17" t="s">
        <v>571</v>
      </c>
      <c r="L1178" s="37" t="s">
        <v>58</v>
      </c>
      <c r="M1178" s="37"/>
      <c r="N1178" s="17"/>
      <c r="O1178" s="1"/>
      <c r="P1178" s="15"/>
      <c r="Q1178" s="15"/>
      <c r="R1178" s="1"/>
      <c r="S1178" s="1"/>
    </row>
    <row r="1179">
      <c r="A1179" s="1"/>
      <c r="B1179" s="3">
        <f t="shared" si="3"/>
        <v>1175</v>
      </c>
      <c r="C1179" s="31" t="s">
        <v>2548</v>
      </c>
      <c r="D1179" s="37" t="s">
        <v>497</v>
      </c>
      <c r="E1179" s="37" t="s">
        <v>2549</v>
      </c>
      <c r="F1179" s="43" t="s">
        <v>2548</v>
      </c>
      <c r="G1179" s="37"/>
      <c r="H1179" s="46">
        <v>46177.0</v>
      </c>
      <c r="I1179" s="37"/>
      <c r="J1179" s="17" t="s">
        <v>2550</v>
      </c>
      <c r="K1179" s="17" t="s">
        <v>2551</v>
      </c>
      <c r="L1179" s="37" t="s">
        <v>58</v>
      </c>
      <c r="M1179" s="37"/>
      <c r="N1179" s="17"/>
      <c r="O1179" s="1"/>
      <c r="P1179" s="15"/>
      <c r="Q1179" s="15"/>
      <c r="R1179" s="1"/>
      <c r="S1179" s="1"/>
    </row>
    <row r="1180">
      <c r="A1180" s="1"/>
      <c r="B1180" s="3">
        <f t="shared" si="3"/>
        <v>1176</v>
      </c>
      <c r="C1180" s="31" t="s">
        <v>2552</v>
      </c>
      <c r="D1180" s="37" t="s">
        <v>497</v>
      </c>
      <c r="E1180" s="37" t="s">
        <v>2553</v>
      </c>
      <c r="F1180" s="43" t="s">
        <v>2552</v>
      </c>
      <c r="G1180" s="37"/>
      <c r="H1180" s="46">
        <v>46177.0</v>
      </c>
      <c r="I1180" s="37"/>
      <c r="J1180" s="17"/>
      <c r="K1180" s="17" t="s">
        <v>2531</v>
      </c>
      <c r="L1180" s="37" t="s">
        <v>58</v>
      </c>
      <c r="M1180" s="37"/>
      <c r="N1180" s="17"/>
      <c r="O1180" s="1"/>
      <c r="P1180" s="15"/>
      <c r="Q1180" s="15"/>
      <c r="R1180" s="1"/>
      <c r="S1180" s="1"/>
    </row>
    <row r="1181">
      <c r="A1181" s="1"/>
      <c r="B1181" s="3">
        <f t="shared" si="3"/>
        <v>1177</v>
      </c>
      <c r="C1181" s="31" t="s">
        <v>2554</v>
      </c>
      <c r="D1181" s="37" t="s">
        <v>49</v>
      </c>
      <c r="E1181" s="37" t="s">
        <v>600</v>
      </c>
      <c r="F1181" s="43" t="s">
        <v>2555</v>
      </c>
      <c r="G1181" s="37"/>
      <c r="H1181" s="46">
        <v>46177.0</v>
      </c>
      <c r="I1181" s="37"/>
      <c r="J1181" s="17"/>
      <c r="K1181" s="17" t="s">
        <v>2556</v>
      </c>
      <c r="L1181" s="37" t="s">
        <v>58</v>
      </c>
      <c r="M1181" s="37"/>
      <c r="N1181" s="17"/>
      <c r="O1181" s="1"/>
      <c r="P1181" s="15"/>
      <c r="Q1181" s="15"/>
      <c r="R1181" s="1"/>
      <c r="S1181" s="1"/>
    </row>
    <row r="1182">
      <c r="A1182" s="1"/>
      <c r="B1182" s="3">
        <f t="shared" si="3"/>
        <v>1178</v>
      </c>
      <c r="C1182" s="31" t="s">
        <v>2557</v>
      </c>
      <c r="D1182" s="37" t="s">
        <v>49</v>
      </c>
      <c r="E1182" s="37" t="s">
        <v>2558</v>
      </c>
      <c r="F1182" s="43" t="s">
        <v>2559</v>
      </c>
      <c r="G1182" s="37"/>
      <c r="H1182" s="46">
        <v>46177.0</v>
      </c>
      <c r="I1182" s="37"/>
      <c r="J1182" s="17"/>
      <c r="K1182" s="17" t="s">
        <v>2560</v>
      </c>
      <c r="L1182" s="37" t="s">
        <v>58</v>
      </c>
      <c r="M1182" s="37"/>
      <c r="N1182" s="17"/>
      <c r="O1182" s="1"/>
      <c r="P1182" s="15"/>
      <c r="Q1182" s="15"/>
      <c r="R1182" s="1"/>
      <c r="S1182" s="1"/>
    </row>
    <row r="1183">
      <c r="A1183" s="1"/>
      <c r="B1183" s="3">
        <f t="shared" si="3"/>
        <v>1179</v>
      </c>
      <c r="C1183" s="31" t="s">
        <v>2561</v>
      </c>
      <c r="D1183" s="37" t="s">
        <v>497</v>
      </c>
      <c r="E1183" s="37" t="s">
        <v>1285</v>
      </c>
      <c r="F1183" s="43" t="s">
        <v>2562</v>
      </c>
      <c r="G1183" s="37"/>
      <c r="H1183" s="46">
        <v>46177.0</v>
      </c>
      <c r="I1183" s="37"/>
      <c r="J1183" s="17" t="s">
        <v>2563</v>
      </c>
      <c r="K1183" s="17" t="s">
        <v>2551</v>
      </c>
      <c r="L1183" s="37" t="s">
        <v>58</v>
      </c>
      <c r="M1183" s="37"/>
      <c r="N1183" s="17"/>
      <c r="O1183" s="1"/>
      <c r="P1183" s="67" t="s">
        <v>2564</v>
      </c>
      <c r="Q1183" s="15"/>
      <c r="R1183" s="1"/>
      <c r="S1183" s="1"/>
    </row>
    <row r="1184">
      <c r="A1184" s="1"/>
      <c r="B1184" s="3">
        <f t="shared" si="3"/>
        <v>1180</v>
      </c>
      <c r="C1184" s="31" t="s">
        <v>2565</v>
      </c>
      <c r="D1184" s="37" t="s">
        <v>49</v>
      </c>
      <c r="E1184" s="37" t="s">
        <v>2566</v>
      </c>
      <c r="F1184" s="43" t="s">
        <v>2567</v>
      </c>
      <c r="G1184" s="37"/>
      <c r="H1184" s="46">
        <v>46177.0</v>
      </c>
      <c r="I1184" s="37"/>
      <c r="J1184" s="17" t="s">
        <v>2568</v>
      </c>
      <c r="K1184" s="17" t="s">
        <v>2551</v>
      </c>
      <c r="L1184" s="37" t="s">
        <v>58</v>
      </c>
      <c r="M1184" s="37"/>
      <c r="N1184" s="17"/>
      <c r="O1184" s="1"/>
      <c r="P1184" s="15"/>
      <c r="Q1184" s="15"/>
      <c r="R1184" s="1"/>
      <c r="S1184" s="1"/>
    </row>
    <row r="1185">
      <c r="A1185" s="1"/>
      <c r="B1185" s="3">
        <f t="shared" si="3"/>
        <v>1181</v>
      </c>
      <c r="C1185" s="31" t="s">
        <v>2569</v>
      </c>
      <c r="D1185" s="37" t="s">
        <v>104</v>
      </c>
      <c r="E1185" s="37" t="s">
        <v>2570</v>
      </c>
      <c r="F1185" s="43" t="s">
        <v>2571</v>
      </c>
      <c r="G1185" s="37"/>
      <c r="H1185" s="46">
        <v>46177.0</v>
      </c>
      <c r="I1185" s="37"/>
      <c r="J1185" s="17" t="s">
        <v>2572</v>
      </c>
      <c r="K1185" s="17" t="s">
        <v>2572</v>
      </c>
      <c r="L1185" s="37" t="s">
        <v>58</v>
      </c>
      <c r="M1185" s="37"/>
      <c r="N1185" s="17"/>
      <c r="O1185" s="1"/>
      <c r="P1185" s="15"/>
      <c r="Q1185" s="15"/>
      <c r="R1185" s="1"/>
      <c r="S1185" s="1"/>
    </row>
    <row r="1186">
      <c r="A1186" s="1"/>
      <c r="B1186" s="3">
        <f t="shared" si="3"/>
        <v>1182</v>
      </c>
      <c r="C1186" s="31" t="s">
        <v>2573</v>
      </c>
      <c r="D1186" s="37" t="s">
        <v>159</v>
      </c>
      <c r="E1186" s="37" t="s">
        <v>1533</v>
      </c>
      <c r="F1186" s="43" t="s">
        <v>2574</v>
      </c>
      <c r="G1186" s="37"/>
      <c r="H1186" s="46">
        <v>46177.0</v>
      </c>
      <c r="I1186" s="37"/>
      <c r="J1186" s="17" t="s">
        <v>2575</v>
      </c>
      <c r="K1186" s="17" t="s">
        <v>557</v>
      </c>
      <c r="L1186" s="37" t="s">
        <v>58</v>
      </c>
      <c r="M1186" s="37"/>
      <c r="N1186" s="17"/>
      <c r="O1186" s="1"/>
      <c r="P1186" s="15"/>
      <c r="Q1186" s="15"/>
      <c r="R1186" s="1"/>
      <c r="S1186" s="1"/>
    </row>
    <row r="1187">
      <c r="A1187" s="1"/>
      <c r="B1187" s="3">
        <f t="shared" si="3"/>
        <v>1183</v>
      </c>
      <c r="C1187" s="31" t="s">
        <v>2576</v>
      </c>
      <c r="D1187" s="37" t="s">
        <v>159</v>
      </c>
      <c r="E1187" s="37" t="s">
        <v>1493</v>
      </c>
      <c r="F1187" s="43" t="s">
        <v>1145</v>
      </c>
      <c r="G1187" s="37"/>
      <c r="H1187" s="46">
        <v>46177.0</v>
      </c>
      <c r="I1187" s="37"/>
      <c r="J1187" s="17"/>
      <c r="K1187" s="17" t="s">
        <v>2577</v>
      </c>
      <c r="L1187" s="37" t="s">
        <v>58</v>
      </c>
      <c r="M1187" s="37"/>
      <c r="N1187" s="17"/>
      <c r="O1187" s="1"/>
      <c r="P1187" s="15"/>
      <c r="Q1187" s="15"/>
      <c r="R1187" s="1"/>
      <c r="S1187" s="1"/>
    </row>
    <row r="1188">
      <c r="A1188" s="1"/>
      <c r="B1188" s="3">
        <f t="shared" si="3"/>
        <v>1184</v>
      </c>
      <c r="C1188" s="31" t="s">
        <v>2578</v>
      </c>
      <c r="D1188" s="37" t="s">
        <v>159</v>
      </c>
      <c r="E1188" s="37" t="s">
        <v>2579</v>
      </c>
      <c r="F1188" s="43" t="s">
        <v>2578</v>
      </c>
      <c r="G1188" s="37"/>
      <c r="H1188" s="46">
        <v>46177.0</v>
      </c>
      <c r="I1188" s="37"/>
      <c r="J1188" s="17"/>
      <c r="K1188" s="17" t="s">
        <v>557</v>
      </c>
      <c r="L1188" s="37" t="s">
        <v>58</v>
      </c>
      <c r="M1188" s="37"/>
      <c r="N1188" s="17"/>
      <c r="O1188" s="1"/>
      <c r="P1188" s="15"/>
      <c r="Q1188" s="15"/>
      <c r="R1188" s="1"/>
      <c r="S1188" s="1"/>
    </row>
    <row r="1189">
      <c r="A1189" s="1"/>
      <c r="B1189" s="3">
        <f t="shared" si="3"/>
        <v>1185</v>
      </c>
      <c r="C1189" s="31" t="s">
        <v>2580</v>
      </c>
      <c r="D1189" s="37" t="s">
        <v>159</v>
      </c>
      <c r="E1189" s="37" t="s">
        <v>1533</v>
      </c>
      <c r="F1189" s="43" t="s">
        <v>2581</v>
      </c>
      <c r="G1189" s="37"/>
      <c r="H1189" s="46">
        <v>46177.0</v>
      </c>
      <c r="I1189" s="37"/>
      <c r="J1189" s="17"/>
      <c r="K1189" s="17" t="s">
        <v>2582</v>
      </c>
      <c r="L1189" s="37" t="s">
        <v>58</v>
      </c>
      <c r="M1189" s="37"/>
      <c r="N1189" s="17"/>
      <c r="O1189" s="1"/>
      <c r="P1189" s="15"/>
      <c r="Q1189" s="15"/>
      <c r="R1189" s="1"/>
      <c r="S1189" s="1"/>
    </row>
    <row r="1190">
      <c r="A1190" s="1"/>
      <c r="B1190" s="3">
        <f t="shared" si="3"/>
        <v>1186</v>
      </c>
      <c r="C1190" s="31" t="s">
        <v>2583</v>
      </c>
      <c r="D1190" s="37" t="s">
        <v>112</v>
      </c>
      <c r="E1190" s="37" t="s">
        <v>1285</v>
      </c>
      <c r="F1190" s="43" t="s">
        <v>2584</v>
      </c>
      <c r="G1190" s="37"/>
      <c r="H1190" s="46">
        <v>46183.0</v>
      </c>
      <c r="I1190" s="37"/>
      <c r="J1190" s="17" t="s">
        <v>2585</v>
      </c>
      <c r="K1190" s="17" t="s">
        <v>2586</v>
      </c>
      <c r="L1190" s="37" t="s">
        <v>58</v>
      </c>
      <c r="M1190" s="37" t="s">
        <v>60</v>
      </c>
      <c r="N1190" s="17" t="s">
        <v>39</v>
      </c>
      <c r="O1190" s="1"/>
      <c r="P1190" s="15"/>
      <c r="Q1190" s="15"/>
      <c r="R1190" s="1"/>
      <c r="S1190" s="1"/>
    </row>
    <row r="1191">
      <c r="A1191" s="1"/>
      <c r="B1191" s="3">
        <f t="shared" si="3"/>
        <v>1187</v>
      </c>
      <c r="C1191" s="31" t="s">
        <v>2587</v>
      </c>
      <c r="D1191" s="37" t="s">
        <v>112</v>
      </c>
      <c r="E1191" s="37" t="s">
        <v>2588</v>
      </c>
      <c r="F1191" s="43" t="s">
        <v>2587</v>
      </c>
      <c r="G1191" s="37"/>
      <c r="H1191" s="46">
        <v>46183.0</v>
      </c>
      <c r="I1191" s="37"/>
      <c r="J1191" s="17" t="s">
        <v>2589</v>
      </c>
      <c r="K1191" s="17" t="s">
        <v>2551</v>
      </c>
      <c r="L1191" s="37" t="s">
        <v>58</v>
      </c>
      <c r="M1191" s="37" t="s">
        <v>60</v>
      </c>
      <c r="N1191" s="17" t="s">
        <v>39</v>
      </c>
      <c r="O1191" s="1"/>
      <c r="P1191" s="15"/>
      <c r="Q1191" s="15"/>
      <c r="R1191" s="1"/>
      <c r="S1191" s="1"/>
    </row>
    <row r="1192">
      <c r="A1192" s="1"/>
      <c r="B1192" s="3">
        <f t="shared" si="3"/>
        <v>1188</v>
      </c>
      <c r="C1192" s="31" t="s">
        <v>2590</v>
      </c>
      <c r="D1192" s="37" t="s">
        <v>44</v>
      </c>
      <c r="E1192" s="37" t="s">
        <v>2591</v>
      </c>
      <c r="F1192" s="43" t="s">
        <v>2592</v>
      </c>
      <c r="G1192" s="37"/>
      <c r="H1192" s="46">
        <v>46183.0</v>
      </c>
      <c r="I1192" s="37"/>
      <c r="J1192" s="17"/>
      <c r="K1192" s="17" t="s">
        <v>765</v>
      </c>
      <c r="L1192" s="37" t="s">
        <v>58</v>
      </c>
      <c r="M1192" s="37" t="s">
        <v>78</v>
      </c>
      <c r="N1192" s="17"/>
      <c r="O1192" s="1"/>
      <c r="P1192" s="15"/>
      <c r="Q1192" s="15"/>
      <c r="R1192" s="1"/>
      <c r="S1192" s="1"/>
    </row>
    <row r="1193">
      <c r="A1193" s="1"/>
      <c r="B1193" s="3">
        <f t="shared" si="3"/>
        <v>1189</v>
      </c>
      <c r="C1193" s="31" t="s">
        <v>2593</v>
      </c>
      <c r="D1193" s="37" t="s">
        <v>56</v>
      </c>
      <c r="E1193" s="37" t="s">
        <v>1285</v>
      </c>
      <c r="F1193" s="43" t="s">
        <v>2594</v>
      </c>
      <c r="G1193" s="37"/>
      <c r="H1193" s="46">
        <v>46183.0</v>
      </c>
      <c r="I1193" s="37"/>
      <c r="J1193" s="17" t="s">
        <v>2595</v>
      </c>
      <c r="K1193" s="17" t="s">
        <v>2551</v>
      </c>
      <c r="L1193" s="37" t="s">
        <v>58</v>
      </c>
      <c r="M1193" s="37" t="s">
        <v>78</v>
      </c>
      <c r="N1193" s="17"/>
      <c r="O1193" s="1"/>
      <c r="P1193" s="15"/>
      <c r="Q1193" s="15"/>
      <c r="R1193" s="1"/>
      <c r="S1193" s="1"/>
    </row>
    <row r="1194">
      <c r="A1194" s="1"/>
      <c r="B1194" s="3">
        <f t="shared" si="3"/>
        <v>1190</v>
      </c>
      <c r="C1194" s="31" t="s">
        <v>2596</v>
      </c>
      <c r="D1194" s="37" t="s">
        <v>44</v>
      </c>
      <c r="E1194" s="37" t="s">
        <v>2597</v>
      </c>
      <c r="F1194" s="43" t="s">
        <v>2598</v>
      </c>
      <c r="G1194" s="37"/>
      <c r="H1194" s="46">
        <v>46183.0</v>
      </c>
      <c r="I1194" s="37"/>
      <c r="J1194" s="17" t="s">
        <v>2382</v>
      </c>
      <c r="K1194" s="17" t="s">
        <v>2551</v>
      </c>
      <c r="L1194" s="37" t="s">
        <v>58</v>
      </c>
      <c r="M1194" s="37" t="s">
        <v>57</v>
      </c>
      <c r="N1194" s="17"/>
      <c r="O1194" s="1"/>
      <c r="P1194" s="15"/>
      <c r="Q1194" s="15"/>
      <c r="R1194" s="1"/>
      <c r="S1194" s="1"/>
    </row>
    <row r="1195">
      <c r="A1195" s="1"/>
      <c r="B1195" s="3">
        <f t="shared" si="3"/>
        <v>1191</v>
      </c>
      <c r="C1195" s="31" t="s">
        <v>2599</v>
      </c>
      <c r="D1195" s="37" t="s">
        <v>1505</v>
      </c>
      <c r="E1195" s="37" t="s">
        <v>1285</v>
      </c>
      <c r="F1195" s="43" t="s">
        <v>2600</v>
      </c>
      <c r="G1195" s="37"/>
      <c r="H1195" s="46">
        <v>46183.0</v>
      </c>
      <c r="I1195" s="37"/>
      <c r="J1195" s="17" t="s">
        <v>571</v>
      </c>
      <c r="K1195" s="17" t="s">
        <v>2551</v>
      </c>
      <c r="L1195" s="37" t="s">
        <v>58</v>
      </c>
      <c r="M1195" s="37"/>
      <c r="N1195" s="17"/>
      <c r="O1195" s="1"/>
      <c r="P1195" s="67" t="s">
        <v>2601</v>
      </c>
      <c r="Q1195" s="15"/>
      <c r="R1195" s="1"/>
      <c r="S1195" s="1"/>
    </row>
    <row r="1196">
      <c r="A1196" s="1"/>
      <c r="B1196" s="3">
        <f t="shared" si="3"/>
        <v>1192</v>
      </c>
      <c r="C1196" s="31" t="s">
        <v>2413</v>
      </c>
      <c r="D1196" s="37" t="s">
        <v>1505</v>
      </c>
      <c r="E1196" s="37" t="s">
        <v>1424</v>
      </c>
      <c r="F1196" s="43" t="s">
        <v>2413</v>
      </c>
      <c r="G1196" s="37"/>
      <c r="H1196" s="46">
        <v>46183.0</v>
      </c>
      <c r="I1196" s="37"/>
      <c r="J1196" s="17"/>
      <c r="K1196" s="17" t="s">
        <v>2551</v>
      </c>
      <c r="L1196" s="37" t="s">
        <v>58</v>
      </c>
      <c r="M1196" s="37"/>
      <c r="N1196" s="17"/>
      <c r="O1196" s="1"/>
      <c r="P1196" s="67" t="s">
        <v>2601</v>
      </c>
      <c r="Q1196" s="15"/>
      <c r="R1196" s="1"/>
      <c r="S1196" s="1"/>
    </row>
    <row r="1197">
      <c r="A1197" s="1"/>
      <c r="B1197" s="3">
        <f t="shared" si="3"/>
        <v>1193</v>
      </c>
      <c r="C1197" s="31" t="s">
        <v>2602</v>
      </c>
      <c r="D1197" s="37" t="s">
        <v>1505</v>
      </c>
      <c r="E1197" s="37" t="s">
        <v>1285</v>
      </c>
      <c r="F1197" s="43" t="s">
        <v>2603</v>
      </c>
      <c r="G1197" s="37"/>
      <c r="H1197" s="46">
        <v>46183.0</v>
      </c>
      <c r="I1197" s="37"/>
      <c r="J1197" s="17"/>
      <c r="K1197" s="17" t="s">
        <v>2551</v>
      </c>
      <c r="L1197" s="37" t="s">
        <v>58</v>
      </c>
      <c r="M1197" s="37"/>
      <c r="N1197" s="17"/>
      <c r="O1197" s="1"/>
      <c r="P1197" s="149" t="s">
        <v>2604</v>
      </c>
      <c r="Q1197" s="15"/>
      <c r="R1197" s="1"/>
      <c r="S1197" s="1"/>
    </row>
    <row r="1198">
      <c r="A1198" s="1"/>
      <c r="B1198" s="3">
        <f t="shared" si="3"/>
        <v>1194</v>
      </c>
      <c r="C1198" s="31" t="s">
        <v>2605</v>
      </c>
      <c r="D1198" s="37" t="s">
        <v>1505</v>
      </c>
      <c r="E1198" s="37" t="s">
        <v>1424</v>
      </c>
      <c r="F1198" s="43" t="s">
        <v>2606</v>
      </c>
      <c r="G1198" s="37"/>
      <c r="H1198" s="46">
        <v>46183.0</v>
      </c>
      <c r="I1198" s="37"/>
      <c r="J1198" s="17"/>
      <c r="K1198" s="17" t="s">
        <v>2551</v>
      </c>
      <c r="L1198" s="37" t="s">
        <v>58</v>
      </c>
      <c r="M1198" s="37"/>
      <c r="N1198" s="17"/>
      <c r="O1198" s="1"/>
      <c r="P1198" s="67" t="s">
        <v>2604</v>
      </c>
      <c r="Q1198" s="15"/>
      <c r="R1198" s="1"/>
      <c r="S1198" s="1"/>
    </row>
    <row r="1199">
      <c r="A1199" s="1"/>
      <c r="B1199" s="3">
        <f t="shared" si="3"/>
        <v>1195</v>
      </c>
      <c r="C1199" s="31" t="s">
        <v>2607</v>
      </c>
      <c r="D1199" s="37" t="s">
        <v>159</v>
      </c>
      <c r="E1199" s="37" t="s">
        <v>2608</v>
      </c>
      <c r="F1199" s="43" t="s">
        <v>2609</v>
      </c>
      <c r="G1199" s="37"/>
      <c r="H1199" s="46">
        <v>46183.0</v>
      </c>
      <c r="I1199" s="37"/>
      <c r="J1199" s="17"/>
      <c r="K1199" s="17" t="s">
        <v>2610</v>
      </c>
      <c r="L1199" s="37" t="s">
        <v>58</v>
      </c>
      <c r="M1199" s="37" t="s">
        <v>130</v>
      </c>
      <c r="N1199" s="17"/>
      <c r="O1199" s="1"/>
      <c r="P1199" s="67" t="s">
        <v>2611</v>
      </c>
      <c r="Q1199" s="15"/>
      <c r="R1199" s="1"/>
      <c r="S1199" s="1"/>
    </row>
    <row r="1200">
      <c r="A1200" s="1"/>
      <c r="B1200" s="3">
        <f t="shared" si="3"/>
        <v>1196</v>
      </c>
      <c r="C1200" s="31" t="s">
        <v>2612</v>
      </c>
      <c r="D1200" s="37" t="s">
        <v>159</v>
      </c>
      <c r="E1200" s="37" t="s">
        <v>2613</v>
      </c>
      <c r="F1200" s="43" t="s">
        <v>2614</v>
      </c>
      <c r="G1200" s="37"/>
      <c r="H1200" s="46">
        <v>46183.0</v>
      </c>
      <c r="I1200" s="37"/>
      <c r="J1200" s="17"/>
      <c r="K1200" s="17" t="s">
        <v>648</v>
      </c>
      <c r="L1200" s="37" t="s">
        <v>58</v>
      </c>
      <c r="M1200" s="37" t="s">
        <v>130</v>
      </c>
      <c r="N1200" s="17"/>
      <c r="O1200" s="1"/>
      <c r="P1200" s="67" t="s">
        <v>2611</v>
      </c>
      <c r="Q1200" s="15"/>
      <c r="R1200" s="1"/>
      <c r="S1200" s="1"/>
    </row>
    <row r="1201">
      <c r="A1201" s="1"/>
      <c r="B1201" s="3">
        <f t="shared" si="3"/>
        <v>1197</v>
      </c>
      <c r="C1201" s="31" t="s">
        <v>2615</v>
      </c>
      <c r="D1201" s="37" t="s">
        <v>159</v>
      </c>
      <c r="E1201" s="37" t="s">
        <v>2616</v>
      </c>
      <c r="F1201" s="43" t="s">
        <v>2617</v>
      </c>
      <c r="G1201" s="37"/>
      <c r="H1201" s="46">
        <v>46183.0</v>
      </c>
      <c r="I1201" s="37"/>
      <c r="J1201" s="17" t="s">
        <v>557</v>
      </c>
      <c r="K1201" s="17" t="s">
        <v>2551</v>
      </c>
      <c r="L1201" s="37" t="s">
        <v>58</v>
      </c>
      <c r="M1201" s="37" t="s">
        <v>130</v>
      </c>
      <c r="N1201" s="17"/>
      <c r="O1201" s="1"/>
      <c r="P1201" s="67" t="s">
        <v>2611</v>
      </c>
      <c r="Q1201" s="15"/>
      <c r="R1201" s="1"/>
      <c r="S1201" s="1"/>
    </row>
    <row r="1202">
      <c r="A1202" s="1"/>
      <c r="B1202" s="3">
        <f t="shared" si="3"/>
        <v>1198</v>
      </c>
      <c r="C1202" s="31" t="s">
        <v>2618</v>
      </c>
      <c r="D1202" s="37" t="s">
        <v>49</v>
      </c>
      <c r="E1202" s="37" t="s">
        <v>2619</v>
      </c>
      <c r="F1202" s="43" t="s">
        <v>2620</v>
      </c>
      <c r="G1202" s="37"/>
      <c r="H1202" s="46">
        <v>46183.0</v>
      </c>
      <c r="I1202" s="37"/>
      <c r="J1202" s="17"/>
      <c r="K1202" s="17" t="s">
        <v>2621</v>
      </c>
      <c r="L1202" s="37" t="s">
        <v>58</v>
      </c>
      <c r="M1202" s="37" t="s">
        <v>130</v>
      </c>
      <c r="N1202" s="17"/>
      <c r="O1202" s="1"/>
      <c r="P1202" s="15"/>
      <c r="Q1202" s="15"/>
      <c r="R1202" s="1"/>
      <c r="S1202" s="1"/>
    </row>
    <row r="1203">
      <c r="A1203" s="1"/>
      <c r="B1203" s="3">
        <f t="shared" si="3"/>
        <v>1199</v>
      </c>
      <c r="C1203" s="31" t="s">
        <v>2622</v>
      </c>
      <c r="D1203" s="37" t="s">
        <v>49</v>
      </c>
      <c r="E1203" s="37" t="s">
        <v>2623</v>
      </c>
      <c r="F1203" s="43" t="s">
        <v>2622</v>
      </c>
      <c r="G1203" s="37"/>
      <c r="H1203" s="46">
        <v>46301.0</v>
      </c>
      <c r="I1203" s="37"/>
      <c r="J1203" s="17"/>
      <c r="K1203" s="17" t="s">
        <v>2382</v>
      </c>
      <c r="L1203" s="37" t="s">
        <v>58</v>
      </c>
      <c r="M1203" s="37" t="s">
        <v>130</v>
      </c>
      <c r="N1203" s="17"/>
      <c r="O1203" s="1"/>
      <c r="P1203" s="15"/>
      <c r="Q1203" s="15"/>
      <c r="R1203" s="1"/>
      <c r="S1203" s="1"/>
    </row>
    <row r="1204">
      <c r="A1204" s="1"/>
      <c r="B1204" s="3">
        <f t="shared" si="3"/>
        <v>1200</v>
      </c>
      <c r="C1204" s="31" t="s">
        <v>2624</v>
      </c>
      <c r="D1204" s="37" t="s">
        <v>49</v>
      </c>
      <c r="E1204" s="37" t="s">
        <v>1285</v>
      </c>
      <c r="F1204" s="43" t="s">
        <v>2625</v>
      </c>
      <c r="G1204" s="37"/>
      <c r="H1204" s="46">
        <v>46183.0</v>
      </c>
      <c r="I1204" s="37"/>
      <c r="J1204" s="17" t="s">
        <v>571</v>
      </c>
      <c r="K1204" s="17" t="s">
        <v>2626</v>
      </c>
      <c r="L1204" s="37" t="s">
        <v>58</v>
      </c>
      <c r="M1204" s="37" t="s">
        <v>130</v>
      </c>
      <c r="N1204" s="17"/>
      <c r="O1204" s="1"/>
      <c r="P1204" s="15"/>
      <c r="Q1204" s="15"/>
      <c r="R1204" s="1"/>
      <c r="S1204" s="1"/>
    </row>
    <row r="1205">
      <c r="A1205" s="1"/>
      <c r="B1205" s="3">
        <f t="shared" si="3"/>
        <v>1201</v>
      </c>
      <c r="C1205" s="31" t="s">
        <v>2627</v>
      </c>
      <c r="D1205" s="37"/>
      <c r="E1205" s="37" t="s">
        <v>1285</v>
      </c>
      <c r="F1205" s="1"/>
      <c r="G1205" s="37"/>
      <c r="H1205" s="46">
        <v>46183.0</v>
      </c>
      <c r="I1205" s="37"/>
      <c r="J1205" s="17" t="s">
        <v>2628</v>
      </c>
      <c r="K1205" s="17" t="s">
        <v>2629</v>
      </c>
      <c r="L1205" s="37" t="s">
        <v>58</v>
      </c>
      <c r="M1205" s="37" t="s">
        <v>130</v>
      </c>
      <c r="N1205" s="17"/>
      <c r="O1205" s="1"/>
      <c r="P1205" s="15"/>
      <c r="Q1205" s="15"/>
      <c r="R1205" s="1"/>
      <c r="S1205" s="1"/>
    </row>
    <row r="1206">
      <c r="A1206" s="1"/>
      <c r="B1206" s="3">
        <f t="shared" si="3"/>
        <v>1202</v>
      </c>
      <c r="C1206" s="31" t="s">
        <v>2630</v>
      </c>
      <c r="D1206" s="37" t="s">
        <v>38</v>
      </c>
      <c r="E1206" s="37" t="s">
        <v>2631</v>
      </c>
      <c r="F1206" s="43" t="s">
        <v>2632</v>
      </c>
      <c r="G1206" s="37"/>
      <c r="H1206" s="46">
        <v>46183.0</v>
      </c>
      <c r="I1206" s="37" t="s">
        <v>1289</v>
      </c>
      <c r="J1206" s="17" t="s">
        <v>2633</v>
      </c>
      <c r="K1206" s="17" t="s">
        <v>2551</v>
      </c>
      <c r="L1206" s="37" t="s">
        <v>58</v>
      </c>
      <c r="M1206" s="37" t="s">
        <v>130</v>
      </c>
      <c r="N1206" s="17"/>
      <c r="O1206" s="1"/>
      <c r="P1206" s="15"/>
      <c r="Q1206" s="15"/>
      <c r="R1206" s="1"/>
      <c r="S1206" s="1"/>
    </row>
    <row r="1207">
      <c r="A1207" s="1"/>
      <c r="B1207" s="3">
        <f t="shared" si="3"/>
        <v>1203</v>
      </c>
      <c r="C1207" s="31" t="s">
        <v>2634</v>
      </c>
      <c r="D1207" s="37" t="s">
        <v>116</v>
      </c>
      <c r="E1207" s="37" t="s">
        <v>2431</v>
      </c>
      <c r="F1207" s="43" t="s">
        <v>2635</v>
      </c>
      <c r="G1207" s="37"/>
      <c r="H1207" s="46">
        <v>46301.0</v>
      </c>
      <c r="I1207" s="37"/>
      <c r="J1207" s="17" t="s">
        <v>2636</v>
      </c>
      <c r="K1207" s="17" t="s">
        <v>2551</v>
      </c>
      <c r="L1207" s="37" t="s">
        <v>58</v>
      </c>
      <c r="M1207" s="37"/>
      <c r="N1207" s="17"/>
      <c r="O1207" s="1"/>
      <c r="P1207" s="15"/>
      <c r="Q1207" s="15"/>
      <c r="R1207" s="1"/>
      <c r="S1207" s="1"/>
    </row>
    <row r="1208">
      <c r="A1208" s="1"/>
      <c r="B1208" s="3">
        <f t="shared" si="3"/>
        <v>1204</v>
      </c>
      <c r="C1208" s="31" t="s">
        <v>2637</v>
      </c>
      <c r="D1208" s="37" t="s">
        <v>116</v>
      </c>
      <c r="E1208" s="37" t="s">
        <v>1285</v>
      </c>
      <c r="F1208" s="43" t="s">
        <v>2638</v>
      </c>
      <c r="G1208" s="37"/>
      <c r="H1208" s="46">
        <v>46183.0</v>
      </c>
      <c r="I1208" s="37"/>
      <c r="J1208" s="17"/>
      <c r="K1208" s="17" t="s">
        <v>2551</v>
      </c>
      <c r="L1208" s="37" t="s">
        <v>58</v>
      </c>
      <c r="M1208" s="37"/>
      <c r="N1208" s="17"/>
      <c r="O1208" s="1"/>
      <c r="P1208" s="15"/>
      <c r="Q1208" s="15"/>
      <c r="R1208" s="1"/>
      <c r="S1208" s="1"/>
    </row>
    <row r="1209">
      <c r="A1209" s="1"/>
      <c r="B1209" s="3">
        <f t="shared" si="3"/>
        <v>1205</v>
      </c>
      <c r="C1209" s="31" t="s">
        <v>2639</v>
      </c>
      <c r="D1209" s="37" t="s">
        <v>83</v>
      </c>
      <c r="E1209" s="37" t="s">
        <v>2640</v>
      </c>
      <c r="F1209" s="43" t="s">
        <v>2639</v>
      </c>
      <c r="G1209" s="37"/>
      <c r="H1209" s="46">
        <v>46183.0</v>
      </c>
      <c r="I1209" s="37"/>
      <c r="J1209" s="17"/>
      <c r="K1209" s="17" t="s">
        <v>2641</v>
      </c>
      <c r="L1209" s="37" t="s">
        <v>58</v>
      </c>
      <c r="M1209" s="37" t="s">
        <v>130</v>
      </c>
      <c r="N1209" s="17"/>
      <c r="O1209" s="1"/>
      <c r="P1209" s="67" t="s">
        <v>2642</v>
      </c>
      <c r="Q1209" s="15"/>
      <c r="R1209" s="1"/>
      <c r="S1209" s="1"/>
    </row>
    <row r="1210">
      <c r="A1210" s="1"/>
      <c r="B1210" s="3">
        <f t="shared" si="3"/>
        <v>1206</v>
      </c>
      <c r="C1210" s="31" t="s">
        <v>2643</v>
      </c>
      <c r="D1210" s="37" t="s">
        <v>83</v>
      </c>
      <c r="E1210" s="37" t="s">
        <v>1533</v>
      </c>
      <c r="F1210" s="43" t="s">
        <v>2644</v>
      </c>
      <c r="G1210" s="37"/>
      <c r="H1210" s="46">
        <v>46183.0</v>
      </c>
      <c r="I1210" s="37"/>
      <c r="J1210" s="17" t="s">
        <v>2645</v>
      </c>
      <c r="K1210" s="17" t="s">
        <v>2524</v>
      </c>
      <c r="L1210" s="37" t="s">
        <v>58</v>
      </c>
      <c r="M1210" s="37" t="s">
        <v>130</v>
      </c>
      <c r="N1210" s="17"/>
      <c r="O1210" s="1"/>
      <c r="P1210" s="67" t="s">
        <v>2642</v>
      </c>
      <c r="Q1210" s="15"/>
      <c r="R1210" s="1"/>
      <c r="S1210" s="1"/>
    </row>
    <row r="1211">
      <c r="A1211" s="1"/>
      <c r="B1211" s="3">
        <f t="shared" si="3"/>
        <v>1207</v>
      </c>
      <c r="C1211" s="31" t="s">
        <v>2646</v>
      </c>
      <c r="D1211" s="37" t="s">
        <v>83</v>
      </c>
      <c r="E1211" s="37" t="s">
        <v>2647</v>
      </c>
      <c r="F1211" s="43" t="s">
        <v>2648</v>
      </c>
      <c r="G1211" s="37"/>
      <c r="H1211" s="46">
        <v>46183.0</v>
      </c>
      <c r="I1211" s="37"/>
      <c r="J1211" s="17"/>
      <c r="K1211" s="17" t="s">
        <v>2649</v>
      </c>
      <c r="L1211" s="37" t="s">
        <v>58</v>
      </c>
      <c r="M1211" s="37" t="s">
        <v>130</v>
      </c>
      <c r="N1211" s="17"/>
      <c r="O1211" s="1"/>
      <c r="P1211" s="67" t="s">
        <v>2642</v>
      </c>
      <c r="Q1211" s="15"/>
      <c r="R1211" s="1"/>
      <c r="S1211" s="1"/>
    </row>
    <row r="1212">
      <c r="A1212" s="1"/>
      <c r="B1212" s="3">
        <f t="shared" si="3"/>
        <v>1208</v>
      </c>
      <c r="C1212" s="31" t="s">
        <v>2650</v>
      </c>
      <c r="D1212" s="37" t="s">
        <v>96</v>
      </c>
      <c r="E1212" s="37" t="s">
        <v>2651</v>
      </c>
      <c r="F1212" s="43" t="s">
        <v>2652</v>
      </c>
      <c r="G1212" s="37"/>
      <c r="H1212" s="46">
        <v>46183.0</v>
      </c>
      <c r="I1212" s="37"/>
      <c r="J1212" s="17"/>
      <c r="K1212" s="17" t="s">
        <v>557</v>
      </c>
      <c r="L1212" s="37" t="s">
        <v>58</v>
      </c>
      <c r="M1212" s="37" t="s">
        <v>130</v>
      </c>
      <c r="N1212" s="17"/>
      <c r="O1212" s="1"/>
      <c r="P1212" s="67" t="s">
        <v>2653</v>
      </c>
      <c r="Q1212" s="15"/>
      <c r="R1212" s="1"/>
      <c r="S1212" s="1"/>
    </row>
    <row r="1213">
      <c r="A1213" s="1"/>
      <c r="B1213" s="3">
        <f t="shared" si="3"/>
        <v>1209</v>
      </c>
      <c r="C1213" s="31" t="s">
        <v>2654</v>
      </c>
      <c r="D1213" s="37" t="s">
        <v>96</v>
      </c>
      <c r="E1213" s="37" t="s">
        <v>1533</v>
      </c>
      <c r="F1213" s="43" t="s">
        <v>2654</v>
      </c>
      <c r="G1213" s="37"/>
      <c r="H1213" s="46">
        <v>46183.0</v>
      </c>
      <c r="I1213" s="37"/>
      <c r="J1213" s="17" t="s">
        <v>558</v>
      </c>
      <c r="K1213" s="17" t="s">
        <v>2655</v>
      </c>
      <c r="L1213" s="37" t="s">
        <v>58</v>
      </c>
      <c r="M1213" s="37" t="s">
        <v>130</v>
      </c>
      <c r="N1213" s="17"/>
      <c r="O1213" s="1"/>
      <c r="P1213" s="67" t="s">
        <v>2656</v>
      </c>
      <c r="Q1213" s="15"/>
      <c r="R1213" s="1"/>
      <c r="S1213" s="1"/>
    </row>
    <row r="1214">
      <c r="A1214" s="1"/>
      <c r="B1214" s="3">
        <f t="shared" si="3"/>
        <v>1210</v>
      </c>
      <c r="C1214" s="31" t="s">
        <v>2657</v>
      </c>
      <c r="D1214" s="37" t="s">
        <v>96</v>
      </c>
      <c r="E1214" s="37" t="s">
        <v>2658</v>
      </c>
      <c r="F1214" s="1"/>
      <c r="G1214" s="37"/>
      <c r="H1214" s="46">
        <v>46183.0</v>
      </c>
      <c r="I1214" s="37"/>
      <c r="J1214" s="17"/>
      <c r="K1214" s="17" t="s">
        <v>2659</v>
      </c>
      <c r="L1214" s="37" t="s">
        <v>189</v>
      </c>
      <c r="M1214" s="37"/>
      <c r="N1214" s="17"/>
      <c r="O1214" s="1"/>
      <c r="P1214" s="15"/>
      <c r="Q1214" s="15"/>
      <c r="R1214" s="1"/>
      <c r="S1214" s="1"/>
    </row>
    <row r="1215">
      <c r="A1215" s="1"/>
      <c r="B1215" s="3">
        <f t="shared" si="3"/>
        <v>1211</v>
      </c>
      <c r="C1215" s="31" t="s">
        <v>2660</v>
      </c>
      <c r="D1215" s="37" t="s">
        <v>49</v>
      </c>
      <c r="E1215" s="37" t="s">
        <v>1285</v>
      </c>
      <c r="F1215" s="1"/>
      <c r="G1215" s="37"/>
      <c r="H1215" s="46">
        <v>46183.0</v>
      </c>
      <c r="I1215" s="37"/>
      <c r="J1215" s="17"/>
      <c r="K1215" s="17" t="s">
        <v>648</v>
      </c>
      <c r="L1215" s="37" t="s">
        <v>189</v>
      </c>
      <c r="M1215" s="37"/>
      <c r="N1215" s="17"/>
      <c r="O1215" s="1"/>
      <c r="P1215" s="15"/>
      <c r="Q1215" s="15"/>
      <c r="R1215" s="1"/>
      <c r="S1215" s="1"/>
    </row>
    <row r="1216">
      <c r="A1216" s="1"/>
      <c r="B1216" s="3">
        <f t="shared" si="3"/>
        <v>1212</v>
      </c>
      <c r="C1216" s="31" t="s">
        <v>2661</v>
      </c>
      <c r="D1216" s="37" t="s">
        <v>44</v>
      </c>
      <c r="E1216" s="37" t="s">
        <v>1285</v>
      </c>
      <c r="F1216" s="1"/>
      <c r="G1216" s="37"/>
      <c r="H1216" s="46">
        <v>46183.0</v>
      </c>
      <c r="I1216" s="37"/>
      <c r="J1216" s="17"/>
      <c r="K1216" s="17" t="s">
        <v>2662</v>
      </c>
      <c r="L1216" s="37" t="s">
        <v>189</v>
      </c>
      <c r="M1216" s="37"/>
      <c r="N1216" s="17"/>
      <c r="O1216" s="1"/>
      <c r="P1216" s="67" t="s">
        <v>2663</v>
      </c>
      <c r="Q1216" s="15"/>
      <c r="R1216" s="1"/>
      <c r="S1216" s="1"/>
    </row>
    <row r="1217">
      <c r="A1217" s="1"/>
      <c r="B1217" s="3">
        <f t="shared" si="3"/>
        <v>1213</v>
      </c>
      <c r="C1217" s="31" t="s">
        <v>2664</v>
      </c>
      <c r="D1217" s="37" t="s">
        <v>83</v>
      </c>
      <c r="E1217" s="37" t="s">
        <v>1285</v>
      </c>
      <c r="F1217" s="1"/>
      <c r="G1217" s="37"/>
      <c r="H1217" s="46">
        <v>46183.0</v>
      </c>
      <c r="I1217" s="37"/>
      <c r="J1217" s="17"/>
      <c r="K1217" s="17" t="s">
        <v>648</v>
      </c>
      <c r="L1217" s="37" t="s">
        <v>189</v>
      </c>
      <c r="M1217" s="37"/>
      <c r="N1217" s="17"/>
      <c r="O1217" s="1"/>
      <c r="P1217" s="15"/>
      <c r="Q1217" s="15"/>
      <c r="R1217" s="1"/>
      <c r="S1217" s="1"/>
    </row>
    <row r="1218">
      <c r="A1218" s="1"/>
      <c r="B1218" s="3">
        <f t="shared" si="3"/>
        <v>1214</v>
      </c>
      <c r="C1218" s="31" t="s">
        <v>2665</v>
      </c>
      <c r="D1218" s="37" t="s">
        <v>44</v>
      </c>
      <c r="E1218" s="37" t="s">
        <v>2339</v>
      </c>
      <c r="F1218" s="1"/>
      <c r="G1218" s="37"/>
      <c r="H1218" s="46">
        <v>46183.0</v>
      </c>
      <c r="I1218" s="37"/>
      <c r="J1218" s="17"/>
      <c r="K1218" s="17" t="s">
        <v>2551</v>
      </c>
      <c r="L1218" s="37" t="s">
        <v>189</v>
      </c>
      <c r="M1218" s="37"/>
      <c r="N1218" s="17"/>
      <c r="O1218" s="1"/>
      <c r="P1218" s="15"/>
      <c r="Q1218" s="15"/>
      <c r="R1218" s="1"/>
      <c r="S1218" s="1"/>
    </row>
    <row r="1219">
      <c r="A1219" s="1"/>
      <c r="B1219" s="3">
        <f t="shared" si="3"/>
        <v>1215</v>
      </c>
      <c r="C1219" s="31" t="s">
        <v>2666</v>
      </c>
      <c r="D1219" s="37" t="s">
        <v>44</v>
      </c>
      <c r="E1219" s="37" t="s">
        <v>1285</v>
      </c>
      <c r="F1219" s="1"/>
      <c r="G1219" s="37"/>
      <c r="H1219" s="46">
        <v>46183.0</v>
      </c>
      <c r="I1219" s="37"/>
      <c r="J1219" s="17"/>
      <c r="K1219" s="17" t="s">
        <v>533</v>
      </c>
      <c r="L1219" s="37" t="s">
        <v>189</v>
      </c>
      <c r="M1219" s="37"/>
      <c r="N1219" s="17"/>
      <c r="O1219" s="1"/>
      <c r="P1219" s="15"/>
      <c r="Q1219" s="15"/>
      <c r="R1219" s="1"/>
      <c r="S1219" s="1"/>
    </row>
    <row r="1220">
      <c r="A1220" s="1"/>
      <c r="B1220" s="3">
        <f t="shared" si="3"/>
        <v>1216</v>
      </c>
      <c r="C1220" s="31" t="s">
        <v>2667</v>
      </c>
      <c r="D1220" s="37" t="s">
        <v>103</v>
      </c>
      <c r="E1220" s="37" t="s">
        <v>1285</v>
      </c>
      <c r="F1220" s="1"/>
      <c r="G1220" s="37"/>
      <c r="H1220" s="46">
        <v>46183.0</v>
      </c>
      <c r="I1220" s="37"/>
      <c r="J1220" s="17"/>
      <c r="K1220" s="17"/>
      <c r="L1220" s="37" t="s">
        <v>189</v>
      </c>
      <c r="M1220" s="37"/>
      <c r="N1220" s="17"/>
      <c r="O1220" s="1"/>
      <c r="P1220" s="15"/>
      <c r="Q1220" s="15"/>
      <c r="R1220" s="1"/>
      <c r="S1220" s="1"/>
    </row>
    <row r="1221">
      <c r="A1221" s="1"/>
      <c r="B1221" s="3">
        <f t="shared" si="3"/>
        <v>1217</v>
      </c>
      <c r="C1221" s="31" t="s">
        <v>2668</v>
      </c>
      <c r="D1221" s="37" t="s">
        <v>44</v>
      </c>
      <c r="E1221" s="37" t="s">
        <v>1692</v>
      </c>
      <c r="F1221" s="1"/>
      <c r="G1221" s="37"/>
      <c r="H1221" s="46">
        <v>46183.0</v>
      </c>
      <c r="I1221" s="37"/>
      <c r="J1221" s="17" t="s">
        <v>2669</v>
      </c>
      <c r="K1221" s="17" t="s">
        <v>2231</v>
      </c>
      <c r="L1221" s="37" t="s">
        <v>189</v>
      </c>
      <c r="M1221" s="37"/>
      <c r="N1221" s="17"/>
      <c r="O1221" s="1"/>
      <c r="P1221" s="15"/>
      <c r="Q1221" s="15"/>
      <c r="R1221" s="1"/>
      <c r="S1221" s="1"/>
    </row>
    <row r="1222">
      <c r="A1222" s="1"/>
      <c r="B1222" s="3">
        <f t="shared" si="3"/>
        <v>1218</v>
      </c>
      <c r="C1222" s="31" t="s">
        <v>2670</v>
      </c>
      <c r="D1222" s="37" t="s">
        <v>49</v>
      </c>
      <c r="E1222" s="37" t="s">
        <v>2520</v>
      </c>
      <c r="F1222" s="1"/>
      <c r="G1222" s="37"/>
      <c r="H1222" s="46">
        <v>46183.0</v>
      </c>
      <c r="I1222" s="37"/>
      <c r="J1222" s="17" t="s">
        <v>2671</v>
      </c>
      <c r="K1222" s="17" t="s">
        <v>2672</v>
      </c>
      <c r="L1222" s="37" t="s">
        <v>189</v>
      </c>
      <c r="M1222" s="37"/>
      <c r="N1222" s="17"/>
      <c r="O1222" s="1"/>
      <c r="P1222" s="15"/>
      <c r="Q1222" s="15"/>
      <c r="R1222" s="1"/>
      <c r="S1222" s="1"/>
    </row>
    <row r="1223">
      <c r="A1223" s="1"/>
      <c r="B1223" s="3">
        <f t="shared" si="3"/>
        <v>1219</v>
      </c>
      <c r="C1223" s="31" t="s">
        <v>2673</v>
      </c>
      <c r="D1223" s="37" t="s">
        <v>49</v>
      </c>
      <c r="E1223" s="37" t="s">
        <v>2608</v>
      </c>
      <c r="F1223" s="1"/>
      <c r="G1223" s="37"/>
      <c r="H1223" s="46">
        <v>46183.0</v>
      </c>
      <c r="I1223" s="37"/>
      <c r="J1223" s="17" t="s">
        <v>2674</v>
      </c>
      <c r="K1223" s="17" t="s">
        <v>557</v>
      </c>
      <c r="L1223" s="37" t="s">
        <v>189</v>
      </c>
      <c r="M1223" s="37"/>
      <c r="N1223" s="17"/>
      <c r="O1223" s="1"/>
      <c r="P1223" s="15"/>
      <c r="Q1223" s="15"/>
      <c r="R1223" s="1"/>
      <c r="S1223" s="1"/>
    </row>
    <row r="1224">
      <c r="A1224" s="1"/>
      <c r="B1224" s="3">
        <f t="shared" si="3"/>
        <v>1220</v>
      </c>
      <c r="C1224" s="31" t="s">
        <v>2675</v>
      </c>
      <c r="D1224" s="37" t="s">
        <v>49</v>
      </c>
      <c r="E1224" s="37" t="s">
        <v>1285</v>
      </c>
      <c r="F1224" s="1"/>
      <c r="G1224" s="37"/>
      <c r="H1224" s="46">
        <v>46183.0</v>
      </c>
      <c r="I1224" s="37"/>
      <c r="J1224" s="17"/>
      <c r="K1224" s="17" t="s">
        <v>2676</v>
      </c>
      <c r="L1224" s="37" t="s">
        <v>189</v>
      </c>
      <c r="M1224" s="37"/>
      <c r="N1224" s="17"/>
      <c r="O1224" s="1"/>
      <c r="P1224" s="15"/>
      <c r="Q1224" s="15"/>
      <c r="R1224" s="1"/>
      <c r="S1224" s="1"/>
    </row>
    <row r="1225">
      <c r="A1225" s="1"/>
      <c r="B1225" s="3">
        <f t="shared" si="3"/>
        <v>1221</v>
      </c>
      <c r="C1225" s="31" t="s">
        <v>2677</v>
      </c>
      <c r="D1225" s="37" t="s">
        <v>1505</v>
      </c>
      <c r="E1225" s="37" t="s">
        <v>2678</v>
      </c>
      <c r="F1225" s="1"/>
      <c r="G1225" s="37"/>
      <c r="H1225" s="46">
        <v>46183.0</v>
      </c>
      <c r="I1225" s="37"/>
      <c r="J1225" s="17"/>
      <c r="K1225" s="17" t="s">
        <v>2231</v>
      </c>
      <c r="L1225" s="37" t="s">
        <v>189</v>
      </c>
      <c r="M1225" s="37"/>
      <c r="N1225" s="17"/>
      <c r="O1225" s="1"/>
      <c r="P1225" s="67" t="s">
        <v>2679</v>
      </c>
      <c r="Q1225" s="15"/>
      <c r="R1225" s="1"/>
      <c r="S1225" s="1"/>
    </row>
    <row r="1226">
      <c r="A1226" s="1"/>
      <c r="B1226" s="3">
        <f t="shared" si="3"/>
        <v>1222</v>
      </c>
      <c r="C1226" s="31" t="s">
        <v>2680</v>
      </c>
      <c r="D1226" s="37" t="s">
        <v>96</v>
      </c>
      <c r="E1226" s="37" t="s">
        <v>2681</v>
      </c>
      <c r="F1226" s="43" t="s">
        <v>2680</v>
      </c>
      <c r="G1226" s="37"/>
      <c r="H1226" s="46">
        <v>46190.0</v>
      </c>
      <c r="I1226" s="37" t="s">
        <v>1289</v>
      </c>
      <c r="J1226" s="17" t="s">
        <v>533</v>
      </c>
      <c r="K1226" s="17" t="s">
        <v>517</v>
      </c>
      <c r="L1226" s="37" t="s">
        <v>58</v>
      </c>
      <c r="M1226" s="37" t="s">
        <v>130</v>
      </c>
      <c r="N1226" s="17"/>
      <c r="O1226" s="1"/>
      <c r="P1226" s="15"/>
      <c r="Q1226" s="15"/>
      <c r="R1226" s="1"/>
      <c r="S1226" s="1"/>
    </row>
    <row r="1227">
      <c r="A1227" s="1"/>
      <c r="B1227" s="3">
        <f t="shared" si="3"/>
        <v>1223</v>
      </c>
      <c r="C1227" s="31" t="s">
        <v>2682</v>
      </c>
      <c r="D1227" s="37" t="s">
        <v>96</v>
      </c>
      <c r="E1227" s="37" t="s">
        <v>2683</v>
      </c>
      <c r="F1227" s="43" t="s">
        <v>2684</v>
      </c>
      <c r="G1227" s="37"/>
      <c r="H1227" s="46">
        <v>46190.0</v>
      </c>
      <c r="I1227" s="37" t="s">
        <v>1289</v>
      </c>
      <c r="J1227" s="17" t="s">
        <v>571</v>
      </c>
      <c r="K1227" s="17" t="s">
        <v>533</v>
      </c>
      <c r="L1227" s="37" t="s">
        <v>58</v>
      </c>
      <c r="M1227" s="37" t="s">
        <v>130</v>
      </c>
      <c r="N1227" s="17"/>
      <c r="O1227" s="1"/>
      <c r="P1227" s="15"/>
      <c r="Q1227" s="15"/>
      <c r="R1227" s="1"/>
      <c r="S1227" s="1"/>
    </row>
    <row r="1228">
      <c r="A1228" s="1"/>
      <c r="B1228" s="3">
        <f t="shared" si="3"/>
        <v>1224</v>
      </c>
      <c r="C1228" s="31" t="s">
        <v>2685</v>
      </c>
      <c r="D1228" s="37" t="s">
        <v>96</v>
      </c>
      <c r="E1228" s="37" t="s">
        <v>2539</v>
      </c>
      <c r="F1228" s="43" t="s">
        <v>2686</v>
      </c>
      <c r="G1228" s="37"/>
      <c r="H1228" s="17" t="s">
        <v>2687</v>
      </c>
      <c r="I1228" s="37" t="s">
        <v>1289</v>
      </c>
      <c r="J1228" s="17" t="s">
        <v>2626</v>
      </c>
      <c r="K1228" s="17" t="s">
        <v>605</v>
      </c>
      <c r="L1228" s="37" t="s">
        <v>58</v>
      </c>
      <c r="M1228" s="37" t="s">
        <v>130</v>
      </c>
      <c r="N1228" s="17"/>
      <c r="O1228" s="1"/>
      <c r="P1228" s="15"/>
      <c r="Q1228" s="15"/>
      <c r="R1228" s="1"/>
      <c r="S1228" s="1"/>
    </row>
    <row r="1229">
      <c r="A1229" s="1"/>
      <c r="B1229" s="3">
        <f t="shared" si="3"/>
        <v>1225</v>
      </c>
      <c r="C1229" s="31" t="s">
        <v>2688</v>
      </c>
      <c r="D1229" s="37" t="s">
        <v>96</v>
      </c>
      <c r="E1229" s="37"/>
      <c r="F1229" s="43" t="s">
        <v>2689</v>
      </c>
      <c r="G1229" s="37"/>
      <c r="H1229" s="46">
        <v>46190.0</v>
      </c>
      <c r="I1229" s="37" t="s">
        <v>1289</v>
      </c>
      <c r="J1229" s="17" t="s">
        <v>557</v>
      </c>
      <c r="K1229" s="17" t="s">
        <v>558</v>
      </c>
      <c r="L1229" s="37" t="s">
        <v>58</v>
      </c>
      <c r="M1229" s="37" t="s">
        <v>130</v>
      </c>
      <c r="N1229" s="17"/>
      <c r="O1229" s="1"/>
      <c r="P1229" s="15"/>
      <c r="Q1229" s="15"/>
      <c r="R1229" s="1"/>
      <c r="S1229" s="1"/>
    </row>
    <row r="1230">
      <c r="A1230" s="1"/>
      <c r="B1230" s="3">
        <f t="shared" si="3"/>
        <v>1226</v>
      </c>
      <c r="C1230" s="31" t="s">
        <v>2690</v>
      </c>
      <c r="D1230" s="37" t="s">
        <v>44</v>
      </c>
      <c r="E1230" s="37" t="s">
        <v>1589</v>
      </c>
      <c r="F1230" s="43" t="s">
        <v>2690</v>
      </c>
      <c r="G1230" s="37"/>
      <c r="H1230" s="46">
        <v>46190.0</v>
      </c>
      <c r="I1230" s="37" t="s">
        <v>1289</v>
      </c>
      <c r="J1230" s="17"/>
      <c r="K1230" s="17" t="s">
        <v>2528</v>
      </c>
      <c r="L1230" s="37" t="s">
        <v>58</v>
      </c>
      <c r="M1230" s="37" t="s">
        <v>54</v>
      </c>
      <c r="N1230" s="17" t="s">
        <v>28</v>
      </c>
      <c r="O1230" s="1"/>
      <c r="P1230" s="67" t="s">
        <v>2691</v>
      </c>
      <c r="Q1230" s="15"/>
      <c r="R1230" s="1"/>
      <c r="S1230" s="1"/>
    </row>
    <row r="1231">
      <c r="A1231" s="1"/>
      <c r="B1231" s="3">
        <f t="shared" si="3"/>
        <v>1227</v>
      </c>
      <c r="C1231" s="31" t="s">
        <v>2692</v>
      </c>
      <c r="D1231" s="37" t="s">
        <v>159</v>
      </c>
      <c r="E1231" s="37" t="s">
        <v>1769</v>
      </c>
      <c r="F1231" s="43" t="s">
        <v>2692</v>
      </c>
      <c r="G1231" s="37"/>
      <c r="H1231" s="46">
        <v>46190.0</v>
      </c>
      <c r="I1231" s="37" t="s">
        <v>1289</v>
      </c>
      <c r="J1231" s="17" t="s">
        <v>2693</v>
      </c>
      <c r="K1231" s="17" t="s">
        <v>2694</v>
      </c>
      <c r="L1231" s="37" t="s">
        <v>58</v>
      </c>
      <c r="M1231" s="37"/>
      <c r="N1231" s="17"/>
      <c r="O1231" s="1"/>
      <c r="P1231" s="15"/>
      <c r="Q1231" s="15"/>
      <c r="R1231" s="1"/>
      <c r="S1231" s="1"/>
    </row>
    <row r="1232">
      <c r="A1232" s="1"/>
      <c r="B1232" s="3">
        <f t="shared" si="3"/>
        <v>1228</v>
      </c>
      <c r="C1232" s="31" t="s">
        <v>2695</v>
      </c>
      <c r="D1232" s="37" t="s">
        <v>44</v>
      </c>
      <c r="E1232" s="37" t="s">
        <v>1300</v>
      </c>
      <c r="F1232" s="43" t="s">
        <v>2695</v>
      </c>
      <c r="G1232" s="37"/>
      <c r="H1232" s="46">
        <v>46190.0</v>
      </c>
      <c r="I1232" s="37" t="s">
        <v>1289</v>
      </c>
      <c r="J1232" s="17" t="s">
        <v>533</v>
      </c>
      <c r="K1232" s="17" t="s">
        <v>533</v>
      </c>
      <c r="L1232" s="37" t="s">
        <v>58</v>
      </c>
      <c r="M1232" s="37" t="s">
        <v>60</v>
      </c>
      <c r="N1232" s="17"/>
      <c r="O1232" s="1"/>
      <c r="P1232" s="15"/>
      <c r="Q1232" s="15"/>
      <c r="R1232" s="1"/>
      <c r="S1232" s="1"/>
    </row>
    <row r="1233">
      <c r="A1233" s="1"/>
      <c r="B1233" s="3">
        <f t="shared" si="3"/>
        <v>1229</v>
      </c>
      <c r="C1233" s="31" t="s">
        <v>2696</v>
      </c>
      <c r="D1233" s="37" t="s">
        <v>38</v>
      </c>
      <c r="E1233" s="37" t="s">
        <v>1285</v>
      </c>
      <c r="F1233" s="43" t="s">
        <v>2697</v>
      </c>
      <c r="G1233" s="37"/>
      <c r="H1233" s="46">
        <v>46190.0</v>
      </c>
      <c r="I1233" s="37" t="s">
        <v>1289</v>
      </c>
      <c r="J1233" s="17" t="s">
        <v>2585</v>
      </c>
      <c r="K1233" s="17" t="s">
        <v>517</v>
      </c>
      <c r="L1233" s="37" t="s">
        <v>58</v>
      </c>
      <c r="M1233" s="37" t="s">
        <v>74</v>
      </c>
      <c r="N1233" s="17"/>
      <c r="O1233" s="1"/>
      <c r="P1233" s="67" t="s">
        <v>2698</v>
      </c>
      <c r="Q1233" s="15"/>
      <c r="R1233" s="1"/>
      <c r="S1233" s="1"/>
    </row>
    <row r="1234">
      <c r="A1234" s="1"/>
      <c r="B1234" s="3">
        <f t="shared" si="3"/>
        <v>1230</v>
      </c>
      <c r="C1234" s="31" t="s">
        <v>2699</v>
      </c>
      <c r="D1234" s="37" t="s">
        <v>56</v>
      </c>
      <c r="E1234" s="37" t="s">
        <v>1598</v>
      </c>
      <c r="F1234" s="43" t="s">
        <v>2700</v>
      </c>
      <c r="G1234" s="37"/>
      <c r="H1234" s="46">
        <v>46190.0</v>
      </c>
      <c r="I1234" s="37" t="s">
        <v>1289</v>
      </c>
      <c r="J1234" s="17" t="s">
        <v>2701</v>
      </c>
      <c r="K1234" s="17" t="s">
        <v>2231</v>
      </c>
      <c r="L1234" s="37" t="s">
        <v>58</v>
      </c>
      <c r="M1234" s="37" t="s">
        <v>60</v>
      </c>
      <c r="N1234" s="17"/>
      <c r="O1234" s="1"/>
      <c r="P1234" s="15"/>
      <c r="Q1234" s="15"/>
      <c r="R1234" s="1"/>
      <c r="S1234" s="1"/>
    </row>
    <row r="1235">
      <c r="A1235" s="1"/>
      <c r="B1235" s="3">
        <f t="shared" si="3"/>
        <v>1231</v>
      </c>
      <c r="C1235" s="31" t="s">
        <v>2702</v>
      </c>
      <c r="D1235" s="37" t="s">
        <v>49</v>
      </c>
      <c r="E1235" s="37" t="s">
        <v>2703</v>
      </c>
      <c r="F1235" s="43" t="s">
        <v>2702</v>
      </c>
      <c r="G1235" s="37"/>
      <c r="H1235" s="46">
        <v>46190.0</v>
      </c>
      <c r="I1235" s="37" t="s">
        <v>1289</v>
      </c>
      <c r="J1235" s="17"/>
      <c r="K1235" s="17" t="s">
        <v>2672</v>
      </c>
      <c r="L1235" s="37" t="s">
        <v>58</v>
      </c>
      <c r="M1235" s="37"/>
      <c r="N1235" s="17"/>
      <c r="O1235" s="1"/>
      <c r="P1235" s="67" t="s">
        <v>2704</v>
      </c>
      <c r="Q1235" s="15"/>
      <c r="R1235" s="1"/>
      <c r="S1235" s="1"/>
    </row>
    <row r="1236">
      <c r="A1236" s="1"/>
      <c r="B1236" s="3">
        <f t="shared" si="3"/>
        <v>1232</v>
      </c>
      <c r="C1236" s="31" t="s">
        <v>2705</v>
      </c>
      <c r="D1236" s="37" t="s">
        <v>49</v>
      </c>
      <c r="E1236" s="37" t="s">
        <v>2000</v>
      </c>
      <c r="F1236" s="43" t="s">
        <v>2706</v>
      </c>
      <c r="G1236" s="37"/>
      <c r="H1236" s="46">
        <v>46190.0</v>
      </c>
      <c r="I1236" s="37" t="s">
        <v>1289</v>
      </c>
      <c r="J1236" s="17" t="s">
        <v>2707</v>
      </c>
      <c r="K1236" s="17" t="s">
        <v>2708</v>
      </c>
      <c r="L1236" s="37" t="s">
        <v>58</v>
      </c>
      <c r="M1236" s="37" t="s">
        <v>130</v>
      </c>
      <c r="N1236" s="17"/>
      <c r="O1236" s="1"/>
      <c r="P1236" s="67" t="s">
        <v>2709</v>
      </c>
      <c r="Q1236" s="15"/>
      <c r="R1236" s="1"/>
      <c r="S1236" s="1"/>
    </row>
    <row r="1237">
      <c r="A1237" s="1"/>
      <c r="B1237" s="3">
        <f t="shared" si="3"/>
        <v>1233</v>
      </c>
      <c r="C1237" s="31" t="s">
        <v>2710</v>
      </c>
      <c r="D1237" s="37" t="s">
        <v>44</v>
      </c>
      <c r="E1237" s="37" t="s">
        <v>1363</v>
      </c>
      <c r="F1237" s="43" t="s">
        <v>2711</v>
      </c>
      <c r="G1237" s="37"/>
      <c r="H1237" s="46">
        <v>46190.0</v>
      </c>
      <c r="I1237" s="37" t="s">
        <v>1289</v>
      </c>
      <c r="J1237" s="17"/>
      <c r="K1237" s="17"/>
      <c r="L1237" s="37" t="s">
        <v>58</v>
      </c>
      <c r="M1237" s="37" t="s">
        <v>130</v>
      </c>
      <c r="N1237" s="17"/>
      <c r="O1237" s="1"/>
      <c r="P1237" s="67" t="s">
        <v>2709</v>
      </c>
      <c r="Q1237" s="15"/>
      <c r="R1237" s="1"/>
      <c r="S1237" s="1"/>
    </row>
    <row r="1238">
      <c r="A1238" s="1"/>
      <c r="B1238" s="3">
        <f t="shared" si="3"/>
        <v>1234</v>
      </c>
      <c r="C1238" s="31" t="s">
        <v>2712</v>
      </c>
      <c r="D1238" s="37" t="s">
        <v>44</v>
      </c>
      <c r="E1238" s="37" t="s">
        <v>2713</v>
      </c>
      <c r="F1238" s="43" t="s">
        <v>2714</v>
      </c>
      <c r="G1238" s="37"/>
      <c r="H1238" s="46">
        <v>46190.0</v>
      </c>
      <c r="I1238" s="37" t="s">
        <v>1289</v>
      </c>
      <c r="J1238" s="17" t="s">
        <v>605</v>
      </c>
      <c r="K1238" s="17" t="s">
        <v>605</v>
      </c>
      <c r="L1238" s="37" t="s">
        <v>58</v>
      </c>
      <c r="M1238" s="37" t="s">
        <v>130</v>
      </c>
      <c r="N1238" s="17"/>
      <c r="O1238" s="1"/>
      <c r="P1238" s="118" t="s">
        <v>2715</v>
      </c>
      <c r="Q1238" s="15"/>
      <c r="R1238" s="1"/>
      <c r="S1238" s="1"/>
    </row>
    <row r="1239">
      <c r="A1239" s="1"/>
      <c r="B1239" s="3">
        <f t="shared" si="3"/>
        <v>1235</v>
      </c>
      <c r="C1239" s="31" t="s">
        <v>2716</v>
      </c>
      <c r="D1239" s="37" t="s">
        <v>116</v>
      </c>
      <c r="E1239" s="37" t="s">
        <v>2717</v>
      </c>
      <c r="F1239" s="43" t="s">
        <v>2718</v>
      </c>
      <c r="G1239" s="37"/>
      <c r="H1239" s="46">
        <v>46190.0</v>
      </c>
      <c r="I1239" s="37" t="s">
        <v>1289</v>
      </c>
      <c r="J1239" s="17" t="s">
        <v>2568</v>
      </c>
      <c r="K1239" s="17" t="s">
        <v>2528</v>
      </c>
      <c r="L1239" s="37" t="s">
        <v>58</v>
      </c>
      <c r="M1239" s="37"/>
      <c r="N1239" s="17"/>
      <c r="O1239" s="1"/>
      <c r="P1239" s="15"/>
      <c r="Q1239" s="15"/>
      <c r="R1239" s="1"/>
      <c r="S1239" s="1"/>
    </row>
    <row r="1240">
      <c r="A1240" s="1"/>
      <c r="B1240" s="3">
        <f t="shared" si="3"/>
        <v>1236</v>
      </c>
      <c r="C1240" s="31" t="s">
        <v>2719</v>
      </c>
      <c r="D1240" s="37" t="s">
        <v>116</v>
      </c>
      <c r="E1240" s="37" t="s">
        <v>2720</v>
      </c>
      <c r="F1240" s="43" t="s">
        <v>2719</v>
      </c>
      <c r="G1240" s="37"/>
      <c r="H1240" s="17" t="s">
        <v>2687</v>
      </c>
      <c r="I1240" s="37" t="s">
        <v>1289</v>
      </c>
      <c r="J1240" s="17" t="s">
        <v>571</v>
      </c>
      <c r="K1240" s="17" t="s">
        <v>2551</v>
      </c>
      <c r="L1240" s="37" t="s">
        <v>58</v>
      </c>
      <c r="M1240" s="37"/>
      <c r="N1240" s="17"/>
      <c r="O1240" s="1"/>
      <c r="P1240" s="15"/>
      <c r="Q1240" s="15"/>
      <c r="R1240" s="1"/>
      <c r="S1240" s="1"/>
    </row>
    <row r="1241">
      <c r="A1241" s="1"/>
      <c r="B1241" s="3">
        <f t="shared" si="3"/>
        <v>1237</v>
      </c>
      <c r="C1241" s="31" t="s">
        <v>2721</v>
      </c>
      <c r="D1241" s="37" t="s">
        <v>49</v>
      </c>
      <c r="E1241" s="37" t="s">
        <v>2722</v>
      </c>
      <c r="F1241" s="43" t="s">
        <v>2723</v>
      </c>
      <c r="G1241" s="37"/>
      <c r="H1241" s="46">
        <v>46190.0</v>
      </c>
      <c r="I1241" s="37" t="s">
        <v>1289</v>
      </c>
      <c r="J1241" s="17" t="s">
        <v>517</v>
      </c>
      <c r="K1241" s="17" t="s">
        <v>571</v>
      </c>
      <c r="L1241" s="37" t="s">
        <v>58</v>
      </c>
      <c r="M1241" s="37"/>
      <c r="N1241" s="17"/>
      <c r="O1241" s="1"/>
      <c r="P1241" s="15"/>
      <c r="Q1241" s="15"/>
      <c r="R1241" s="1"/>
      <c r="S1241" s="1"/>
    </row>
    <row r="1242">
      <c r="A1242" s="1"/>
      <c r="B1242" s="3">
        <f t="shared" si="3"/>
        <v>1238</v>
      </c>
      <c r="C1242" s="31" t="s">
        <v>2724</v>
      </c>
      <c r="D1242" s="37" t="s">
        <v>49</v>
      </c>
      <c r="E1242" s="37" t="s">
        <v>2465</v>
      </c>
      <c r="F1242" s="43" t="s">
        <v>2724</v>
      </c>
      <c r="G1242" s="37"/>
      <c r="H1242" s="46">
        <v>46190.0</v>
      </c>
      <c r="I1242" s="37" t="s">
        <v>1289</v>
      </c>
      <c r="J1242" s="17" t="s">
        <v>2725</v>
      </c>
      <c r="K1242" s="17" t="s">
        <v>2551</v>
      </c>
      <c r="L1242" s="37" t="s">
        <v>58</v>
      </c>
      <c r="M1242" s="37"/>
      <c r="N1242" s="17"/>
      <c r="O1242" s="1"/>
      <c r="P1242" s="15"/>
      <c r="Q1242" s="15"/>
      <c r="R1242" s="1"/>
      <c r="S1242" s="1"/>
    </row>
    <row r="1243">
      <c r="A1243" s="1"/>
      <c r="B1243" s="3">
        <f t="shared" si="3"/>
        <v>1239</v>
      </c>
      <c r="C1243" s="31" t="s">
        <v>2726</v>
      </c>
      <c r="D1243" s="37" t="s">
        <v>121</v>
      </c>
      <c r="E1243" s="37" t="s">
        <v>2727</v>
      </c>
      <c r="F1243" s="1"/>
      <c r="G1243" s="37"/>
      <c r="H1243" s="46">
        <v>46190.0</v>
      </c>
      <c r="I1243" s="37" t="s">
        <v>1289</v>
      </c>
      <c r="J1243" s="17" t="s">
        <v>517</v>
      </c>
      <c r="K1243" s="17" t="s">
        <v>2551</v>
      </c>
      <c r="L1243" s="37" t="s">
        <v>58</v>
      </c>
      <c r="M1243" s="37"/>
      <c r="N1243" s="17"/>
      <c r="O1243" s="1"/>
      <c r="P1243" s="15"/>
      <c r="Q1243" s="15"/>
      <c r="R1243" s="1"/>
      <c r="S1243" s="1"/>
    </row>
    <row r="1244">
      <c r="A1244" s="1"/>
      <c r="B1244" s="3">
        <f t="shared" si="3"/>
        <v>1240</v>
      </c>
      <c r="C1244" s="31" t="s">
        <v>2728</v>
      </c>
      <c r="D1244" s="37" t="s">
        <v>49</v>
      </c>
      <c r="E1244" s="37" t="s">
        <v>1477</v>
      </c>
      <c r="F1244" s="43" t="s">
        <v>2728</v>
      </c>
      <c r="G1244" s="37"/>
      <c r="H1244" s="46">
        <v>46190.0</v>
      </c>
      <c r="I1244" s="37" t="s">
        <v>1289</v>
      </c>
      <c r="J1244" s="17" t="s">
        <v>2729</v>
      </c>
      <c r="K1244" s="17" t="s">
        <v>2551</v>
      </c>
      <c r="L1244" s="37" t="s">
        <v>58</v>
      </c>
      <c r="M1244" s="37"/>
      <c r="N1244" s="17"/>
      <c r="O1244" s="1"/>
      <c r="P1244" s="15"/>
      <c r="Q1244" s="15"/>
      <c r="R1244" s="1"/>
      <c r="S1244" s="1"/>
    </row>
    <row r="1245">
      <c r="A1245" s="1"/>
      <c r="B1245" s="3">
        <f t="shared" si="3"/>
        <v>1241</v>
      </c>
      <c r="C1245" s="31" t="s">
        <v>2730</v>
      </c>
      <c r="D1245" s="37" t="s">
        <v>96</v>
      </c>
      <c r="E1245" s="37" t="s">
        <v>2023</v>
      </c>
      <c r="F1245" s="43" t="s">
        <v>2731</v>
      </c>
      <c r="G1245" s="37"/>
      <c r="H1245" s="46">
        <v>46190.0</v>
      </c>
      <c r="I1245" s="37" t="s">
        <v>1289</v>
      </c>
      <c r="J1245" s="17"/>
      <c r="K1245" s="17" t="s">
        <v>2551</v>
      </c>
      <c r="L1245" s="37" t="s">
        <v>58</v>
      </c>
      <c r="M1245" s="37"/>
      <c r="N1245" s="17"/>
      <c r="O1245" s="1"/>
      <c r="P1245" s="15"/>
      <c r="Q1245" s="15"/>
      <c r="R1245" s="1"/>
      <c r="S1245" s="1"/>
    </row>
    <row r="1246">
      <c r="A1246" s="1"/>
      <c r="B1246" s="3">
        <f t="shared" si="3"/>
        <v>1242</v>
      </c>
      <c r="C1246" s="31" t="s">
        <v>2732</v>
      </c>
      <c r="D1246" s="37" t="s">
        <v>83</v>
      </c>
      <c r="E1246" s="37" t="s">
        <v>1285</v>
      </c>
      <c r="F1246" s="43" t="s">
        <v>2733</v>
      </c>
      <c r="G1246" s="37"/>
      <c r="H1246" s="46">
        <v>46190.0</v>
      </c>
      <c r="I1246" s="37" t="s">
        <v>1289</v>
      </c>
      <c r="J1246" s="17" t="s">
        <v>715</v>
      </c>
      <c r="K1246" s="17" t="s">
        <v>2734</v>
      </c>
      <c r="L1246" s="37" t="s">
        <v>58</v>
      </c>
      <c r="M1246" s="37"/>
      <c r="N1246" s="17"/>
      <c r="O1246" s="1"/>
      <c r="P1246" s="15"/>
      <c r="Q1246" s="15"/>
      <c r="R1246" s="1"/>
      <c r="S1246" s="1"/>
    </row>
    <row r="1247">
      <c r="A1247" s="1"/>
      <c r="B1247" s="3">
        <f t="shared" si="3"/>
        <v>1243</v>
      </c>
      <c r="C1247" s="31" t="s">
        <v>2735</v>
      </c>
      <c r="D1247" s="37" t="s">
        <v>44</v>
      </c>
      <c r="E1247" s="37"/>
      <c r="F1247" s="43" t="s">
        <v>2736</v>
      </c>
      <c r="G1247" s="37"/>
      <c r="H1247" s="17" t="s">
        <v>2687</v>
      </c>
      <c r="I1247" s="37" t="s">
        <v>1289</v>
      </c>
      <c r="J1247" s="17" t="s">
        <v>2737</v>
      </c>
      <c r="K1247" s="17" t="s">
        <v>2738</v>
      </c>
      <c r="L1247" s="37" t="s">
        <v>58</v>
      </c>
      <c r="M1247" s="37"/>
      <c r="N1247" s="17"/>
      <c r="O1247" s="1"/>
      <c r="P1247" s="15"/>
      <c r="Q1247" s="15"/>
      <c r="R1247" s="1"/>
      <c r="S1247" s="1"/>
    </row>
    <row r="1248">
      <c r="A1248" s="1"/>
      <c r="B1248" s="3">
        <f t="shared" si="3"/>
        <v>1244</v>
      </c>
      <c r="C1248" s="31" t="s">
        <v>2739</v>
      </c>
      <c r="D1248" s="37" t="s">
        <v>38</v>
      </c>
      <c r="E1248" s="37" t="s">
        <v>2740</v>
      </c>
      <c r="F1248" s="43" t="s">
        <v>2741</v>
      </c>
      <c r="G1248" s="37"/>
      <c r="H1248" s="46">
        <v>46190.0</v>
      </c>
      <c r="I1248" s="37" t="s">
        <v>1289</v>
      </c>
      <c r="J1248" s="17" t="s">
        <v>2742</v>
      </c>
      <c r="K1248" s="17" t="s">
        <v>573</v>
      </c>
      <c r="L1248" s="37" t="s">
        <v>58</v>
      </c>
      <c r="M1248" s="37"/>
      <c r="N1248" s="17"/>
      <c r="O1248" s="1"/>
      <c r="P1248" s="15"/>
      <c r="Q1248" s="15"/>
      <c r="R1248" s="1"/>
      <c r="S1248" s="1"/>
    </row>
    <row r="1249">
      <c r="A1249" s="1"/>
      <c r="B1249" s="3">
        <f t="shared" si="3"/>
        <v>1245</v>
      </c>
      <c r="C1249" s="31" t="s">
        <v>2743</v>
      </c>
      <c r="D1249" s="37" t="s">
        <v>83</v>
      </c>
      <c r="E1249" s="37" t="s">
        <v>2744</v>
      </c>
      <c r="F1249" s="1"/>
      <c r="G1249" s="37"/>
      <c r="H1249" s="46">
        <v>46190.0</v>
      </c>
      <c r="I1249" s="37" t="s">
        <v>1289</v>
      </c>
      <c r="J1249" s="17" t="s">
        <v>2745</v>
      </c>
      <c r="K1249" s="17" t="s">
        <v>923</v>
      </c>
      <c r="L1249" s="37" t="s">
        <v>58</v>
      </c>
      <c r="M1249" s="37" t="s">
        <v>73</v>
      </c>
      <c r="N1249" s="17" t="s">
        <v>28</v>
      </c>
      <c r="O1249" s="1"/>
      <c r="P1249" s="67" t="s">
        <v>2746</v>
      </c>
      <c r="Q1249" s="15"/>
      <c r="R1249" s="1"/>
      <c r="S1249" s="1"/>
    </row>
    <row r="1250">
      <c r="A1250" s="1"/>
      <c r="B1250" s="3">
        <f t="shared" si="3"/>
        <v>1246</v>
      </c>
      <c r="C1250" s="31" t="s">
        <v>2747</v>
      </c>
      <c r="D1250" s="37" t="s">
        <v>44</v>
      </c>
      <c r="E1250" s="37" t="s">
        <v>1589</v>
      </c>
      <c r="F1250" s="1"/>
      <c r="G1250" s="37"/>
      <c r="H1250" s="46">
        <v>46190.0</v>
      </c>
      <c r="I1250" s="37" t="s">
        <v>1289</v>
      </c>
      <c r="J1250" s="17" t="s">
        <v>2748</v>
      </c>
      <c r="K1250" s="17" t="s">
        <v>2551</v>
      </c>
      <c r="L1250" s="37" t="s">
        <v>58</v>
      </c>
      <c r="M1250" s="37"/>
      <c r="N1250" s="17"/>
      <c r="O1250" s="1"/>
      <c r="P1250" s="15"/>
      <c r="Q1250" s="15"/>
      <c r="R1250" s="1"/>
      <c r="S1250" s="1"/>
    </row>
    <row r="1251">
      <c r="A1251" s="1"/>
      <c r="B1251" s="3">
        <f t="shared" si="3"/>
        <v>1247</v>
      </c>
      <c r="C1251" s="31" t="s">
        <v>2749</v>
      </c>
      <c r="D1251" s="37" t="s">
        <v>104</v>
      </c>
      <c r="E1251" s="37" t="s">
        <v>1530</v>
      </c>
      <c r="F1251" s="1"/>
      <c r="G1251" s="37"/>
      <c r="H1251" s="46">
        <v>46190.0</v>
      </c>
      <c r="I1251" s="37" t="s">
        <v>1289</v>
      </c>
      <c r="J1251" s="17" t="s">
        <v>558</v>
      </c>
      <c r="K1251" s="17" t="s">
        <v>2750</v>
      </c>
      <c r="L1251" s="37" t="s">
        <v>58</v>
      </c>
      <c r="M1251" s="37"/>
      <c r="N1251" s="17"/>
      <c r="O1251" s="1"/>
      <c r="P1251" s="15"/>
      <c r="Q1251" s="15"/>
      <c r="R1251" s="1"/>
      <c r="S1251" s="1"/>
    </row>
    <row r="1252">
      <c r="A1252" s="1"/>
      <c r="B1252" s="3">
        <f t="shared" si="3"/>
        <v>1248</v>
      </c>
      <c r="C1252" s="31" t="s">
        <v>2751</v>
      </c>
      <c r="D1252" s="37" t="s">
        <v>116</v>
      </c>
      <c r="E1252" s="37" t="s">
        <v>1533</v>
      </c>
      <c r="F1252" s="43" t="s">
        <v>2752</v>
      </c>
      <c r="G1252" s="37"/>
      <c r="H1252" s="46">
        <v>46190.0</v>
      </c>
      <c r="I1252" s="37" t="s">
        <v>1289</v>
      </c>
      <c r="J1252" s="17"/>
      <c r="K1252" s="17" t="s">
        <v>2734</v>
      </c>
      <c r="L1252" s="37" t="s">
        <v>58</v>
      </c>
      <c r="M1252" s="37"/>
      <c r="N1252" s="17"/>
      <c r="O1252" s="1"/>
      <c r="P1252" s="15"/>
      <c r="Q1252" s="15"/>
      <c r="R1252" s="1"/>
      <c r="S1252" s="1"/>
    </row>
    <row r="1253">
      <c r="A1253" s="1"/>
      <c r="B1253" s="3">
        <f t="shared" si="3"/>
        <v>1249</v>
      </c>
      <c r="C1253" s="31" t="s">
        <v>2753</v>
      </c>
      <c r="D1253" s="37" t="s">
        <v>49</v>
      </c>
      <c r="E1253" s="37" t="s">
        <v>2754</v>
      </c>
      <c r="F1253" s="1"/>
      <c r="G1253" s="37"/>
      <c r="H1253" s="46">
        <v>46190.0</v>
      </c>
      <c r="I1253" s="37" t="s">
        <v>1289</v>
      </c>
      <c r="J1253" s="17"/>
      <c r="K1253" s="17" t="s">
        <v>2755</v>
      </c>
      <c r="L1253" s="37" t="s">
        <v>189</v>
      </c>
      <c r="M1253" s="37"/>
      <c r="N1253" s="17"/>
      <c r="O1253" s="1"/>
      <c r="P1253" s="15"/>
      <c r="Q1253" s="15"/>
      <c r="R1253" s="1"/>
      <c r="S1253" s="1"/>
    </row>
    <row r="1254">
      <c r="A1254" s="1"/>
      <c r="B1254" s="3">
        <f t="shared" si="3"/>
        <v>1250</v>
      </c>
      <c r="C1254" s="31" t="s">
        <v>2756</v>
      </c>
      <c r="D1254" s="37" t="s">
        <v>121</v>
      </c>
      <c r="E1254" s="37" t="s">
        <v>2384</v>
      </c>
      <c r="F1254" s="1"/>
      <c r="G1254" s="37"/>
      <c r="H1254" s="46">
        <v>46190.0</v>
      </c>
      <c r="I1254" s="37" t="s">
        <v>1289</v>
      </c>
      <c r="J1254" s="17"/>
      <c r="K1254" s="17" t="s">
        <v>2757</v>
      </c>
      <c r="L1254" s="37" t="s">
        <v>189</v>
      </c>
      <c r="M1254" s="37"/>
      <c r="N1254" s="17"/>
      <c r="O1254" s="1"/>
      <c r="P1254" s="15"/>
      <c r="Q1254" s="15"/>
      <c r="R1254" s="1"/>
      <c r="S1254" s="1"/>
    </row>
    <row r="1255">
      <c r="A1255" s="1"/>
      <c r="B1255" s="3">
        <f t="shared" si="3"/>
        <v>1251</v>
      </c>
      <c r="C1255" s="31" t="s">
        <v>2758</v>
      </c>
      <c r="D1255" s="37" t="s">
        <v>44</v>
      </c>
      <c r="E1255" s="37" t="s">
        <v>2436</v>
      </c>
      <c r="F1255" s="1"/>
      <c r="G1255" s="37"/>
      <c r="H1255" s="46">
        <v>46190.0</v>
      </c>
      <c r="I1255" s="37" t="s">
        <v>1289</v>
      </c>
      <c r="J1255" s="17"/>
      <c r="K1255" s="17" t="s">
        <v>2759</v>
      </c>
      <c r="L1255" s="37" t="s">
        <v>189</v>
      </c>
      <c r="M1255" s="37"/>
      <c r="N1255" s="17"/>
      <c r="O1255" s="1"/>
      <c r="P1255" s="15"/>
      <c r="Q1255" s="15"/>
      <c r="R1255" s="1"/>
      <c r="S1255" s="1"/>
    </row>
    <row r="1256">
      <c r="A1256" s="1"/>
      <c r="B1256" s="3">
        <f t="shared" si="3"/>
        <v>1252</v>
      </c>
      <c r="C1256" s="31" t="s">
        <v>2760</v>
      </c>
      <c r="D1256" s="37" t="s">
        <v>104</v>
      </c>
      <c r="E1256" s="37" t="s">
        <v>1578</v>
      </c>
      <c r="F1256" s="1"/>
      <c r="G1256" s="37"/>
      <c r="H1256" s="46">
        <v>46190.0</v>
      </c>
      <c r="I1256" s="37" t="s">
        <v>1289</v>
      </c>
      <c r="J1256" s="17"/>
      <c r="K1256" s="17" t="s">
        <v>2761</v>
      </c>
      <c r="L1256" s="37" t="s">
        <v>189</v>
      </c>
      <c r="M1256" s="37"/>
      <c r="N1256" s="17"/>
      <c r="O1256" s="1"/>
      <c r="P1256" s="15"/>
      <c r="Q1256" s="15"/>
      <c r="R1256" s="1"/>
      <c r="S1256" s="1"/>
    </row>
    <row r="1257">
      <c r="A1257" s="1"/>
      <c r="B1257" s="3">
        <f t="shared" si="3"/>
        <v>1253</v>
      </c>
      <c r="C1257" s="31" t="s">
        <v>2762</v>
      </c>
      <c r="D1257" s="37" t="s">
        <v>38</v>
      </c>
      <c r="E1257" s="37" t="s">
        <v>2763</v>
      </c>
      <c r="F1257" s="1"/>
      <c r="G1257" s="37"/>
      <c r="H1257" s="46">
        <v>46190.0</v>
      </c>
      <c r="I1257" s="37" t="s">
        <v>1289</v>
      </c>
      <c r="J1257" s="17"/>
      <c r="K1257" s="17"/>
      <c r="L1257" s="37" t="s">
        <v>189</v>
      </c>
      <c r="M1257" s="37"/>
      <c r="N1257" s="17"/>
      <c r="O1257" s="1"/>
      <c r="P1257" s="67" t="s">
        <v>2764</v>
      </c>
      <c r="Q1257" s="15"/>
      <c r="R1257" s="1"/>
      <c r="S1257" s="1"/>
    </row>
    <row r="1258">
      <c r="A1258" s="1"/>
      <c r="B1258" s="3">
        <f t="shared" si="3"/>
        <v>1254</v>
      </c>
      <c r="C1258" s="31" t="s">
        <v>2765</v>
      </c>
      <c r="D1258" s="37" t="s">
        <v>44</v>
      </c>
      <c r="E1258" s="37" t="s">
        <v>2766</v>
      </c>
      <c r="F1258" s="1"/>
      <c r="G1258" s="37"/>
      <c r="H1258" s="46">
        <v>46190.0</v>
      </c>
      <c r="I1258" s="37" t="s">
        <v>1289</v>
      </c>
      <c r="J1258" s="17"/>
      <c r="K1258" s="17" t="s">
        <v>2767</v>
      </c>
      <c r="L1258" s="37" t="s">
        <v>189</v>
      </c>
      <c r="M1258" s="37"/>
      <c r="N1258" s="17"/>
      <c r="O1258" s="1"/>
      <c r="P1258" s="15"/>
      <c r="Q1258" s="15"/>
      <c r="R1258" s="1"/>
      <c r="S1258" s="1"/>
    </row>
    <row r="1259">
      <c r="A1259" s="1"/>
      <c r="B1259" s="3">
        <f t="shared" si="3"/>
        <v>1255</v>
      </c>
      <c r="C1259" s="31" t="s">
        <v>2768</v>
      </c>
      <c r="D1259" s="37" t="s">
        <v>104</v>
      </c>
      <c r="E1259" s="37" t="s">
        <v>1493</v>
      </c>
      <c r="F1259" s="1"/>
      <c r="G1259" s="37"/>
      <c r="H1259" s="46">
        <v>46190.0</v>
      </c>
      <c r="I1259" s="37" t="s">
        <v>1289</v>
      </c>
      <c r="J1259" s="17"/>
      <c r="K1259" s="17" t="s">
        <v>2769</v>
      </c>
      <c r="L1259" s="37" t="s">
        <v>189</v>
      </c>
      <c r="M1259" s="37"/>
      <c r="N1259" s="17"/>
      <c r="O1259" s="1"/>
      <c r="P1259" s="15"/>
      <c r="Q1259" s="15"/>
      <c r="R1259" s="1"/>
      <c r="S1259" s="1"/>
    </row>
    <row r="1260">
      <c r="A1260" s="1"/>
      <c r="B1260" s="3">
        <f t="shared" si="3"/>
        <v>1256</v>
      </c>
      <c r="C1260" s="31" t="s">
        <v>2770</v>
      </c>
      <c r="D1260" s="37" t="s">
        <v>44</v>
      </c>
      <c r="E1260" s="37" t="s">
        <v>1428</v>
      </c>
      <c r="F1260" s="1"/>
      <c r="G1260" s="37"/>
      <c r="H1260" s="46">
        <v>46190.0</v>
      </c>
      <c r="I1260" s="37" t="s">
        <v>1289</v>
      </c>
      <c r="J1260" s="17"/>
      <c r="K1260" s="17" t="s">
        <v>571</v>
      </c>
      <c r="L1260" s="37" t="s">
        <v>189</v>
      </c>
      <c r="M1260" s="37"/>
      <c r="N1260" s="17"/>
      <c r="O1260" s="1"/>
      <c r="P1260" s="15"/>
      <c r="Q1260" s="15"/>
      <c r="R1260" s="1"/>
      <c r="S1260" s="1"/>
    </row>
    <row r="1261">
      <c r="A1261" s="1"/>
      <c r="B1261" s="3">
        <f t="shared" si="3"/>
        <v>1257</v>
      </c>
      <c r="C1261" s="31" t="s">
        <v>2771</v>
      </c>
      <c r="D1261" s="37" t="s">
        <v>38</v>
      </c>
      <c r="E1261" s="37" t="s">
        <v>1285</v>
      </c>
      <c r="F1261" s="1"/>
      <c r="G1261" s="37"/>
      <c r="H1261" s="46">
        <v>46190.0</v>
      </c>
      <c r="I1261" s="37" t="s">
        <v>1289</v>
      </c>
      <c r="J1261" s="17"/>
      <c r="K1261" s="17" t="s">
        <v>517</v>
      </c>
      <c r="L1261" s="37" t="s">
        <v>189</v>
      </c>
      <c r="M1261" s="37"/>
      <c r="N1261" s="17"/>
      <c r="O1261" s="1"/>
      <c r="P1261" s="15"/>
      <c r="Q1261" s="15"/>
      <c r="R1261" s="1"/>
      <c r="S1261" s="1"/>
    </row>
    <row r="1262">
      <c r="A1262" s="1"/>
      <c r="B1262" s="3">
        <f t="shared" si="3"/>
        <v>1258</v>
      </c>
      <c r="C1262" s="31" t="s">
        <v>2772</v>
      </c>
      <c r="D1262" s="37" t="s">
        <v>44</v>
      </c>
      <c r="E1262" s="37" t="s">
        <v>1285</v>
      </c>
      <c r="F1262" s="43" t="s">
        <v>2773</v>
      </c>
      <c r="G1262" s="37"/>
      <c r="H1262" s="46">
        <v>46190.0</v>
      </c>
      <c r="I1262" s="37" t="s">
        <v>1289</v>
      </c>
      <c r="J1262" s="17"/>
      <c r="K1262" s="17" t="s">
        <v>2662</v>
      </c>
      <c r="L1262" s="37" t="s">
        <v>58</v>
      </c>
      <c r="M1262" s="37" t="s">
        <v>73</v>
      </c>
      <c r="N1262" s="17"/>
      <c r="O1262" s="1"/>
      <c r="P1262" s="67" t="s">
        <v>2774</v>
      </c>
      <c r="Q1262" s="15"/>
      <c r="R1262" s="1"/>
      <c r="S1262" s="1"/>
    </row>
    <row r="1263">
      <c r="A1263" s="1"/>
      <c r="B1263" s="3">
        <f t="shared" si="3"/>
        <v>1259</v>
      </c>
      <c r="C1263" s="31" t="s">
        <v>2775</v>
      </c>
      <c r="D1263" s="37" t="s">
        <v>218</v>
      </c>
      <c r="E1263" s="37" t="s">
        <v>1363</v>
      </c>
      <c r="F1263" s="43" t="s">
        <v>2776</v>
      </c>
      <c r="G1263" s="37"/>
      <c r="H1263" s="46">
        <v>46190.0</v>
      </c>
      <c r="I1263" s="37" t="s">
        <v>1289</v>
      </c>
      <c r="J1263" s="17" t="s">
        <v>515</v>
      </c>
      <c r="K1263" s="17" t="s">
        <v>2231</v>
      </c>
      <c r="L1263" s="37" t="s">
        <v>58</v>
      </c>
      <c r="M1263" s="37" t="s">
        <v>73</v>
      </c>
      <c r="N1263" s="17"/>
      <c r="O1263" s="1"/>
      <c r="P1263" s="67" t="s">
        <v>2774</v>
      </c>
      <c r="Q1263" s="15"/>
      <c r="R1263" s="1"/>
      <c r="S1263" s="1"/>
    </row>
    <row r="1264">
      <c r="A1264" s="1"/>
      <c r="B1264" s="3">
        <f t="shared" si="3"/>
        <v>1260</v>
      </c>
      <c r="C1264" s="31" t="s">
        <v>2777</v>
      </c>
      <c r="D1264" s="37" t="s">
        <v>96</v>
      </c>
      <c r="E1264" s="37" t="s">
        <v>1692</v>
      </c>
      <c r="F1264" s="43" t="s">
        <v>2778</v>
      </c>
      <c r="G1264" s="37"/>
      <c r="H1264" s="46">
        <v>46241.0</v>
      </c>
      <c r="I1264" s="37" t="s">
        <v>1289</v>
      </c>
      <c r="J1264" s="17" t="s">
        <v>571</v>
      </c>
      <c r="K1264" s="17" t="s">
        <v>571</v>
      </c>
      <c r="L1264" s="37" t="s">
        <v>58</v>
      </c>
      <c r="M1264" s="37"/>
      <c r="N1264" s="17"/>
      <c r="O1264" s="1"/>
      <c r="P1264" s="15"/>
      <c r="Q1264" s="15"/>
      <c r="R1264" s="1"/>
      <c r="S1264" s="1"/>
    </row>
    <row r="1265">
      <c r="A1265" s="1"/>
      <c r="B1265" s="3">
        <f t="shared" si="3"/>
        <v>1261</v>
      </c>
      <c r="C1265" s="31" t="s">
        <v>2779</v>
      </c>
      <c r="D1265" s="37" t="s">
        <v>44</v>
      </c>
      <c r="E1265" s="37" t="s">
        <v>1357</v>
      </c>
      <c r="F1265" s="43" t="s">
        <v>2779</v>
      </c>
      <c r="G1265" s="37"/>
      <c r="H1265" s="46">
        <v>46241.0</v>
      </c>
      <c r="I1265" s="37" t="s">
        <v>1289</v>
      </c>
      <c r="J1265" s="17" t="s">
        <v>769</v>
      </c>
      <c r="K1265" s="17" t="s">
        <v>2231</v>
      </c>
      <c r="L1265" s="37" t="s">
        <v>58</v>
      </c>
      <c r="M1265" s="37"/>
      <c r="N1265" s="17"/>
      <c r="O1265" s="1"/>
      <c r="P1265" s="67" t="s">
        <v>2780</v>
      </c>
      <c r="Q1265" s="15"/>
      <c r="R1265" s="1"/>
      <c r="S1265" s="1"/>
    </row>
    <row r="1266">
      <c r="A1266" s="1"/>
      <c r="B1266" s="3">
        <f t="shared" si="3"/>
        <v>1262</v>
      </c>
      <c r="C1266" s="31" t="s">
        <v>2781</v>
      </c>
      <c r="D1266" s="37" t="s">
        <v>56</v>
      </c>
      <c r="E1266" s="37" t="s">
        <v>600</v>
      </c>
      <c r="F1266" s="43" t="s">
        <v>2781</v>
      </c>
      <c r="G1266" s="37"/>
      <c r="H1266" s="46">
        <v>46241.0</v>
      </c>
      <c r="I1266" s="37" t="s">
        <v>1289</v>
      </c>
      <c r="J1266" s="17" t="s">
        <v>517</v>
      </c>
      <c r="K1266" s="17" t="s">
        <v>2231</v>
      </c>
      <c r="L1266" s="37" t="s">
        <v>58</v>
      </c>
      <c r="M1266" s="37" t="s">
        <v>54</v>
      </c>
      <c r="N1266" s="17"/>
      <c r="O1266" s="1"/>
      <c r="P1266" s="15"/>
      <c r="Q1266" s="15"/>
      <c r="R1266" s="1"/>
      <c r="S1266" s="1"/>
    </row>
    <row r="1267">
      <c r="A1267" s="1"/>
      <c r="B1267" s="3">
        <f t="shared" si="3"/>
        <v>1263</v>
      </c>
      <c r="C1267" s="31" t="s">
        <v>2782</v>
      </c>
      <c r="D1267" s="37" t="s">
        <v>44</v>
      </c>
      <c r="E1267" s="37" t="s">
        <v>1493</v>
      </c>
      <c r="F1267" s="43" t="s">
        <v>2782</v>
      </c>
      <c r="G1267" s="37"/>
      <c r="H1267" s="46">
        <v>46241.0</v>
      </c>
      <c r="I1267" s="37" t="s">
        <v>1289</v>
      </c>
      <c r="J1267" s="17" t="s">
        <v>1058</v>
      </c>
      <c r="K1267" s="17" t="s">
        <v>2231</v>
      </c>
      <c r="L1267" s="37" t="s">
        <v>58</v>
      </c>
      <c r="M1267" s="37"/>
      <c r="N1267" s="17"/>
      <c r="O1267" s="1"/>
      <c r="P1267" s="67" t="s">
        <v>2783</v>
      </c>
      <c r="Q1267" s="15"/>
      <c r="R1267" s="1"/>
      <c r="S1267" s="1"/>
    </row>
    <row r="1268">
      <c r="A1268" s="1"/>
      <c r="B1268" s="3">
        <f t="shared" si="3"/>
        <v>1264</v>
      </c>
      <c r="C1268" s="31" t="s">
        <v>2784</v>
      </c>
      <c r="D1268" s="37" t="s">
        <v>44</v>
      </c>
      <c r="E1268" s="37" t="s">
        <v>1285</v>
      </c>
      <c r="F1268" s="43" t="s">
        <v>2784</v>
      </c>
      <c r="G1268" s="37"/>
      <c r="H1268" s="46">
        <v>46241.0</v>
      </c>
      <c r="I1268" s="37" t="s">
        <v>1289</v>
      </c>
      <c r="J1268" s="17" t="s">
        <v>533</v>
      </c>
      <c r="K1268" s="17" t="s">
        <v>2231</v>
      </c>
      <c r="L1268" s="37" t="s">
        <v>58</v>
      </c>
      <c r="M1268" s="37"/>
      <c r="N1268" s="17"/>
      <c r="O1268" s="1"/>
      <c r="P1268" s="67" t="s">
        <v>2785</v>
      </c>
      <c r="Q1268" s="15"/>
      <c r="R1268" s="1"/>
      <c r="S1268" s="1"/>
    </row>
    <row r="1269">
      <c r="A1269" s="1"/>
      <c r="B1269" s="3">
        <f t="shared" si="3"/>
        <v>1265</v>
      </c>
      <c r="C1269" s="31" t="s">
        <v>2786</v>
      </c>
      <c r="D1269" s="37" t="s">
        <v>96</v>
      </c>
      <c r="E1269" s="37" t="s">
        <v>2787</v>
      </c>
      <c r="F1269" s="43" t="s">
        <v>2788</v>
      </c>
      <c r="G1269" s="37"/>
      <c r="H1269" s="46">
        <v>46241.0</v>
      </c>
      <c r="I1269" s="37" t="s">
        <v>1289</v>
      </c>
      <c r="J1269" s="17" t="s">
        <v>533</v>
      </c>
      <c r="K1269" s="17" t="s">
        <v>2231</v>
      </c>
      <c r="L1269" s="37" t="s">
        <v>58</v>
      </c>
      <c r="M1269" s="37"/>
      <c r="N1269" s="17"/>
      <c r="O1269" s="1"/>
      <c r="P1269" s="15"/>
      <c r="Q1269" s="15"/>
      <c r="R1269" s="1"/>
      <c r="S1269" s="1"/>
    </row>
    <row r="1270">
      <c r="A1270" s="1"/>
      <c r="B1270" s="3">
        <f t="shared" si="3"/>
        <v>1266</v>
      </c>
      <c r="C1270" s="31" t="s">
        <v>2789</v>
      </c>
      <c r="D1270" s="37" t="s">
        <v>96</v>
      </c>
      <c r="E1270" s="37" t="s">
        <v>1799</v>
      </c>
      <c r="F1270" s="43" t="s">
        <v>2789</v>
      </c>
      <c r="G1270" s="37"/>
      <c r="H1270" s="46">
        <v>46241.0</v>
      </c>
      <c r="I1270" s="37" t="s">
        <v>1289</v>
      </c>
      <c r="J1270" s="17" t="s">
        <v>518</v>
      </c>
      <c r="K1270" s="17" t="s">
        <v>571</v>
      </c>
      <c r="L1270" s="37" t="s">
        <v>58</v>
      </c>
      <c r="M1270" s="37"/>
      <c r="N1270" s="17"/>
      <c r="O1270" s="1"/>
      <c r="P1270" s="67" t="s">
        <v>2790</v>
      </c>
      <c r="Q1270" s="15"/>
      <c r="R1270" s="1"/>
      <c r="S1270" s="1"/>
    </row>
    <row r="1271">
      <c r="A1271" s="1"/>
      <c r="B1271" s="3">
        <f t="shared" si="3"/>
        <v>1267</v>
      </c>
      <c r="C1271" s="31" t="s">
        <v>2791</v>
      </c>
      <c r="D1271" s="37" t="s">
        <v>44</v>
      </c>
      <c r="E1271" s="37" t="s">
        <v>2296</v>
      </c>
      <c r="F1271" s="43" t="s">
        <v>2792</v>
      </c>
      <c r="G1271" s="37"/>
      <c r="H1271" s="46">
        <v>46241.0</v>
      </c>
      <c r="I1271" s="37" t="s">
        <v>1289</v>
      </c>
      <c r="J1271" s="17" t="s">
        <v>533</v>
      </c>
      <c r="K1271" s="17" t="s">
        <v>2793</v>
      </c>
      <c r="L1271" s="37" t="s">
        <v>58</v>
      </c>
      <c r="M1271" s="37"/>
      <c r="N1271" s="17"/>
      <c r="O1271" s="1"/>
      <c r="P1271" s="15"/>
      <c r="Q1271" s="15"/>
      <c r="R1271" s="1"/>
      <c r="S1271" s="1"/>
    </row>
    <row r="1272">
      <c r="A1272" s="1"/>
      <c r="B1272" s="3">
        <f t="shared" si="3"/>
        <v>1268</v>
      </c>
      <c r="C1272" s="31" t="s">
        <v>2794</v>
      </c>
      <c r="D1272" s="37" t="s">
        <v>49</v>
      </c>
      <c r="E1272" s="37" t="s">
        <v>2795</v>
      </c>
      <c r="F1272" s="43" t="s">
        <v>2796</v>
      </c>
      <c r="G1272" s="37"/>
      <c r="H1272" s="46">
        <v>46241.0</v>
      </c>
      <c r="I1272" s="37" t="s">
        <v>1289</v>
      </c>
      <c r="J1272" s="17" t="s">
        <v>769</v>
      </c>
      <c r="K1272" s="17"/>
      <c r="L1272" s="37" t="s">
        <v>58</v>
      </c>
      <c r="M1272" s="37"/>
      <c r="N1272" s="17"/>
      <c r="O1272" s="1"/>
      <c r="P1272" s="15"/>
      <c r="Q1272" s="15"/>
      <c r="R1272" s="1"/>
      <c r="S1272" s="1"/>
    </row>
    <row r="1273">
      <c r="A1273" s="1"/>
      <c r="B1273" s="3">
        <f t="shared" si="3"/>
        <v>1269</v>
      </c>
      <c r="C1273" s="31" t="s">
        <v>2797</v>
      </c>
      <c r="D1273" s="37" t="s">
        <v>44</v>
      </c>
      <c r="E1273" s="37" t="s">
        <v>600</v>
      </c>
      <c r="F1273" s="43" t="s">
        <v>2797</v>
      </c>
      <c r="G1273" s="37"/>
      <c r="H1273" s="46">
        <v>46241.0</v>
      </c>
      <c r="I1273" s="37" t="s">
        <v>1289</v>
      </c>
      <c r="J1273" s="17" t="s">
        <v>573</v>
      </c>
      <c r="K1273" s="17" t="s">
        <v>2342</v>
      </c>
      <c r="L1273" s="37" t="s">
        <v>58</v>
      </c>
      <c r="M1273" s="37"/>
      <c r="N1273" s="17"/>
      <c r="O1273" s="1"/>
      <c r="P1273" s="67" t="s">
        <v>2798</v>
      </c>
      <c r="Q1273" s="15"/>
      <c r="R1273" s="1"/>
      <c r="S1273" s="1"/>
    </row>
    <row r="1274">
      <c r="A1274" s="1"/>
      <c r="B1274" s="3">
        <f t="shared" si="3"/>
        <v>1270</v>
      </c>
      <c r="C1274" s="31" t="s">
        <v>2799</v>
      </c>
      <c r="D1274" s="37" t="s">
        <v>83</v>
      </c>
      <c r="E1274" s="37" t="s">
        <v>600</v>
      </c>
      <c r="F1274" s="43" t="s">
        <v>2800</v>
      </c>
      <c r="G1274" s="37"/>
      <c r="H1274" s="46">
        <v>46241.0</v>
      </c>
      <c r="I1274" s="37" t="s">
        <v>1289</v>
      </c>
      <c r="J1274" s="17" t="s">
        <v>2801</v>
      </c>
      <c r="K1274" s="17" t="s">
        <v>715</v>
      </c>
      <c r="L1274" s="37" t="s">
        <v>58</v>
      </c>
      <c r="M1274" s="37" t="s">
        <v>57</v>
      </c>
      <c r="N1274" s="17" t="s">
        <v>39</v>
      </c>
      <c r="O1274" s="1"/>
      <c r="P1274" s="67" t="s">
        <v>2802</v>
      </c>
      <c r="Q1274" s="15"/>
      <c r="R1274" s="1"/>
      <c r="S1274" s="1"/>
    </row>
    <row r="1275">
      <c r="A1275" s="1"/>
      <c r="B1275" s="3">
        <f t="shared" si="3"/>
        <v>1271</v>
      </c>
      <c r="C1275" s="31" t="s">
        <v>2803</v>
      </c>
      <c r="D1275" s="37" t="s">
        <v>83</v>
      </c>
      <c r="E1275" s="37" t="s">
        <v>2804</v>
      </c>
      <c r="F1275" s="43" t="s">
        <v>2805</v>
      </c>
      <c r="G1275" s="37"/>
      <c r="H1275" s="46">
        <v>46241.0</v>
      </c>
      <c r="I1275" s="37" t="s">
        <v>1289</v>
      </c>
      <c r="J1275" s="17" t="s">
        <v>540</v>
      </c>
      <c r="K1275" s="17" t="s">
        <v>2806</v>
      </c>
      <c r="L1275" s="37" t="s">
        <v>189</v>
      </c>
      <c r="M1275" s="37"/>
      <c r="N1275" s="17"/>
      <c r="O1275" s="1"/>
      <c r="P1275" s="15"/>
      <c r="Q1275" s="15"/>
      <c r="R1275" s="1"/>
      <c r="S1275" s="1"/>
    </row>
    <row r="1276">
      <c r="A1276" s="1"/>
      <c r="B1276" s="3">
        <f t="shared" si="3"/>
        <v>1272</v>
      </c>
      <c r="C1276" s="31" t="s">
        <v>2807</v>
      </c>
      <c r="D1276" s="37" t="s">
        <v>49</v>
      </c>
      <c r="E1276" s="37" t="s">
        <v>2808</v>
      </c>
      <c r="F1276" s="43" t="s">
        <v>2809</v>
      </c>
      <c r="G1276" s="37"/>
      <c r="H1276" s="46">
        <v>46241.0</v>
      </c>
      <c r="I1276" s="37" t="s">
        <v>1289</v>
      </c>
      <c r="J1276" s="17"/>
      <c r="K1276" s="17" t="s">
        <v>2342</v>
      </c>
      <c r="L1276" s="37" t="s">
        <v>58</v>
      </c>
      <c r="M1276" s="37"/>
      <c r="N1276" s="17"/>
      <c r="O1276" s="1"/>
      <c r="P1276" s="15"/>
      <c r="Q1276" s="15"/>
      <c r="R1276" s="1"/>
      <c r="S1276" s="1"/>
    </row>
    <row r="1277">
      <c r="A1277" s="1"/>
      <c r="B1277" s="3">
        <f t="shared" si="3"/>
        <v>1273</v>
      </c>
      <c r="C1277" s="31" t="s">
        <v>2810</v>
      </c>
      <c r="D1277" s="37" t="s">
        <v>83</v>
      </c>
      <c r="E1277" s="37" t="s">
        <v>2811</v>
      </c>
      <c r="F1277" s="43" t="s">
        <v>2812</v>
      </c>
      <c r="G1277" s="37"/>
      <c r="H1277" s="46">
        <v>46241.0</v>
      </c>
      <c r="I1277" s="37" t="s">
        <v>1289</v>
      </c>
      <c r="J1277" s="17" t="s">
        <v>765</v>
      </c>
      <c r="K1277" s="17" t="s">
        <v>1292</v>
      </c>
      <c r="L1277" s="37" t="s">
        <v>189</v>
      </c>
      <c r="M1277" s="37"/>
      <c r="N1277" s="17"/>
      <c r="O1277" s="1"/>
      <c r="P1277" s="67" t="s">
        <v>2813</v>
      </c>
      <c r="Q1277" s="15"/>
      <c r="R1277" s="1"/>
      <c r="S1277" s="1"/>
    </row>
    <row r="1278">
      <c r="A1278" s="1"/>
      <c r="B1278" s="3">
        <f t="shared" si="3"/>
        <v>1274</v>
      </c>
      <c r="C1278" s="31" t="s">
        <v>2814</v>
      </c>
      <c r="D1278" s="37" t="s">
        <v>497</v>
      </c>
      <c r="E1278" s="37" t="s">
        <v>1500</v>
      </c>
      <c r="F1278" s="43" t="s">
        <v>2815</v>
      </c>
      <c r="G1278" s="37"/>
      <c r="H1278" s="46">
        <v>46241.0</v>
      </c>
      <c r="I1278" s="37" t="s">
        <v>1289</v>
      </c>
      <c r="J1278" s="17"/>
      <c r="K1278" s="17" t="s">
        <v>2816</v>
      </c>
      <c r="L1278" s="37" t="s">
        <v>58</v>
      </c>
      <c r="M1278" s="37"/>
      <c r="N1278" s="17"/>
      <c r="O1278" s="1"/>
      <c r="P1278" s="15"/>
      <c r="Q1278" s="15"/>
      <c r="R1278" s="1"/>
      <c r="S1278" s="1"/>
    </row>
    <row r="1279">
      <c r="A1279" s="1"/>
      <c r="B1279" s="3">
        <f t="shared" si="3"/>
        <v>1275</v>
      </c>
      <c r="C1279" s="31" t="s">
        <v>2817</v>
      </c>
      <c r="D1279" s="37" t="s">
        <v>116</v>
      </c>
      <c r="E1279" s="37" t="s">
        <v>2818</v>
      </c>
      <c r="F1279" s="43" t="s">
        <v>2817</v>
      </c>
      <c r="G1279" s="37"/>
      <c r="H1279" s="46">
        <v>46241.0</v>
      </c>
      <c r="I1279" s="37" t="s">
        <v>1289</v>
      </c>
      <c r="J1279" s="17" t="s">
        <v>2819</v>
      </c>
      <c r="K1279" s="17" t="s">
        <v>2820</v>
      </c>
      <c r="L1279" s="37" t="s">
        <v>189</v>
      </c>
      <c r="M1279" s="37"/>
      <c r="N1279" s="17"/>
      <c r="O1279" s="1"/>
      <c r="P1279" s="67" t="s">
        <v>2821</v>
      </c>
      <c r="Q1279" s="15"/>
      <c r="R1279" s="1"/>
      <c r="S1279" s="1"/>
    </row>
    <row r="1280">
      <c r="A1280" s="1"/>
      <c r="B1280" s="3">
        <f t="shared" si="3"/>
        <v>1276</v>
      </c>
      <c r="C1280" s="31" t="s">
        <v>2822</v>
      </c>
      <c r="D1280" s="37" t="s">
        <v>104</v>
      </c>
      <c r="E1280" s="37" t="s">
        <v>2085</v>
      </c>
      <c r="F1280" s="43" t="s">
        <v>2823</v>
      </c>
      <c r="G1280" s="37"/>
      <c r="H1280" s="46">
        <v>46241.0</v>
      </c>
      <c r="I1280" s="37" t="s">
        <v>1289</v>
      </c>
      <c r="J1280" s="17"/>
      <c r="K1280" s="17" t="s">
        <v>648</v>
      </c>
      <c r="L1280" s="37" t="s">
        <v>58</v>
      </c>
      <c r="M1280" s="37"/>
      <c r="N1280" s="17"/>
      <c r="O1280" s="1"/>
      <c r="P1280" s="67" t="s">
        <v>2824</v>
      </c>
      <c r="Q1280" s="15"/>
      <c r="R1280" s="1"/>
      <c r="S1280" s="1"/>
    </row>
    <row r="1281">
      <c r="A1281" s="1"/>
      <c r="B1281" s="3">
        <f t="shared" si="3"/>
        <v>1277</v>
      </c>
      <c r="C1281" s="31" t="s">
        <v>2825</v>
      </c>
      <c r="D1281" s="37" t="s">
        <v>47</v>
      </c>
      <c r="E1281" s="37" t="s">
        <v>2826</v>
      </c>
      <c r="F1281" s="43" t="s">
        <v>2827</v>
      </c>
      <c r="G1281" s="37"/>
      <c r="H1281" s="46">
        <v>46241.0</v>
      </c>
      <c r="I1281" s="37" t="s">
        <v>1289</v>
      </c>
      <c r="J1281" s="17" t="s">
        <v>2828</v>
      </c>
      <c r="K1281" s="17" t="s">
        <v>518</v>
      </c>
      <c r="L1281" s="37" t="s">
        <v>58</v>
      </c>
      <c r="M1281" s="37"/>
      <c r="N1281" s="17"/>
      <c r="O1281" s="1"/>
      <c r="P1281" s="15"/>
      <c r="Q1281" s="15"/>
      <c r="R1281" s="1"/>
      <c r="S1281" s="1"/>
    </row>
    <row r="1282">
      <c r="A1282" s="1"/>
      <c r="B1282" s="3">
        <f t="shared" si="3"/>
        <v>1278</v>
      </c>
      <c r="C1282" s="31" t="s">
        <v>2829</v>
      </c>
      <c r="D1282" s="37" t="s">
        <v>159</v>
      </c>
      <c r="E1282" s="37" t="s">
        <v>1595</v>
      </c>
      <c r="F1282" s="43" t="s">
        <v>2829</v>
      </c>
      <c r="G1282" s="37"/>
      <c r="H1282" s="46">
        <v>46241.0</v>
      </c>
      <c r="I1282" s="37" t="s">
        <v>1289</v>
      </c>
      <c r="J1282" s="17"/>
      <c r="K1282" s="17" t="s">
        <v>2830</v>
      </c>
      <c r="L1282" s="37" t="s">
        <v>58</v>
      </c>
      <c r="M1282" s="37"/>
      <c r="N1282" s="17"/>
      <c r="O1282" s="1"/>
      <c r="P1282" s="15"/>
      <c r="Q1282" s="15"/>
      <c r="R1282" s="1"/>
      <c r="S1282" s="1"/>
    </row>
    <row r="1283">
      <c r="A1283" s="1"/>
      <c r="B1283" s="3">
        <f t="shared" si="3"/>
        <v>1279</v>
      </c>
      <c r="C1283" s="31" t="s">
        <v>2831</v>
      </c>
      <c r="D1283" s="37" t="s">
        <v>1505</v>
      </c>
      <c r="E1283" s="37" t="s">
        <v>2333</v>
      </c>
      <c r="F1283" s="43" t="s">
        <v>2832</v>
      </c>
      <c r="G1283" s="37"/>
      <c r="H1283" s="46">
        <v>46241.0</v>
      </c>
      <c r="I1283" s="37" t="s">
        <v>1289</v>
      </c>
      <c r="J1283" s="17"/>
      <c r="K1283" s="17"/>
      <c r="L1283" s="37"/>
      <c r="M1283" s="37"/>
      <c r="N1283" s="17"/>
      <c r="O1283" s="1"/>
      <c r="P1283" s="15"/>
      <c r="Q1283" s="15"/>
      <c r="R1283" s="1"/>
      <c r="S1283" s="1"/>
    </row>
    <row r="1284">
      <c r="A1284" s="1"/>
      <c r="B1284" s="3">
        <f t="shared" si="3"/>
        <v>1280</v>
      </c>
      <c r="C1284" s="31" t="s">
        <v>2833</v>
      </c>
      <c r="D1284" s="37" t="s">
        <v>103</v>
      </c>
      <c r="E1284" s="37" t="s">
        <v>2431</v>
      </c>
      <c r="F1284" s="43" t="s">
        <v>2834</v>
      </c>
      <c r="G1284" s="37"/>
      <c r="H1284" s="46">
        <v>46241.0</v>
      </c>
      <c r="I1284" s="37" t="s">
        <v>1289</v>
      </c>
      <c r="J1284" s="17"/>
      <c r="K1284" s="17" t="s">
        <v>605</v>
      </c>
      <c r="L1284" s="37" t="s">
        <v>58</v>
      </c>
      <c r="M1284" s="37"/>
      <c r="N1284" s="17"/>
      <c r="O1284" s="1"/>
      <c r="P1284" s="15"/>
      <c r="Q1284" s="15"/>
      <c r="R1284" s="1"/>
      <c r="S1284" s="1"/>
    </row>
    <row r="1285">
      <c r="A1285" s="1"/>
      <c r="B1285" s="3">
        <f t="shared" si="3"/>
        <v>1281</v>
      </c>
      <c r="C1285" s="31" t="s">
        <v>2835</v>
      </c>
      <c r="D1285" s="37" t="s">
        <v>1511</v>
      </c>
      <c r="E1285" s="37" t="s">
        <v>2370</v>
      </c>
      <c r="F1285" s="43" t="s">
        <v>2835</v>
      </c>
      <c r="G1285" s="37"/>
      <c r="H1285" s="46">
        <v>46241.0</v>
      </c>
      <c r="I1285" s="37" t="s">
        <v>1289</v>
      </c>
      <c r="J1285" s="17" t="s">
        <v>533</v>
      </c>
      <c r="K1285" s="17" t="s">
        <v>557</v>
      </c>
      <c r="L1285" s="37" t="s">
        <v>58</v>
      </c>
      <c r="M1285" s="37"/>
      <c r="N1285" s="17"/>
      <c r="O1285" s="1"/>
      <c r="P1285" s="15"/>
      <c r="Q1285" s="15"/>
      <c r="R1285" s="1"/>
      <c r="S1285" s="1"/>
    </row>
    <row r="1286">
      <c r="A1286" s="1"/>
      <c r="B1286" s="3">
        <f t="shared" si="3"/>
        <v>1282</v>
      </c>
      <c r="C1286" s="31" t="s">
        <v>2836</v>
      </c>
      <c r="D1286" s="37" t="s">
        <v>83</v>
      </c>
      <c r="E1286" s="37" t="s">
        <v>1343</v>
      </c>
      <c r="F1286" s="43" t="s">
        <v>2837</v>
      </c>
      <c r="G1286" s="37"/>
      <c r="H1286" s="46">
        <v>46241.0</v>
      </c>
      <c r="I1286" s="37" t="s">
        <v>1289</v>
      </c>
      <c r="J1286" s="17" t="s">
        <v>533</v>
      </c>
      <c r="K1286" s="17" t="s">
        <v>571</v>
      </c>
      <c r="L1286" s="37" t="s">
        <v>58</v>
      </c>
      <c r="M1286" s="37"/>
      <c r="N1286" s="17"/>
      <c r="O1286" s="1"/>
      <c r="P1286" s="67" t="s">
        <v>2813</v>
      </c>
      <c r="Q1286" s="15"/>
      <c r="R1286" s="1"/>
      <c r="S1286" s="1"/>
    </row>
    <row r="1287">
      <c r="A1287" s="1"/>
      <c r="B1287" s="3">
        <f t="shared" si="3"/>
        <v>1283</v>
      </c>
      <c r="C1287" s="31" t="s">
        <v>2838</v>
      </c>
      <c r="D1287" s="37" t="s">
        <v>1505</v>
      </c>
      <c r="E1287" s="37" t="s">
        <v>2839</v>
      </c>
      <c r="F1287" s="1"/>
      <c r="G1287" s="37"/>
      <c r="H1287" s="46">
        <v>46241.0</v>
      </c>
      <c r="I1287" s="37" t="s">
        <v>1289</v>
      </c>
      <c r="J1287" s="17" t="s">
        <v>605</v>
      </c>
      <c r="K1287" s="17" t="s">
        <v>533</v>
      </c>
      <c r="L1287" s="37" t="s">
        <v>58</v>
      </c>
      <c r="M1287" s="37"/>
      <c r="N1287" s="17"/>
      <c r="O1287" s="1"/>
      <c r="P1287" s="67">
        <v>4.242492838E9</v>
      </c>
      <c r="Q1287" s="67" t="s">
        <v>2840</v>
      </c>
      <c r="R1287" s="1"/>
      <c r="S1287" s="1"/>
    </row>
    <row r="1288">
      <c r="A1288" s="1"/>
      <c r="B1288" s="3">
        <f t="shared" si="3"/>
        <v>1284</v>
      </c>
      <c r="C1288" s="31" t="s">
        <v>2841</v>
      </c>
      <c r="D1288" s="37" t="s">
        <v>159</v>
      </c>
      <c r="E1288" s="37" t="s">
        <v>1493</v>
      </c>
      <c r="F1288" s="1"/>
      <c r="G1288" s="37"/>
      <c r="H1288" s="46">
        <v>46241.0</v>
      </c>
      <c r="I1288" s="37" t="s">
        <v>1289</v>
      </c>
      <c r="J1288" s="17" t="s">
        <v>533</v>
      </c>
      <c r="K1288" s="17" t="s">
        <v>2575</v>
      </c>
      <c r="L1288" s="37" t="s">
        <v>189</v>
      </c>
      <c r="M1288" s="37"/>
      <c r="N1288" s="17"/>
      <c r="O1288" s="1"/>
      <c r="P1288" s="67">
        <v>4.12441428E9</v>
      </c>
      <c r="Q1288" s="67" t="s">
        <v>2842</v>
      </c>
      <c r="R1288" s="1"/>
      <c r="S1288" s="1"/>
    </row>
    <row r="1289">
      <c r="A1289" s="1"/>
      <c r="B1289" s="3">
        <f t="shared" si="3"/>
        <v>1285</v>
      </c>
      <c r="C1289" s="31" t="s">
        <v>2843</v>
      </c>
      <c r="D1289" s="37" t="s">
        <v>1505</v>
      </c>
      <c r="E1289" s="37" t="s">
        <v>1343</v>
      </c>
      <c r="F1289" s="43" t="s">
        <v>2844</v>
      </c>
      <c r="G1289" s="37"/>
      <c r="H1289" s="46">
        <v>46196.0</v>
      </c>
      <c r="I1289" s="37" t="s">
        <v>1289</v>
      </c>
      <c r="J1289" s="17"/>
      <c r="K1289" s="17"/>
      <c r="L1289" s="37" t="s">
        <v>58</v>
      </c>
      <c r="M1289" s="37"/>
      <c r="N1289" s="17" t="s">
        <v>28</v>
      </c>
      <c r="O1289" s="1"/>
      <c r="P1289" s="15"/>
      <c r="Q1289" s="15"/>
      <c r="R1289" s="1"/>
      <c r="S1289" s="1"/>
    </row>
    <row r="1290">
      <c r="A1290" s="1"/>
      <c r="B1290" s="3">
        <f t="shared" si="3"/>
        <v>1286</v>
      </c>
      <c r="C1290" s="31" t="s">
        <v>2845</v>
      </c>
      <c r="D1290" s="37" t="s">
        <v>96</v>
      </c>
      <c r="E1290" s="37" t="s">
        <v>2846</v>
      </c>
      <c r="F1290" s="43" t="s">
        <v>2845</v>
      </c>
      <c r="G1290" s="37"/>
      <c r="H1290" s="46">
        <v>46196.0</v>
      </c>
      <c r="I1290" s="37" t="s">
        <v>1289</v>
      </c>
      <c r="J1290" s="17"/>
      <c r="K1290" s="17" t="s">
        <v>2231</v>
      </c>
      <c r="L1290" s="37" t="s">
        <v>189</v>
      </c>
      <c r="M1290" s="37"/>
      <c r="N1290" s="17" t="s">
        <v>28</v>
      </c>
      <c r="O1290" s="1"/>
      <c r="P1290" s="15"/>
      <c r="Q1290" s="15"/>
      <c r="R1290" s="1"/>
      <c r="S1290" s="1"/>
    </row>
    <row r="1291">
      <c r="A1291" s="1"/>
      <c r="B1291" s="3">
        <f t="shared" si="3"/>
        <v>1287</v>
      </c>
      <c r="C1291" s="31" t="s">
        <v>2847</v>
      </c>
      <c r="D1291" s="37" t="s">
        <v>44</v>
      </c>
      <c r="E1291" s="37" t="s">
        <v>1533</v>
      </c>
      <c r="F1291" s="43" t="s">
        <v>2848</v>
      </c>
      <c r="G1291" s="37"/>
      <c r="H1291" s="46">
        <v>46196.0</v>
      </c>
      <c r="I1291" s="37" t="s">
        <v>1289</v>
      </c>
      <c r="J1291" s="17"/>
      <c r="K1291" s="17" t="s">
        <v>571</v>
      </c>
      <c r="L1291" s="37" t="s">
        <v>58</v>
      </c>
      <c r="M1291" s="37"/>
      <c r="N1291" s="17" t="s">
        <v>28</v>
      </c>
      <c r="O1291" s="1"/>
      <c r="P1291" s="15"/>
      <c r="Q1291" s="15"/>
      <c r="R1291" s="1"/>
      <c r="S1291" s="1"/>
    </row>
    <row r="1292">
      <c r="A1292" s="1"/>
      <c r="B1292" s="3">
        <f t="shared" si="3"/>
        <v>1288</v>
      </c>
      <c r="C1292" s="31" t="s">
        <v>2849</v>
      </c>
      <c r="D1292" s="37" t="s">
        <v>44</v>
      </c>
      <c r="E1292" s="37" t="s">
        <v>1285</v>
      </c>
      <c r="F1292" s="43" t="s">
        <v>2849</v>
      </c>
      <c r="G1292" s="37"/>
      <c r="H1292" s="46">
        <v>46196.0</v>
      </c>
      <c r="I1292" s="37" t="s">
        <v>1289</v>
      </c>
      <c r="J1292" s="17" t="s">
        <v>2816</v>
      </c>
      <c r="K1292" s="17" t="s">
        <v>2342</v>
      </c>
      <c r="L1292" s="37" t="s">
        <v>58</v>
      </c>
      <c r="M1292" s="37"/>
      <c r="N1292" s="17" t="s">
        <v>28</v>
      </c>
      <c r="O1292" s="1"/>
      <c r="P1292" s="15"/>
      <c r="Q1292" s="15"/>
      <c r="R1292" s="1"/>
      <c r="S1292" s="1"/>
    </row>
    <row r="1293">
      <c r="A1293" s="1"/>
      <c r="B1293" s="3">
        <f t="shared" si="3"/>
        <v>1289</v>
      </c>
      <c r="C1293" s="31" t="s">
        <v>2850</v>
      </c>
      <c r="D1293" s="37" t="s">
        <v>44</v>
      </c>
      <c r="E1293" s="37" t="s">
        <v>2851</v>
      </c>
      <c r="F1293" s="127" t="s">
        <v>2852</v>
      </c>
      <c r="G1293" s="37"/>
      <c r="H1293" s="46">
        <v>46196.0</v>
      </c>
      <c r="I1293" s="37" t="s">
        <v>1289</v>
      </c>
      <c r="J1293" s="17" t="s">
        <v>571</v>
      </c>
      <c r="K1293" s="17" t="s">
        <v>1298</v>
      </c>
      <c r="L1293" s="37" t="s">
        <v>58</v>
      </c>
      <c r="M1293" s="37"/>
      <c r="N1293" s="17" t="s">
        <v>28</v>
      </c>
      <c r="O1293" s="1"/>
      <c r="P1293" s="15"/>
      <c r="Q1293" s="15"/>
      <c r="R1293" s="1"/>
      <c r="S1293" s="1"/>
    </row>
    <row r="1294">
      <c r="A1294" s="1"/>
      <c r="B1294" s="3">
        <f t="shared" si="3"/>
        <v>1290</v>
      </c>
      <c r="C1294" s="31" t="s">
        <v>2853</v>
      </c>
      <c r="D1294" s="37" t="s">
        <v>56</v>
      </c>
      <c r="E1294" s="37" t="s">
        <v>1285</v>
      </c>
      <c r="F1294" s="43" t="s">
        <v>2854</v>
      </c>
      <c r="G1294" s="37"/>
      <c r="H1294" s="46">
        <v>46196.0</v>
      </c>
      <c r="I1294" s="37" t="s">
        <v>1289</v>
      </c>
      <c r="J1294" s="17"/>
      <c r="K1294" s="17" t="s">
        <v>2855</v>
      </c>
      <c r="L1294" s="37" t="s">
        <v>58</v>
      </c>
      <c r="M1294" s="37" t="s">
        <v>57</v>
      </c>
      <c r="N1294" s="17" t="s">
        <v>28</v>
      </c>
      <c r="O1294" s="1"/>
      <c r="P1294" s="15"/>
      <c r="Q1294" s="15"/>
      <c r="R1294" s="1"/>
      <c r="S1294" s="1"/>
    </row>
    <row r="1295">
      <c r="A1295" s="1"/>
      <c r="B1295" s="3">
        <f t="shared" si="3"/>
        <v>1291</v>
      </c>
      <c r="C1295" s="31" t="s">
        <v>2856</v>
      </c>
      <c r="D1295" s="37" t="s">
        <v>112</v>
      </c>
      <c r="E1295" s="37" t="s">
        <v>1428</v>
      </c>
      <c r="F1295" s="43" t="s">
        <v>2857</v>
      </c>
      <c r="G1295" s="37"/>
      <c r="H1295" s="46">
        <v>46196.0</v>
      </c>
      <c r="I1295" s="37" t="s">
        <v>1289</v>
      </c>
      <c r="J1295" s="17"/>
      <c r="K1295" s="17"/>
      <c r="L1295" s="37" t="s">
        <v>189</v>
      </c>
      <c r="M1295" s="37"/>
      <c r="N1295" s="17" t="s">
        <v>28</v>
      </c>
      <c r="O1295" s="1"/>
      <c r="P1295" s="15"/>
      <c r="Q1295" s="15"/>
      <c r="R1295" s="1"/>
      <c r="S1295" s="1"/>
    </row>
    <row r="1296">
      <c r="A1296" s="1"/>
      <c r="B1296" s="3">
        <f t="shared" si="3"/>
        <v>1292</v>
      </c>
      <c r="C1296" s="31" t="s">
        <v>2858</v>
      </c>
      <c r="D1296" s="37" t="s">
        <v>83</v>
      </c>
      <c r="E1296" s="37" t="s">
        <v>2859</v>
      </c>
      <c r="F1296" s="43" t="s">
        <v>2858</v>
      </c>
      <c r="G1296" s="37"/>
      <c r="H1296" s="46">
        <v>46196.0</v>
      </c>
      <c r="I1296" s="37" t="s">
        <v>1289</v>
      </c>
      <c r="J1296" s="17" t="s">
        <v>2860</v>
      </c>
      <c r="K1296" s="17" t="s">
        <v>1256</v>
      </c>
      <c r="L1296" s="37" t="s">
        <v>58</v>
      </c>
      <c r="M1296" s="37"/>
      <c r="N1296" s="17" t="s">
        <v>28</v>
      </c>
      <c r="O1296" s="1"/>
      <c r="P1296" s="15"/>
      <c r="Q1296" s="15"/>
      <c r="R1296" s="1"/>
      <c r="S1296" s="1"/>
    </row>
    <row r="1297">
      <c r="A1297" s="1"/>
      <c r="B1297" s="3">
        <f t="shared" si="3"/>
        <v>1293</v>
      </c>
      <c r="C1297" s="31" t="s">
        <v>2861</v>
      </c>
      <c r="D1297" s="37" t="s">
        <v>104</v>
      </c>
      <c r="E1297" s="37" t="s">
        <v>1428</v>
      </c>
      <c r="F1297" s="43" t="s">
        <v>2861</v>
      </c>
      <c r="G1297" s="37"/>
      <c r="H1297" s="46">
        <v>46196.0</v>
      </c>
      <c r="I1297" s="37" t="s">
        <v>1289</v>
      </c>
      <c r="J1297" s="17" t="s">
        <v>515</v>
      </c>
      <c r="K1297" s="17" t="s">
        <v>648</v>
      </c>
      <c r="L1297" s="37" t="s">
        <v>58</v>
      </c>
      <c r="M1297" s="37"/>
      <c r="N1297" s="17" t="s">
        <v>28</v>
      </c>
      <c r="O1297" s="1"/>
      <c r="P1297" s="15"/>
      <c r="Q1297" s="15"/>
      <c r="R1297" s="1"/>
      <c r="S1297" s="1"/>
    </row>
    <row r="1298">
      <c r="A1298" s="1"/>
      <c r="B1298" s="3">
        <f t="shared" si="3"/>
        <v>1294</v>
      </c>
      <c r="C1298" s="31" t="s">
        <v>2862</v>
      </c>
      <c r="D1298" s="37" t="s">
        <v>116</v>
      </c>
      <c r="E1298" s="37" t="s">
        <v>2863</v>
      </c>
      <c r="F1298" s="43" t="s">
        <v>2862</v>
      </c>
      <c r="G1298" s="37"/>
      <c r="H1298" s="46">
        <v>46196.0</v>
      </c>
      <c r="I1298" s="37" t="s">
        <v>1289</v>
      </c>
      <c r="J1298" s="17"/>
      <c r="K1298" s="17" t="s">
        <v>2864</v>
      </c>
      <c r="L1298" s="37" t="s">
        <v>58</v>
      </c>
      <c r="M1298" s="37"/>
      <c r="N1298" s="17" t="s">
        <v>28</v>
      </c>
      <c r="O1298" s="1"/>
      <c r="P1298" s="15"/>
      <c r="Q1298" s="15"/>
      <c r="R1298" s="1"/>
      <c r="S1298" s="1"/>
    </row>
    <row r="1299">
      <c r="A1299" s="1"/>
      <c r="B1299" s="3">
        <f t="shared" si="3"/>
        <v>1295</v>
      </c>
      <c r="C1299" s="31" t="s">
        <v>2865</v>
      </c>
      <c r="D1299" s="37" t="s">
        <v>116</v>
      </c>
      <c r="E1299" s="37" t="s">
        <v>1428</v>
      </c>
      <c r="F1299" s="43" t="s">
        <v>2865</v>
      </c>
      <c r="G1299" s="37"/>
      <c r="H1299" s="46">
        <v>46196.0</v>
      </c>
      <c r="I1299" s="37" t="s">
        <v>1289</v>
      </c>
      <c r="J1299" s="17" t="s">
        <v>2866</v>
      </c>
      <c r="K1299" s="17" t="s">
        <v>2867</v>
      </c>
      <c r="L1299" s="37" t="s">
        <v>58</v>
      </c>
      <c r="M1299" s="37"/>
      <c r="N1299" s="17" t="s">
        <v>28</v>
      </c>
      <c r="O1299" s="1"/>
      <c r="P1299" s="15"/>
      <c r="Q1299" s="15"/>
      <c r="R1299" s="1"/>
      <c r="S1299" s="1"/>
    </row>
    <row r="1300">
      <c r="A1300" s="1"/>
      <c r="B1300" s="3">
        <f t="shared" si="3"/>
        <v>1296</v>
      </c>
      <c r="C1300" s="31" t="s">
        <v>2868</v>
      </c>
      <c r="D1300" s="37" t="s">
        <v>116</v>
      </c>
      <c r="E1300" s="37" t="s">
        <v>2869</v>
      </c>
      <c r="F1300" s="43" t="s">
        <v>2868</v>
      </c>
      <c r="G1300" s="37"/>
      <c r="H1300" s="46">
        <v>46196.0</v>
      </c>
      <c r="I1300" s="37" t="s">
        <v>1289</v>
      </c>
      <c r="J1300" s="17"/>
      <c r="K1300" s="17" t="s">
        <v>2870</v>
      </c>
      <c r="L1300" s="37" t="s">
        <v>58</v>
      </c>
      <c r="M1300" s="37"/>
      <c r="N1300" s="17" t="s">
        <v>28</v>
      </c>
      <c r="O1300" s="1"/>
      <c r="P1300" s="15"/>
      <c r="Q1300" s="15"/>
      <c r="R1300" s="1"/>
      <c r="S1300" s="1"/>
    </row>
    <row r="1301">
      <c r="A1301" s="1"/>
      <c r="B1301" s="3">
        <f t="shared" si="3"/>
        <v>1297</v>
      </c>
      <c r="C1301" s="31" t="s">
        <v>2871</v>
      </c>
      <c r="D1301" s="37" t="s">
        <v>121</v>
      </c>
      <c r="E1301" s="37" t="s">
        <v>600</v>
      </c>
      <c r="F1301" s="127" t="s">
        <v>2871</v>
      </c>
      <c r="G1301" s="37"/>
      <c r="H1301" s="46">
        <v>46196.0</v>
      </c>
      <c r="I1301" s="37" t="s">
        <v>1289</v>
      </c>
      <c r="J1301" s="17" t="s">
        <v>691</v>
      </c>
      <c r="K1301" s="17" t="s">
        <v>1298</v>
      </c>
      <c r="L1301" s="37" t="s">
        <v>58</v>
      </c>
      <c r="M1301" s="37"/>
      <c r="N1301" s="17" t="s">
        <v>28</v>
      </c>
      <c r="O1301" s="1"/>
      <c r="P1301" s="15"/>
      <c r="Q1301" s="15"/>
      <c r="R1301" s="1"/>
      <c r="S1301" s="1"/>
    </row>
    <row r="1302">
      <c r="A1302" s="1"/>
      <c r="B1302" s="3">
        <f t="shared" si="3"/>
        <v>1298</v>
      </c>
      <c r="C1302" s="31" t="s">
        <v>2872</v>
      </c>
      <c r="D1302" s="37"/>
      <c r="E1302" s="37" t="s">
        <v>1285</v>
      </c>
      <c r="F1302" s="43" t="s">
        <v>2872</v>
      </c>
      <c r="G1302" s="37"/>
      <c r="H1302" s="46">
        <v>46196.0</v>
      </c>
      <c r="I1302" s="37" t="s">
        <v>1289</v>
      </c>
      <c r="J1302" s="17"/>
      <c r="K1302" s="17"/>
      <c r="L1302" s="37" t="s">
        <v>189</v>
      </c>
      <c r="M1302" s="37"/>
      <c r="N1302" s="17" t="s">
        <v>28</v>
      </c>
      <c r="O1302" s="1"/>
      <c r="P1302" s="15"/>
      <c r="Q1302" s="67" t="s">
        <v>2873</v>
      </c>
      <c r="R1302" s="1"/>
      <c r="S1302" s="1"/>
    </row>
    <row r="1303">
      <c r="A1303" s="1"/>
      <c r="B1303" s="3">
        <f t="shared" si="3"/>
        <v>1299</v>
      </c>
      <c r="C1303" s="31" t="s">
        <v>2874</v>
      </c>
      <c r="D1303" s="37" t="s">
        <v>49</v>
      </c>
      <c r="E1303" s="37" t="s">
        <v>1285</v>
      </c>
      <c r="F1303" s="43" t="s">
        <v>2874</v>
      </c>
      <c r="G1303" s="37"/>
      <c r="H1303" s="46">
        <v>46196.0</v>
      </c>
      <c r="I1303" s="37" t="s">
        <v>1289</v>
      </c>
      <c r="J1303" s="17" t="s">
        <v>2875</v>
      </c>
      <c r="K1303" s="17" t="s">
        <v>2876</v>
      </c>
      <c r="L1303" s="37" t="s">
        <v>58</v>
      </c>
      <c r="M1303" s="37"/>
      <c r="N1303" s="17" t="s">
        <v>28</v>
      </c>
      <c r="O1303" s="1"/>
      <c r="P1303" s="15"/>
      <c r="Q1303" s="15"/>
      <c r="R1303" s="1"/>
      <c r="S1303" s="1"/>
    </row>
    <row r="1304">
      <c r="A1304" s="1"/>
      <c r="B1304" s="3">
        <f t="shared" si="3"/>
        <v>1300</v>
      </c>
      <c r="C1304" s="31" t="s">
        <v>2877</v>
      </c>
      <c r="D1304" s="37" t="s">
        <v>49</v>
      </c>
      <c r="E1304" s="37" t="s">
        <v>2878</v>
      </c>
      <c r="F1304" s="127" t="s">
        <v>2879</v>
      </c>
      <c r="G1304" s="37"/>
      <c r="H1304" s="46">
        <v>46196.0</v>
      </c>
      <c r="I1304" s="37" t="s">
        <v>1289</v>
      </c>
      <c r="J1304" s="17" t="s">
        <v>2880</v>
      </c>
      <c r="K1304" s="17" t="s">
        <v>648</v>
      </c>
      <c r="L1304" s="37" t="s">
        <v>58</v>
      </c>
      <c r="M1304" s="37"/>
      <c r="N1304" s="17" t="s">
        <v>28</v>
      </c>
      <c r="O1304" s="1"/>
      <c r="P1304" s="15"/>
      <c r="Q1304" s="15"/>
      <c r="R1304" s="1"/>
      <c r="S1304" s="1"/>
    </row>
    <row r="1305">
      <c r="A1305" s="1"/>
      <c r="B1305" s="3">
        <f t="shared" si="3"/>
        <v>1301</v>
      </c>
      <c r="C1305" s="31" t="s">
        <v>2881</v>
      </c>
      <c r="D1305" s="37" t="s">
        <v>49</v>
      </c>
      <c r="E1305" s="37" t="s">
        <v>2878</v>
      </c>
      <c r="F1305" s="43" t="s">
        <v>2881</v>
      </c>
      <c r="G1305" s="37"/>
      <c r="H1305" s="46">
        <v>46196.0</v>
      </c>
      <c r="I1305" s="37" t="s">
        <v>1289</v>
      </c>
      <c r="J1305" s="17"/>
      <c r="K1305" s="17" t="s">
        <v>1388</v>
      </c>
      <c r="L1305" s="37" t="s">
        <v>58</v>
      </c>
      <c r="M1305" s="37"/>
      <c r="N1305" s="17" t="s">
        <v>28</v>
      </c>
      <c r="O1305" s="1"/>
      <c r="P1305" s="15"/>
      <c r="Q1305" s="15"/>
      <c r="R1305" s="1"/>
      <c r="S1305" s="1"/>
    </row>
    <row r="1306">
      <c r="A1306" s="1"/>
      <c r="B1306" s="3">
        <f t="shared" si="3"/>
        <v>1302</v>
      </c>
      <c r="C1306" s="31" t="s">
        <v>2882</v>
      </c>
      <c r="D1306" s="37" t="s">
        <v>96</v>
      </c>
      <c r="E1306" s="37" t="s">
        <v>1589</v>
      </c>
      <c r="F1306" s="1"/>
      <c r="G1306" s="37"/>
      <c r="H1306" s="46">
        <v>46196.0</v>
      </c>
      <c r="I1306" s="37" t="s">
        <v>1289</v>
      </c>
      <c r="J1306" s="17"/>
      <c r="K1306" s="17" t="s">
        <v>2883</v>
      </c>
      <c r="L1306" s="37" t="s">
        <v>58</v>
      </c>
      <c r="M1306" s="37"/>
      <c r="N1306" s="17" t="s">
        <v>28</v>
      </c>
      <c r="O1306" s="1"/>
      <c r="P1306" s="67">
        <v>4.220244252E9</v>
      </c>
      <c r="Q1306" s="67" t="s">
        <v>2884</v>
      </c>
      <c r="R1306" s="1"/>
      <c r="S1306" s="1"/>
    </row>
    <row r="1307">
      <c r="A1307" s="1"/>
      <c r="B1307" s="3">
        <f t="shared" si="3"/>
        <v>1303</v>
      </c>
      <c r="C1307" s="31" t="s">
        <v>2885</v>
      </c>
      <c r="D1307" s="37" t="s">
        <v>56</v>
      </c>
      <c r="E1307" s="37" t="s">
        <v>2886</v>
      </c>
      <c r="F1307" s="1"/>
      <c r="G1307" s="37"/>
      <c r="H1307" s="46">
        <v>46196.0</v>
      </c>
      <c r="I1307" s="37" t="s">
        <v>1289</v>
      </c>
      <c r="J1307" s="17"/>
      <c r="K1307" s="17" t="s">
        <v>1388</v>
      </c>
      <c r="L1307" s="37" t="s">
        <v>58</v>
      </c>
      <c r="M1307" s="37" t="s">
        <v>73</v>
      </c>
      <c r="N1307" s="17" t="s">
        <v>28</v>
      </c>
      <c r="O1307" s="1"/>
      <c r="P1307" s="67">
        <v>4.242865545E9</v>
      </c>
      <c r="Q1307" s="67" t="s">
        <v>2884</v>
      </c>
      <c r="R1307" s="1"/>
      <c r="S1307" s="1"/>
    </row>
    <row r="1308">
      <c r="A1308" s="1"/>
      <c r="B1308" s="3">
        <f t="shared" si="3"/>
        <v>1304</v>
      </c>
      <c r="C1308" s="31" t="s">
        <v>2887</v>
      </c>
      <c r="D1308" s="37" t="s">
        <v>56</v>
      </c>
      <c r="E1308" s="37" t="s">
        <v>2888</v>
      </c>
      <c r="F1308" s="43" t="s">
        <v>2887</v>
      </c>
      <c r="G1308" s="37"/>
      <c r="H1308" s="46">
        <v>46218.0</v>
      </c>
      <c r="I1308" s="37" t="s">
        <v>1289</v>
      </c>
      <c r="J1308" s="17" t="s">
        <v>2889</v>
      </c>
      <c r="K1308" s="17" t="s">
        <v>2890</v>
      </c>
      <c r="L1308" s="37" t="s">
        <v>189</v>
      </c>
      <c r="M1308" s="37"/>
      <c r="N1308" s="17"/>
      <c r="O1308" s="1"/>
      <c r="P1308" s="15"/>
      <c r="Q1308" s="15"/>
      <c r="R1308" s="1"/>
      <c r="S1308" s="1"/>
    </row>
    <row r="1309">
      <c r="A1309" s="1"/>
      <c r="B1309" s="3">
        <f t="shared" si="3"/>
        <v>1305</v>
      </c>
      <c r="C1309" s="31" t="s">
        <v>2891</v>
      </c>
      <c r="D1309" s="37" t="s">
        <v>218</v>
      </c>
      <c r="E1309" s="37" t="s">
        <v>2754</v>
      </c>
      <c r="F1309" s="43" t="s">
        <v>2891</v>
      </c>
      <c r="G1309" s="37"/>
      <c r="H1309" s="46">
        <v>46218.0</v>
      </c>
      <c r="I1309" s="37" t="s">
        <v>1289</v>
      </c>
      <c r="J1309" s="17" t="s">
        <v>2892</v>
      </c>
      <c r="K1309" s="17" t="s">
        <v>2893</v>
      </c>
      <c r="L1309" s="37" t="s">
        <v>58</v>
      </c>
      <c r="M1309" s="37"/>
      <c r="N1309" s="17"/>
      <c r="O1309" s="1"/>
      <c r="P1309" s="15"/>
      <c r="Q1309" s="15"/>
      <c r="R1309" s="1"/>
      <c r="S1309" s="1"/>
    </row>
    <row r="1310">
      <c r="A1310" s="1"/>
      <c r="B1310" s="3">
        <f t="shared" si="3"/>
        <v>1306</v>
      </c>
      <c r="C1310" s="31" t="s">
        <v>2894</v>
      </c>
      <c r="D1310" s="37" t="s">
        <v>218</v>
      </c>
      <c r="E1310" s="37" t="s">
        <v>2895</v>
      </c>
      <c r="F1310" s="43" t="s">
        <v>2896</v>
      </c>
      <c r="G1310" s="37"/>
      <c r="H1310" s="46">
        <v>46218.0</v>
      </c>
      <c r="I1310" s="37" t="s">
        <v>1289</v>
      </c>
      <c r="J1310" s="17" t="s">
        <v>2860</v>
      </c>
      <c r="K1310" s="17" t="s">
        <v>2860</v>
      </c>
      <c r="L1310" s="37" t="s">
        <v>58</v>
      </c>
      <c r="M1310" s="37"/>
      <c r="N1310" s="17"/>
      <c r="O1310" s="1"/>
      <c r="P1310" s="15"/>
      <c r="Q1310" s="15"/>
      <c r="R1310" s="1"/>
      <c r="S1310" s="1"/>
    </row>
    <row r="1311">
      <c r="A1311" s="1"/>
      <c r="B1311" s="3">
        <f t="shared" si="3"/>
        <v>1307</v>
      </c>
      <c r="C1311" s="31" t="s">
        <v>2897</v>
      </c>
      <c r="D1311" s="37" t="s">
        <v>116</v>
      </c>
      <c r="E1311" s="37" t="s">
        <v>1285</v>
      </c>
      <c r="F1311" s="43" t="s">
        <v>2898</v>
      </c>
      <c r="G1311" s="37"/>
      <c r="H1311" s="46">
        <v>46218.0</v>
      </c>
      <c r="I1311" s="37" t="s">
        <v>1289</v>
      </c>
      <c r="J1311" s="17" t="s">
        <v>2899</v>
      </c>
      <c r="K1311" s="17" t="s">
        <v>2900</v>
      </c>
      <c r="L1311" s="37" t="s">
        <v>58</v>
      </c>
      <c r="M1311" s="37"/>
      <c r="N1311" s="17"/>
      <c r="O1311" s="1"/>
      <c r="P1311" s="15"/>
      <c r="Q1311" s="15"/>
      <c r="R1311" s="1"/>
      <c r="S1311" s="1"/>
    </row>
    <row r="1312">
      <c r="A1312" s="1"/>
      <c r="B1312" s="3">
        <f t="shared" si="3"/>
        <v>1308</v>
      </c>
      <c r="C1312" s="31" t="s">
        <v>2901</v>
      </c>
      <c r="D1312" s="37" t="s">
        <v>116</v>
      </c>
      <c r="E1312" s="37" t="s">
        <v>1692</v>
      </c>
      <c r="F1312" s="43" t="s">
        <v>2901</v>
      </c>
      <c r="G1312" s="37"/>
      <c r="H1312" s="46">
        <v>46218.0</v>
      </c>
      <c r="I1312" s="37" t="s">
        <v>1289</v>
      </c>
      <c r="J1312" s="17"/>
      <c r="K1312" s="17" t="s">
        <v>2902</v>
      </c>
      <c r="L1312" s="37" t="s">
        <v>58</v>
      </c>
      <c r="M1312" s="37" t="s">
        <v>59</v>
      </c>
      <c r="N1312" s="17"/>
      <c r="O1312" s="1"/>
      <c r="P1312" s="67"/>
      <c r="Q1312" s="15"/>
      <c r="R1312" s="1"/>
      <c r="S1312" s="1"/>
    </row>
    <row r="1313">
      <c r="A1313" s="1"/>
      <c r="B1313" s="3">
        <f t="shared" si="3"/>
        <v>1309</v>
      </c>
      <c r="C1313" s="31" t="s">
        <v>2903</v>
      </c>
      <c r="D1313" s="37" t="s">
        <v>116</v>
      </c>
      <c r="E1313" s="37" t="s">
        <v>1332</v>
      </c>
      <c r="F1313" s="43" t="s">
        <v>2904</v>
      </c>
      <c r="G1313" s="37"/>
      <c r="H1313" s="46">
        <v>46218.0</v>
      </c>
      <c r="I1313" s="37" t="s">
        <v>1289</v>
      </c>
      <c r="J1313" s="17"/>
      <c r="K1313" s="17"/>
      <c r="L1313" s="37" t="s">
        <v>58</v>
      </c>
      <c r="M1313" s="37"/>
      <c r="N1313" s="17"/>
      <c r="O1313" s="1"/>
      <c r="P1313" s="15"/>
      <c r="Q1313" s="15"/>
      <c r="R1313" s="1"/>
      <c r="S1313" s="1"/>
    </row>
    <row r="1314">
      <c r="A1314" s="1"/>
      <c r="B1314" s="3">
        <f t="shared" si="3"/>
        <v>1310</v>
      </c>
      <c r="C1314" s="31" t="s">
        <v>2905</v>
      </c>
      <c r="D1314" s="37" t="s">
        <v>49</v>
      </c>
      <c r="E1314" s="37" t="s">
        <v>1285</v>
      </c>
      <c r="F1314" s="43" t="s">
        <v>2906</v>
      </c>
      <c r="G1314" s="37"/>
      <c r="H1314" s="46">
        <v>46218.0</v>
      </c>
      <c r="I1314" s="37" t="s">
        <v>1289</v>
      </c>
      <c r="J1314" s="17" t="s">
        <v>491</v>
      </c>
      <c r="K1314" s="17" t="s">
        <v>571</v>
      </c>
      <c r="L1314" s="37" t="s">
        <v>58</v>
      </c>
      <c r="M1314" s="37"/>
      <c r="N1314" s="17"/>
      <c r="O1314" s="1"/>
      <c r="P1314" s="15"/>
      <c r="Q1314" s="15"/>
      <c r="R1314" s="1"/>
      <c r="S1314" s="1"/>
    </row>
    <row r="1315">
      <c r="A1315" s="1"/>
      <c r="B1315" s="3">
        <f t="shared" si="3"/>
        <v>1311</v>
      </c>
      <c r="C1315" s="31" t="s">
        <v>2907</v>
      </c>
      <c r="D1315" s="37" t="s">
        <v>49</v>
      </c>
      <c r="E1315" s="37" t="s">
        <v>2262</v>
      </c>
      <c r="F1315" s="43" t="s">
        <v>2908</v>
      </c>
      <c r="G1315" s="37"/>
      <c r="H1315" s="46">
        <v>46218.0</v>
      </c>
      <c r="I1315" s="37" t="s">
        <v>1289</v>
      </c>
      <c r="J1315" s="17"/>
      <c r="K1315" s="17" t="s">
        <v>2551</v>
      </c>
      <c r="L1315" s="37" t="s">
        <v>58</v>
      </c>
      <c r="M1315" s="37"/>
      <c r="N1315" s="17"/>
      <c r="O1315" s="1"/>
      <c r="P1315" s="15"/>
      <c r="Q1315" s="15"/>
      <c r="R1315" s="1"/>
      <c r="S1315" s="1"/>
    </row>
    <row r="1316">
      <c r="A1316" s="1"/>
      <c r="B1316" s="3">
        <f t="shared" si="3"/>
        <v>1312</v>
      </c>
      <c r="C1316" s="31" t="s">
        <v>2909</v>
      </c>
      <c r="D1316" s="37" t="s">
        <v>49</v>
      </c>
      <c r="E1316" s="37" t="s">
        <v>600</v>
      </c>
      <c r="F1316" s="43" t="s">
        <v>2909</v>
      </c>
      <c r="G1316" s="37"/>
      <c r="H1316" s="46">
        <v>46218.0</v>
      </c>
      <c r="I1316" s="37" t="s">
        <v>1289</v>
      </c>
      <c r="J1316" s="17" t="s">
        <v>605</v>
      </c>
      <c r="K1316" s="17" t="s">
        <v>533</v>
      </c>
      <c r="L1316" s="37" t="s">
        <v>58</v>
      </c>
      <c r="M1316" s="37"/>
      <c r="N1316" s="17"/>
      <c r="O1316" s="1"/>
      <c r="P1316" s="15"/>
      <c r="Q1316" s="15"/>
      <c r="R1316" s="1"/>
      <c r="S1316" s="1"/>
    </row>
    <row r="1317">
      <c r="A1317" s="1"/>
      <c r="B1317" s="3">
        <f t="shared" si="3"/>
        <v>1313</v>
      </c>
      <c r="C1317" s="31" t="s">
        <v>2910</v>
      </c>
      <c r="D1317" s="37" t="s">
        <v>49</v>
      </c>
      <c r="E1317" s="37" t="s">
        <v>1285</v>
      </c>
      <c r="F1317" s="43" t="s">
        <v>2911</v>
      </c>
      <c r="G1317" s="37"/>
      <c r="H1317" s="46">
        <v>46218.0</v>
      </c>
      <c r="I1317" s="37" t="s">
        <v>1289</v>
      </c>
      <c r="J1317" s="17" t="s">
        <v>1542</v>
      </c>
      <c r="K1317" s="17" t="s">
        <v>571</v>
      </c>
      <c r="L1317" s="37" t="s">
        <v>58</v>
      </c>
      <c r="M1317" s="37"/>
      <c r="N1317" s="17"/>
      <c r="O1317" s="1"/>
      <c r="P1317" s="15"/>
      <c r="Q1317" s="15"/>
      <c r="R1317" s="1"/>
      <c r="S1317" s="1"/>
    </row>
    <row r="1318">
      <c r="A1318" s="1"/>
      <c r="B1318" s="3">
        <f t="shared" si="3"/>
        <v>1314</v>
      </c>
      <c r="C1318" s="31" t="s">
        <v>2912</v>
      </c>
      <c r="D1318" s="37" t="s">
        <v>56</v>
      </c>
      <c r="E1318" s="37" t="s">
        <v>2085</v>
      </c>
      <c r="F1318" s="43" t="s">
        <v>2912</v>
      </c>
      <c r="G1318" s="37"/>
      <c r="H1318" s="46">
        <v>46218.0</v>
      </c>
      <c r="I1318" s="37" t="s">
        <v>1289</v>
      </c>
      <c r="J1318" s="17" t="s">
        <v>2913</v>
      </c>
      <c r="K1318" s="17" t="s">
        <v>2914</v>
      </c>
      <c r="L1318" s="37" t="s">
        <v>58</v>
      </c>
      <c r="M1318" s="37" t="s">
        <v>70</v>
      </c>
      <c r="N1318" s="17" t="s">
        <v>28</v>
      </c>
      <c r="O1318" s="1"/>
      <c r="P1318" s="15"/>
      <c r="Q1318" s="15"/>
      <c r="R1318" s="1"/>
      <c r="S1318" s="1"/>
    </row>
    <row r="1319">
      <c r="A1319" s="1"/>
      <c r="B1319" s="3">
        <f t="shared" si="3"/>
        <v>1315</v>
      </c>
      <c r="C1319" s="31" t="s">
        <v>2915</v>
      </c>
      <c r="D1319" s="37" t="s">
        <v>56</v>
      </c>
      <c r="E1319" s="37" t="s">
        <v>2085</v>
      </c>
      <c r="F1319" s="43" t="s">
        <v>2915</v>
      </c>
      <c r="G1319" s="37"/>
      <c r="H1319" s="46">
        <v>46218.0</v>
      </c>
      <c r="I1319" s="37" t="s">
        <v>1289</v>
      </c>
      <c r="J1319" s="17" t="s">
        <v>2916</v>
      </c>
      <c r="K1319" s="17" t="s">
        <v>533</v>
      </c>
      <c r="L1319" s="37" t="s">
        <v>58</v>
      </c>
      <c r="M1319" s="37"/>
      <c r="N1319" s="17"/>
      <c r="O1319" s="1"/>
      <c r="P1319" s="15"/>
      <c r="Q1319" s="15"/>
      <c r="R1319" s="1"/>
      <c r="S1319" s="1"/>
    </row>
    <row r="1320">
      <c r="A1320" s="1"/>
      <c r="B1320" s="3">
        <f t="shared" si="3"/>
        <v>1316</v>
      </c>
      <c r="C1320" s="31" t="s">
        <v>2917</v>
      </c>
      <c r="D1320" s="37" t="s">
        <v>56</v>
      </c>
      <c r="E1320" s="37" t="s">
        <v>2918</v>
      </c>
      <c r="F1320" s="43" t="s">
        <v>2919</v>
      </c>
      <c r="G1320" s="37"/>
      <c r="H1320" s="46">
        <v>46218.0</v>
      </c>
      <c r="I1320" s="37" t="s">
        <v>1289</v>
      </c>
      <c r="J1320" s="17"/>
      <c r="K1320" s="17" t="s">
        <v>2920</v>
      </c>
      <c r="L1320" s="37" t="s">
        <v>58</v>
      </c>
      <c r="M1320" s="37" t="s">
        <v>57</v>
      </c>
      <c r="N1320" s="17"/>
      <c r="O1320" s="1"/>
      <c r="P1320" s="15"/>
      <c r="Q1320" s="67" t="s">
        <v>2921</v>
      </c>
      <c r="R1320" s="1"/>
      <c r="S1320" s="1"/>
    </row>
    <row r="1321">
      <c r="A1321" s="1"/>
      <c r="B1321" s="3">
        <f t="shared" si="3"/>
        <v>1317</v>
      </c>
      <c r="C1321" s="31" t="s">
        <v>2922</v>
      </c>
      <c r="D1321" s="37" t="s">
        <v>44</v>
      </c>
      <c r="E1321" s="37" t="s">
        <v>2818</v>
      </c>
      <c r="F1321" s="43" t="s">
        <v>2922</v>
      </c>
      <c r="G1321" s="37"/>
      <c r="H1321" s="46">
        <v>46218.0</v>
      </c>
      <c r="I1321" s="37" t="s">
        <v>1289</v>
      </c>
      <c r="J1321" s="17"/>
      <c r="K1321" s="17" t="s">
        <v>2551</v>
      </c>
      <c r="L1321" s="37" t="s">
        <v>189</v>
      </c>
      <c r="M1321" s="37"/>
      <c r="N1321" s="17"/>
      <c r="O1321" s="1"/>
      <c r="P1321" s="15"/>
      <c r="Q1321" s="15"/>
      <c r="R1321" s="1"/>
      <c r="S1321" s="1"/>
    </row>
    <row r="1322">
      <c r="A1322" s="1"/>
      <c r="B1322" s="3">
        <f t="shared" si="3"/>
        <v>1318</v>
      </c>
      <c r="C1322" s="150" t="s">
        <v>2923</v>
      </c>
      <c r="D1322" s="37" t="s">
        <v>44</v>
      </c>
      <c r="E1322" s="37" t="s">
        <v>600</v>
      </c>
      <c r="F1322" s="43" t="s">
        <v>2923</v>
      </c>
      <c r="G1322" s="37"/>
      <c r="H1322" s="46">
        <v>46218.0</v>
      </c>
      <c r="I1322" s="37" t="s">
        <v>1289</v>
      </c>
      <c r="J1322" s="17" t="s">
        <v>2528</v>
      </c>
      <c r="K1322" s="17" t="s">
        <v>2551</v>
      </c>
      <c r="L1322" s="37" t="s">
        <v>58</v>
      </c>
      <c r="M1322" s="37"/>
      <c r="N1322" s="17"/>
      <c r="O1322" s="1"/>
      <c r="P1322" s="15"/>
      <c r="Q1322" s="15"/>
      <c r="R1322" s="1"/>
      <c r="S1322" s="1"/>
    </row>
    <row r="1323">
      <c r="A1323" s="1"/>
      <c r="B1323" s="3">
        <f t="shared" si="3"/>
        <v>1319</v>
      </c>
      <c r="C1323" s="31" t="s">
        <v>2924</v>
      </c>
      <c r="D1323" s="37" t="s">
        <v>44</v>
      </c>
      <c r="E1323" s="37" t="s">
        <v>1363</v>
      </c>
      <c r="F1323" s="43" t="s">
        <v>2924</v>
      </c>
      <c r="G1323" s="37"/>
      <c r="H1323" s="46">
        <v>46218.0</v>
      </c>
      <c r="I1323" s="37" t="s">
        <v>1289</v>
      </c>
      <c r="J1323" s="17" t="s">
        <v>2528</v>
      </c>
      <c r="K1323" s="17" t="s">
        <v>2528</v>
      </c>
      <c r="L1323" s="37" t="s">
        <v>58</v>
      </c>
      <c r="M1323" s="37"/>
      <c r="N1323" s="17"/>
      <c r="O1323" s="1"/>
      <c r="P1323" s="15"/>
      <c r="Q1323" s="15"/>
      <c r="R1323" s="1"/>
      <c r="S1323" s="1"/>
    </row>
    <row r="1324">
      <c r="A1324" s="1"/>
      <c r="B1324" s="3">
        <f t="shared" si="3"/>
        <v>1320</v>
      </c>
      <c r="C1324" s="31" t="s">
        <v>2925</v>
      </c>
      <c r="D1324" s="37" t="s">
        <v>112</v>
      </c>
      <c r="E1324" s="37" t="s">
        <v>2926</v>
      </c>
      <c r="F1324" s="43" t="s">
        <v>2925</v>
      </c>
      <c r="G1324" s="37"/>
      <c r="H1324" s="46">
        <v>46218.0</v>
      </c>
      <c r="I1324" s="37" t="s">
        <v>1289</v>
      </c>
      <c r="J1324" s="17" t="s">
        <v>2927</v>
      </c>
      <c r="K1324" s="17" t="s">
        <v>2551</v>
      </c>
      <c r="L1324" s="37" t="s">
        <v>58</v>
      </c>
      <c r="M1324" s="37"/>
      <c r="N1324" s="17"/>
      <c r="O1324" s="1"/>
      <c r="P1324" s="15"/>
      <c r="Q1324" s="15"/>
      <c r="R1324" s="1"/>
      <c r="S1324" s="1"/>
    </row>
    <row r="1325">
      <c r="A1325" s="1"/>
      <c r="B1325" s="3">
        <f t="shared" si="3"/>
        <v>1321</v>
      </c>
      <c r="C1325" s="31" t="s">
        <v>2928</v>
      </c>
      <c r="D1325" s="37" t="s">
        <v>83</v>
      </c>
      <c r="E1325" s="37" t="s">
        <v>2754</v>
      </c>
      <c r="F1325" s="43" t="s">
        <v>2928</v>
      </c>
      <c r="G1325" s="37"/>
      <c r="H1325" s="46">
        <v>46218.0</v>
      </c>
      <c r="I1325" s="37" t="s">
        <v>1289</v>
      </c>
      <c r="J1325" s="17" t="s">
        <v>2929</v>
      </c>
      <c r="K1325" s="17" t="s">
        <v>491</v>
      </c>
      <c r="L1325" s="37" t="s">
        <v>58</v>
      </c>
      <c r="M1325" s="37"/>
      <c r="N1325" s="17"/>
      <c r="O1325" s="1"/>
      <c r="P1325" s="15"/>
      <c r="Q1325" s="15"/>
      <c r="R1325" s="1"/>
      <c r="S1325" s="1"/>
    </row>
    <row r="1326">
      <c r="A1326" s="1"/>
      <c r="B1326" s="3">
        <f t="shared" si="3"/>
        <v>1322</v>
      </c>
      <c r="C1326" s="31" t="s">
        <v>2930</v>
      </c>
      <c r="D1326" s="37" t="s">
        <v>112</v>
      </c>
      <c r="E1326" s="37" t="s">
        <v>2754</v>
      </c>
      <c r="F1326" s="43" t="s">
        <v>2930</v>
      </c>
      <c r="G1326" s="37"/>
      <c r="H1326" s="46">
        <v>46218.0</v>
      </c>
      <c r="I1326" s="37" t="s">
        <v>1289</v>
      </c>
      <c r="J1326" s="17" t="s">
        <v>2816</v>
      </c>
      <c r="K1326" s="17" t="s">
        <v>2551</v>
      </c>
      <c r="L1326" s="37" t="s">
        <v>58</v>
      </c>
      <c r="M1326" s="37"/>
      <c r="N1326" s="17"/>
      <c r="O1326" s="1"/>
      <c r="P1326" s="15"/>
      <c r="Q1326" s="15"/>
      <c r="R1326" s="1"/>
      <c r="S1326" s="1"/>
    </row>
    <row r="1327">
      <c r="A1327" s="1"/>
      <c r="B1327" s="3">
        <f t="shared" si="3"/>
        <v>1323</v>
      </c>
      <c r="C1327" s="31" t="s">
        <v>2931</v>
      </c>
      <c r="D1327" s="37" t="s">
        <v>83</v>
      </c>
      <c r="E1327" s="37" t="s">
        <v>1574</v>
      </c>
      <c r="F1327" s="43" t="s">
        <v>2932</v>
      </c>
      <c r="G1327" s="37"/>
      <c r="H1327" s="46">
        <v>46218.0</v>
      </c>
      <c r="I1327" s="37" t="s">
        <v>1289</v>
      </c>
      <c r="J1327" s="17" t="s">
        <v>2933</v>
      </c>
      <c r="K1327" s="17" t="s">
        <v>571</v>
      </c>
      <c r="L1327" s="37" t="s">
        <v>58</v>
      </c>
      <c r="M1327" s="37"/>
      <c r="N1327" s="17"/>
      <c r="O1327" s="1"/>
      <c r="P1327" s="15"/>
      <c r="Q1327" s="15"/>
      <c r="R1327" s="1"/>
      <c r="S1327" s="1"/>
    </row>
    <row r="1328">
      <c r="A1328" s="1"/>
      <c r="B1328" s="3">
        <f t="shared" si="3"/>
        <v>1324</v>
      </c>
      <c r="C1328" s="31" t="s">
        <v>2934</v>
      </c>
      <c r="D1328" s="37" t="s">
        <v>112</v>
      </c>
      <c r="E1328" s="37" t="s">
        <v>2935</v>
      </c>
      <c r="F1328" s="43" t="s">
        <v>2934</v>
      </c>
      <c r="G1328" s="37"/>
      <c r="H1328" s="46">
        <v>46218.0</v>
      </c>
      <c r="I1328" s="37" t="s">
        <v>1289</v>
      </c>
      <c r="J1328" s="17" t="s">
        <v>2936</v>
      </c>
      <c r="K1328" s="17" t="s">
        <v>2937</v>
      </c>
      <c r="L1328" s="37" t="s">
        <v>58</v>
      </c>
      <c r="M1328" s="37"/>
      <c r="N1328" s="17"/>
      <c r="O1328" s="1"/>
      <c r="P1328" s="15"/>
      <c r="Q1328" s="15"/>
      <c r="R1328" s="1"/>
      <c r="S1328" s="1"/>
    </row>
    <row r="1329">
      <c r="A1329" s="1"/>
      <c r="B1329" s="3">
        <f t="shared" si="3"/>
        <v>1325</v>
      </c>
      <c r="C1329" s="31" t="s">
        <v>2938</v>
      </c>
      <c r="D1329" s="37" t="s">
        <v>112</v>
      </c>
      <c r="E1329" s="37" t="s">
        <v>2939</v>
      </c>
      <c r="F1329" s="43" t="s">
        <v>2940</v>
      </c>
      <c r="G1329" s="37"/>
      <c r="H1329" s="46">
        <v>46218.0</v>
      </c>
      <c r="I1329" s="37" t="s">
        <v>1289</v>
      </c>
      <c r="J1329" s="17" t="s">
        <v>2941</v>
      </c>
      <c r="K1329" s="17" t="s">
        <v>2551</v>
      </c>
      <c r="L1329" s="37" t="s">
        <v>58</v>
      </c>
      <c r="M1329" s="37"/>
      <c r="N1329" s="17"/>
      <c r="O1329" s="1"/>
      <c r="P1329" s="15"/>
      <c r="Q1329" s="15"/>
      <c r="R1329" s="1"/>
      <c r="S1329" s="1"/>
    </row>
    <row r="1330">
      <c r="A1330" s="1"/>
      <c r="B1330" s="3">
        <f t="shared" si="3"/>
        <v>1326</v>
      </c>
      <c r="C1330" s="31" t="s">
        <v>2942</v>
      </c>
      <c r="D1330" s="37" t="s">
        <v>83</v>
      </c>
      <c r="E1330" s="37" t="s">
        <v>2943</v>
      </c>
      <c r="F1330" s="43" t="s">
        <v>2942</v>
      </c>
      <c r="G1330" s="37"/>
      <c r="H1330" s="46">
        <v>46218.0</v>
      </c>
      <c r="I1330" s="37" t="s">
        <v>1289</v>
      </c>
      <c r="J1330" s="17" t="s">
        <v>2944</v>
      </c>
      <c r="K1330" s="17" t="s">
        <v>2945</v>
      </c>
      <c r="L1330" s="37" t="s">
        <v>58</v>
      </c>
      <c r="M1330" s="37"/>
      <c r="N1330" s="17"/>
      <c r="O1330" s="1"/>
      <c r="P1330" s="15"/>
      <c r="Q1330" s="15"/>
      <c r="R1330" s="1"/>
      <c r="S1330" s="1"/>
    </row>
    <row r="1331">
      <c r="A1331" s="1"/>
      <c r="B1331" s="3">
        <f t="shared" si="3"/>
        <v>1327</v>
      </c>
      <c r="C1331" s="31" t="s">
        <v>2946</v>
      </c>
      <c r="D1331" s="37" t="s">
        <v>83</v>
      </c>
      <c r="E1331" s="37" t="s">
        <v>2296</v>
      </c>
      <c r="F1331" s="43" t="s">
        <v>2946</v>
      </c>
      <c r="G1331" s="37"/>
      <c r="H1331" s="46">
        <v>46218.0</v>
      </c>
      <c r="I1331" s="37" t="s">
        <v>1289</v>
      </c>
      <c r="J1331" s="17" t="s">
        <v>571</v>
      </c>
      <c r="K1331" s="17" t="s">
        <v>2947</v>
      </c>
      <c r="L1331" s="37" t="s">
        <v>58</v>
      </c>
      <c r="M1331" s="37"/>
      <c r="N1331" s="17"/>
      <c r="O1331" s="1"/>
      <c r="P1331" s="15"/>
      <c r="Q1331" s="15"/>
      <c r="R1331" s="1"/>
      <c r="S1331" s="1"/>
    </row>
    <row r="1332">
      <c r="A1332" s="1"/>
      <c r="B1332" s="3">
        <f t="shared" si="3"/>
        <v>1328</v>
      </c>
      <c r="C1332" s="31" t="s">
        <v>2948</v>
      </c>
      <c r="D1332" s="37" t="s">
        <v>83</v>
      </c>
      <c r="E1332" s="37" t="s">
        <v>1589</v>
      </c>
      <c r="F1332" s="43" t="s">
        <v>2948</v>
      </c>
      <c r="G1332" s="37"/>
      <c r="H1332" s="46">
        <v>46218.0</v>
      </c>
      <c r="I1332" s="37" t="s">
        <v>1289</v>
      </c>
      <c r="J1332" s="17" t="s">
        <v>2949</v>
      </c>
      <c r="K1332" s="17" t="s">
        <v>2551</v>
      </c>
      <c r="L1332" s="37" t="s">
        <v>58</v>
      </c>
      <c r="M1332" s="37"/>
      <c r="N1332" s="17"/>
      <c r="O1332" s="1"/>
      <c r="P1332" s="15"/>
      <c r="Q1332" s="15"/>
      <c r="R1332" s="1"/>
      <c r="S1332" s="1"/>
    </row>
    <row r="1333">
      <c r="A1333" s="1"/>
      <c r="B1333" s="3">
        <f t="shared" si="3"/>
        <v>1329</v>
      </c>
      <c r="C1333" s="151" t="s">
        <v>2950</v>
      </c>
      <c r="D1333" s="37" t="s">
        <v>83</v>
      </c>
      <c r="E1333" s="37" t="s">
        <v>2951</v>
      </c>
      <c r="F1333" s="43" t="s">
        <v>2952</v>
      </c>
      <c r="G1333" s="37"/>
      <c r="H1333" s="46">
        <v>46218.0</v>
      </c>
      <c r="I1333" s="37" t="s">
        <v>1289</v>
      </c>
      <c r="J1333" s="17" t="s">
        <v>605</v>
      </c>
      <c r="K1333" s="17" t="s">
        <v>2953</v>
      </c>
      <c r="L1333" s="37" t="s">
        <v>58</v>
      </c>
      <c r="M1333" s="37"/>
      <c r="N1333" s="17"/>
      <c r="O1333" s="1"/>
      <c r="P1333" s="67" t="s">
        <v>2954</v>
      </c>
      <c r="Q1333" s="15"/>
      <c r="R1333" s="1"/>
      <c r="S1333" s="1"/>
    </row>
    <row r="1334">
      <c r="A1334" s="1"/>
      <c r="B1334" s="3">
        <f t="shared" si="3"/>
        <v>1330</v>
      </c>
      <c r="C1334" s="31" t="s">
        <v>2955</v>
      </c>
      <c r="D1334" s="37" t="s">
        <v>83</v>
      </c>
      <c r="E1334" s="37" t="s">
        <v>2956</v>
      </c>
      <c r="F1334" s="43" t="s">
        <v>2955</v>
      </c>
      <c r="G1334" s="37"/>
      <c r="H1334" s="46">
        <v>46218.0</v>
      </c>
      <c r="I1334" s="37" t="s">
        <v>1289</v>
      </c>
      <c r="J1334" s="17" t="s">
        <v>2957</v>
      </c>
      <c r="K1334" s="17" t="s">
        <v>2551</v>
      </c>
      <c r="L1334" s="37" t="s">
        <v>58</v>
      </c>
      <c r="M1334" s="37"/>
      <c r="N1334" s="17"/>
      <c r="O1334" s="1"/>
      <c r="P1334" s="15"/>
      <c r="Q1334" s="15"/>
      <c r="R1334" s="1"/>
      <c r="S1334" s="1"/>
    </row>
    <row r="1335">
      <c r="A1335" s="1"/>
      <c r="B1335" s="3">
        <f t="shared" si="3"/>
        <v>1331</v>
      </c>
      <c r="C1335" s="31" t="s">
        <v>2958</v>
      </c>
      <c r="D1335" s="37" t="s">
        <v>83</v>
      </c>
      <c r="E1335" s="37" t="s">
        <v>1595</v>
      </c>
      <c r="F1335" s="43" t="s">
        <v>2958</v>
      </c>
      <c r="G1335" s="37"/>
      <c r="H1335" s="46">
        <v>46218.0</v>
      </c>
      <c r="I1335" s="37" t="s">
        <v>1289</v>
      </c>
      <c r="J1335" s="17" t="s">
        <v>2860</v>
      </c>
      <c r="K1335" s="17" t="s">
        <v>2959</v>
      </c>
      <c r="L1335" s="37" t="s">
        <v>189</v>
      </c>
      <c r="M1335" s="37"/>
      <c r="N1335" s="17"/>
      <c r="O1335" s="1"/>
      <c r="P1335" s="67" t="s">
        <v>2960</v>
      </c>
      <c r="Q1335" s="67" t="s">
        <v>2961</v>
      </c>
      <c r="R1335" s="1"/>
      <c r="S1335" s="1"/>
    </row>
    <row r="1336">
      <c r="A1336" s="1"/>
      <c r="B1336" s="3">
        <f t="shared" si="3"/>
        <v>1332</v>
      </c>
      <c r="C1336" s="31" t="s">
        <v>2962</v>
      </c>
      <c r="D1336" s="37" t="s">
        <v>83</v>
      </c>
      <c r="E1336" s="37" t="s">
        <v>2270</v>
      </c>
      <c r="F1336" s="43" t="s">
        <v>2963</v>
      </c>
      <c r="G1336" s="37"/>
      <c r="H1336" s="46">
        <v>46218.0</v>
      </c>
      <c r="I1336" s="37" t="s">
        <v>1289</v>
      </c>
      <c r="J1336" s="17" t="s">
        <v>2860</v>
      </c>
      <c r="K1336" s="17" t="s">
        <v>2964</v>
      </c>
      <c r="L1336" s="37" t="s">
        <v>58</v>
      </c>
      <c r="M1336" s="37"/>
      <c r="N1336" s="17"/>
      <c r="O1336" s="1"/>
      <c r="P1336" s="67" t="s">
        <v>2965</v>
      </c>
      <c r="Q1336" s="15"/>
      <c r="R1336" s="1"/>
      <c r="S1336" s="1"/>
    </row>
    <row r="1337">
      <c r="A1337" s="1"/>
      <c r="B1337" s="3">
        <f t="shared" si="3"/>
        <v>1333</v>
      </c>
      <c r="C1337" s="31" t="s">
        <v>2966</v>
      </c>
      <c r="D1337" s="37" t="s">
        <v>83</v>
      </c>
      <c r="E1337" s="37" t="s">
        <v>2270</v>
      </c>
      <c r="F1337" s="43" t="s">
        <v>2966</v>
      </c>
      <c r="G1337" s="37"/>
      <c r="H1337" s="46">
        <v>46218.0</v>
      </c>
      <c r="I1337" s="37" t="s">
        <v>1289</v>
      </c>
      <c r="J1337" s="17" t="s">
        <v>2967</v>
      </c>
      <c r="K1337" s="17" t="s">
        <v>2968</v>
      </c>
      <c r="L1337" s="37" t="s">
        <v>58</v>
      </c>
      <c r="M1337" s="37"/>
      <c r="N1337" s="17"/>
      <c r="O1337" s="1"/>
      <c r="P1337" s="15"/>
      <c r="Q1337" s="15"/>
      <c r="R1337" s="1"/>
      <c r="S1337" s="1"/>
    </row>
    <row r="1338">
      <c r="A1338" s="1"/>
      <c r="B1338" s="3">
        <f t="shared" si="3"/>
        <v>1334</v>
      </c>
      <c r="C1338" s="31" t="s">
        <v>2969</v>
      </c>
      <c r="D1338" s="37" t="s">
        <v>376</v>
      </c>
      <c r="E1338" s="37" t="s">
        <v>2970</v>
      </c>
      <c r="F1338" s="43" t="s">
        <v>2971</v>
      </c>
      <c r="G1338" s="37"/>
      <c r="H1338" s="46">
        <v>46218.0</v>
      </c>
      <c r="I1338" s="37" t="s">
        <v>1289</v>
      </c>
      <c r="J1338" s="17"/>
      <c r="K1338" s="17" t="s">
        <v>2972</v>
      </c>
      <c r="L1338" s="37" t="s">
        <v>58</v>
      </c>
      <c r="M1338" s="37"/>
      <c r="N1338" s="17"/>
      <c r="O1338" s="1"/>
      <c r="P1338" s="67" t="s">
        <v>2960</v>
      </c>
      <c r="Q1338" s="15"/>
      <c r="R1338" s="1"/>
      <c r="S1338" s="1"/>
    </row>
    <row r="1339">
      <c r="A1339" s="1"/>
      <c r="B1339" s="3">
        <f t="shared" si="3"/>
        <v>1335</v>
      </c>
      <c r="C1339" s="31" t="s">
        <v>2973</v>
      </c>
      <c r="D1339" s="37" t="s">
        <v>104</v>
      </c>
      <c r="E1339" s="37" t="s">
        <v>2951</v>
      </c>
      <c r="F1339" s="43" t="s">
        <v>2974</v>
      </c>
      <c r="G1339" s="37"/>
      <c r="H1339" s="46">
        <v>46218.0</v>
      </c>
      <c r="I1339" s="37" t="s">
        <v>1289</v>
      </c>
      <c r="J1339" s="17" t="s">
        <v>2975</v>
      </c>
      <c r="K1339" s="17" t="s">
        <v>2976</v>
      </c>
      <c r="L1339" s="37" t="s">
        <v>58</v>
      </c>
      <c r="M1339" s="37"/>
      <c r="N1339" s="17"/>
      <c r="O1339" s="1"/>
      <c r="P1339" s="15"/>
      <c r="Q1339" s="15"/>
      <c r="R1339" s="1"/>
      <c r="S1339" s="1"/>
    </row>
    <row r="1340">
      <c r="A1340" s="1"/>
      <c r="B1340" s="3">
        <f t="shared" si="3"/>
        <v>1336</v>
      </c>
      <c r="C1340" s="31" t="s">
        <v>2977</v>
      </c>
      <c r="D1340" s="37" t="s">
        <v>83</v>
      </c>
      <c r="E1340" s="37" t="s">
        <v>1589</v>
      </c>
      <c r="F1340" s="43" t="s">
        <v>2978</v>
      </c>
      <c r="G1340" s="37"/>
      <c r="H1340" s="46">
        <v>46218.0</v>
      </c>
      <c r="I1340" s="37" t="s">
        <v>1289</v>
      </c>
      <c r="J1340" s="17" t="s">
        <v>533</v>
      </c>
      <c r="K1340" s="17" t="s">
        <v>2979</v>
      </c>
      <c r="L1340" s="37" t="s">
        <v>58</v>
      </c>
      <c r="M1340" s="37" t="s">
        <v>57</v>
      </c>
      <c r="N1340" s="17"/>
      <c r="O1340" s="1"/>
      <c r="P1340" s="15"/>
      <c r="Q1340" s="15"/>
      <c r="R1340" s="1"/>
      <c r="S1340" s="1"/>
    </row>
    <row r="1341">
      <c r="A1341" s="1"/>
      <c r="B1341" s="3">
        <f t="shared" si="3"/>
        <v>1337</v>
      </c>
      <c r="C1341" s="132" t="s">
        <v>2980</v>
      </c>
      <c r="D1341" s="133" t="s">
        <v>56</v>
      </c>
      <c r="E1341" s="133" t="s">
        <v>1493</v>
      </c>
      <c r="F1341" s="43" t="s">
        <v>2981</v>
      </c>
      <c r="G1341" s="37"/>
      <c r="H1341" s="46">
        <v>46218.0</v>
      </c>
      <c r="I1341" s="37" t="s">
        <v>1289</v>
      </c>
      <c r="J1341" s="17" t="s">
        <v>765</v>
      </c>
      <c r="K1341" s="17" t="s">
        <v>765</v>
      </c>
      <c r="L1341" s="37" t="s">
        <v>58</v>
      </c>
      <c r="M1341" s="37" t="s">
        <v>45</v>
      </c>
      <c r="N1341" s="17" t="s">
        <v>28</v>
      </c>
      <c r="O1341" s="1"/>
      <c r="P1341" s="67" t="s">
        <v>2982</v>
      </c>
      <c r="Q1341" s="15"/>
      <c r="R1341" s="1"/>
      <c r="S1341" s="1"/>
    </row>
    <row r="1342">
      <c r="A1342" s="1"/>
      <c r="B1342" s="3">
        <f t="shared" si="3"/>
        <v>1338</v>
      </c>
      <c r="C1342" s="31" t="s">
        <v>2983</v>
      </c>
      <c r="D1342" s="37" t="s">
        <v>44</v>
      </c>
      <c r="E1342" s="37" t="s">
        <v>2984</v>
      </c>
      <c r="F1342" s="43" t="s">
        <v>2983</v>
      </c>
      <c r="G1342" s="37"/>
      <c r="H1342" s="46">
        <v>46218.0</v>
      </c>
      <c r="I1342" s="37" t="s">
        <v>1289</v>
      </c>
      <c r="J1342" s="17" t="s">
        <v>2662</v>
      </c>
      <c r="K1342" s="17" t="s">
        <v>2985</v>
      </c>
      <c r="L1342" s="37" t="s">
        <v>189</v>
      </c>
      <c r="M1342" s="37" t="s">
        <v>45</v>
      </c>
      <c r="N1342" s="17" t="s">
        <v>39</v>
      </c>
      <c r="O1342" s="1"/>
      <c r="P1342" s="15"/>
      <c r="Q1342" s="15"/>
      <c r="R1342" s="1"/>
      <c r="S1342" s="1"/>
    </row>
    <row r="1343">
      <c r="A1343" s="1"/>
      <c r="B1343" s="3">
        <f t="shared" si="3"/>
        <v>1339</v>
      </c>
      <c r="C1343" s="31" t="s">
        <v>2986</v>
      </c>
      <c r="D1343" s="37" t="s">
        <v>44</v>
      </c>
      <c r="E1343" s="37" t="s">
        <v>2987</v>
      </c>
      <c r="F1343" s="43" t="s">
        <v>2986</v>
      </c>
      <c r="G1343" s="37"/>
      <c r="H1343" s="46">
        <v>46218.0</v>
      </c>
      <c r="I1343" s="37" t="s">
        <v>1289</v>
      </c>
      <c r="J1343" s="17" t="s">
        <v>2988</v>
      </c>
      <c r="K1343" s="17"/>
      <c r="L1343" s="37" t="s">
        <v>58</v>
      </c>
      <c r="M1343" s="37" t="s">
        <v>53</v>
      </c>
      <c r="N1343" s="17" t="s">
        <v>28</v>
      </c>
      <c r="O1343" s="1"/>
      <c r="P1343" s="15"/>
      <c r="Q1343" s="15"/>
      <c r="R1343" s="1"/>
      <c r="S1343" s="1"/>
    </row>
    <row r="1344">
      <c r="A1344" s="1"/>
      <c r="B1344" s="3">
        <f t="shared" si="3"/>
        <v>1340</v>
      </c>
      <c r="C1344" s="31" t="s">
        <v>2989</v>
      </c>
      <c r="D1344" s="37" t="s">
        <v>96</v>
      </c>
      <c r="E1344" s="37" t="s">
        <v>1285</v>
      </c>
      <c r="F1344" s="43" t="s">
        <v>2990</v>
      </c>
      <c r="G1344" s="37"/>
      <c r="H1344" s="46">
        <v>46218.0</v>
      </c>
      <c r="I1344" s="37" t="s">
        <v>1289</v>
      </c>
      <c r="J1344" s="17" t="s">
        <v>2991</v>
      </c>
      <c r="K1344" s="17" t="s">
        <v>2231</v>
      </c>
      <c r="L1344" s="37"/>
      <c r="M1344" s="37"/>
      <c r="N1344" s="17"/>
      <c r="O1344" s="37" t="s">
        <v>2992</v>
      </c>
      <c r="P1344" s="15"/>
      <c r="Q1344" s="15"/>
      <c r="R1344" s="1"/>
      <c r="S1344" s="1"/>
    </row>
    <row r="1345">
      <c r="A1345" s="1"/>
      <c r="B1345" s="3">
        <f t="shared" si="3"/>
        <v>1341</v>
      </c>
      <c r="C1345" s="31" t="s">
        <v>2993</v>
      </c>
      <c r="D1345" s="37" t="s">
        <v>96</v>
      </c>
      <c r="E1345" s="37" t="s">
        <v>1285</v>
      </c>
      <c r="F1345" s="43" t="s">
        <v>2994</v>
      </c>
      <c r="G1345" s="37"/>
      <c r="H1345" s="46">
        <v>46218.0</v>
      </c>
      <c r="I1345" s="37" t="s">
        <v>1289</v>
      </c>
      <c r="J1345" s="17" t="s">
        <v>2995</v>
      </c>
      <c r="K1345" s="17" t="s">
        <v>2830</v>
      </c>
      <c r="L1345" s="37"/>
      <c r="M1345" s="37"/>
      <c r="N1345" s="17"/>
      <c r="O1345" s="37" t="s">
        <v>2992</v>
      </c>
      <c r="P1345" s="15"/>
      <c r="Q1345" s="15"/>
      <c r="R1345" s="1"/>
      <c r="S1345" s="1"/>
    </row>
    <row r="1346">
      <c r="A1346" s="1"/>
      <c r="B1346" s="3">
        <f t="shared" si="3"/>
        <v>1342</v>
      </c>
      <c r="C1346" s="31" t="s">
        <v>2996</v>
      </c>
      <c r="D1346" s="37" t="s">
        <v>96</v>
      </c>
      <c r="E1346" s="37" t="s">
        <v>1363</v>
      </c>
      <c r="F1346" s="43" t="s">
        <v>2996</v>
      </c>
      <c r="G1346" s="37"/>
      <c r="H1346" s="46">
        <v>46218.0</v>
      </c>
      <c r="I1346" s="37" t="s">
        <v>1289</v>
      </c>
      <c r="J1346" s="17" t="s">
        <v>2997</v>
      </c>
      <c r="K1346" s="17" t="s">
        <v>2231</v>
      </c>
      <c r="L1346" s="37"/>
      <c r="M1346" s="37"/>
      <c r="N1346" s="17"/>
      <c r="O1346" s="37" t="s">
        <v>2992</v>
      </c>
      <c r="P1346" s="15"/>
      <c r="Q1346" s="15"/>
      <c r="R1346" s="1"/>
      <c r="S1346" s="1"/>
    </row>
    <row r="1347">
      <c r="A1347" s="1"/>
      <c r="B1347" s="3">
        <f t="shared" si="3"/>
        <v>1343</v>
      </c>
      <c r="C1347" s="31" t="s">
        <v>2998</v>
      </c>
      <c r="D1347" s="37" t="s">
        <v>96</v>
      </c>
      <c r="E1347" s="37" t="s">
        <v>1574</v>
      </c>
      <c r="F1347" s="43" t="s">
        <v>2998</v>
      </c>
      <c r="G1347" s="37"/>
      <c r="H1347" s="46">
        <v>46218.0</v>
      </c>
      <c r="I1347" s="37" t="s">
        <v>1289</v>
      </c>
      <c r="J1347" s="17" t="s">
        <v>648</v>
      </c>
      <c r="K1347" s="17" t="s">
        <v>2999</v>
      </c>
      <c r="L1347" s="37"/>
      <c r="M1347" s="37"/>
      <c r="N1347" s="17"/>
      <c r="O1347" s="37" t="s">
        <v>2992</v>
      </c>
      <c r="P1347" s="15"/>
      <c r="Q1347" s="15"/>
      <c r="R1347" s="1"/>
      <c r="S1347" s="1"/>
    </row>
    <row r="1348">
      <c r="A1348" s="1"/>
      <c r="B1348" s="3">
        <f t="shared" si="3"/>
        <v>1344</v>
      </c>
      <c r="C1348" s="31" t="s">
        <v>3000</v>
      </c>
      <c r="D1348" s="37" t="s">
        <v>96</v>
      </c>
      <c r="E1348" s="37" t="s">
        <v>2270</v>
      </c>
      <c r="F1348" s="43" t="s">
        <v>3001</v>
      </c>
      <c r="G1348" s="37"/>
      <c r="H1348" s="46">
        <v>46218.0</v>
      </c>
      <c r="I1348" s="37" t="s">
        <v>1289</v>
      </c>
      <c r="J1348" s="17"/>
      <c r="K1348" s="17" t="s">
        <v>2231</v>
      </c>
      <c r="L1348" s="37"/>
      <c r="M1348" s="37"/>
      <c r="N1348" s="17"/>
      <c r="O1348" s="37" t="s">
        <v>2992</v>
      </c>
      <c r="P1348" s="15"/>
      <c r="Q1348" s="15"/>
      <c r="R1348" s="1"/>
      <c r="S1348" s="1"/>
    </row>
    <row r="1349">
      <c r="A1349" s="1"/>
      <c r="B1349" s="3">
        <f t="shared" si="3"/>
        <v>1345</v>
      </c>
      <c r="C1349" s="31" t="s">
        <v>2371</v>
      </c>
      <c r="D1349" s="37" t="s">
        <v>56</v>
      </c>
      <c r="E1349" s="37" t="s">
        <v>1285</v>
      </c>
      <c r="F1349" s="1"/>
      <c r="G1349" s="37"/>
      <c r="H1349" s="46">
        <v>46218.0</v>
      </c>
      <c r="I1349" s="37" t="s">
        <v>1289</v>
      </c>
      <c r="J1349" s="17"/>
      <c r="K1349" s="17" t="s">
        <v>2231</v>
      </c>
      <c r="L1349" s="37" t="s">
        <v>189</v>
      </c>
      <c r="M1349" s="37"/>
      <c r="N1349" s="17"/>
      <c r="O1349" s="1"/>
      <c r="P1349" s="15"/>
      <c r="Q1349" s="15"/>
      <c r="R1349" s="1"/>
      <c r="S1349" s="1"/>
    </row>
    <row r="1350">
      <c r="A1350" s="1"/>
      <c r="B1350" s="3">
        <f t="shared" si="3"/>
        <v>1346</v>
      </c>
      <c r="C1350" s="31" t="s">
        <v>3002</v>
      </c>
      <c r="D1350" s="37" t="s">
        <v>159</v>
      </c>
      <c r="E1350" s="37" t="s">
        <v>2951</v>
      </c>
      <c r="F1350" s="1"/>
      <c r="G1350" s="37"/>
      <c r="H1350" s="46">
        <v>46218.0</v>
      </c>
      <c r="I1350" s="37" t="s">
        <v>1289</v>
      </c>
      <c r="J1350" s="17" t="s">
        <v>533</v>
      </c>
      <c r="K1350" s="17" t="s">
        <v>533</v>
      </c>
      <c r="L1350" s="37" t="s">
        <v>189</v>
      </c>
      <c r="M1350" s="37"/>
      <c r="N1350" s="17"/>
      <c r="O1350" s="1"/>
      <c r="P1350" s="15"/>
      <c r="Q1350" s="15"/>
      <c r="R1350" s="1"/>
      <c r="S1350" s="1"/>
    </row>
    <row r="1351">
      <c r="A1351" s="1"/>
      <c r="B1351" s="3">
        <f t="shared" si="3"/>
        <v>1347</v>
      </c>
      <c r="C1351" s="31" t="s">
        <v>3003</v>
      </c>
      <c r="D1351" s="37" t="s">
        <v>83</v>
      </c>
      <c r="E1351" s="37" t="s">
        <v>2492</v>
      </c>
      <c r="F1351" s="1"/>
      <c r="G1351" s="37"/>
      <c r="H1351" s="46">
        <v>46218.0</v>
      </c>
      <c r="I1351" s="37" t="s">
        <v>1289</v>
      </c>
      <c r="J1351" s="17" t="s">
        <v>2329</v>
      </c>
      <c r="K1351" s="17" t="s">
        <v>648</v>
      </c>
      <c r="L1351" s="37" t="s">
        <v>189</v>
      </c>
      <c r="M1351" s="37"/>
      <c r="N1351" s="17"/>
      <c r="O1351" s="1"/>
      <c r="P1351" s="15"/>
      <c r="Q1351" s="15"/>
      <c r="R1351" s="1"/>
      <c r="S1351" s="1"/>
    </row>
    <row r="1352">
      <c r="A1352" s="1"/>
      <c r="B1352" s="3">
        <f t="shared" si="3"/>
        <v>1348</v>
      </c>
      <c r="C1352" s="31" t="s">
        <v>3004</v>
      </c>
      <c r="D1352" s="37" t="s">
        <v>83</v>
      </c>
      <c r="E1352" s="37" t="s">
        <v>3005</v>
      </c>
      <c r="F1352" s="1"/>
      <c r="G1352" s="37"/>
      <c r="H1352" s="46">
        <v>46218.0</v>
      </c>
      <c r="I1352" s="37" t="s">
        <v>1289</v>
      </c>
      <c r="J1352" s="17" t="s">
        <v>3006</v>
      </c>
      <c r="K1352" s="17" t="s">
        <v>2801</v>
      </c>
      <c r="L1352" s="37" t="s">
        <v>189</v>
      </c>
      <c r="M1352" s="37"/>
      <c r="N1352" s="17"/>
      <c r="O1352" s="1"/>
      <c r="P1352" s="15"/>
      <c r="Q1352" s="15"/>
      <c r="R1352" s="1"/>
      <c r="S1352" s="1"/>
    </row>
    <row r="1353">
      <c r="A1353" s="1"/>
      <c r="B1353" s="3">
        <f t="shared" si="3"/>
        <v>1349</v>
      </c>
      <c r="C1353" s="31" t="s">
        <v>3007</v>
      </c>
      <c r="D1353" s="37" t="s">
        <v>49</v>
      </c>
      <c r="E1353" s="37" t="s">
        <v>2926</v>
      </c>
      <c r="F1353" s="1"/>
      <c r="G1353" s="37"/>
      <c r="H1353" s="46">
        <v>46218.0</v>
      </c>
      <c r="I1353" s="37" t="s">
        <v>1289</v>
      </c>
      <c r="J1353" s="17"/>
      <c r="K1353" s="17"/>
      <c r="L1353" s="37" t="s">
        <v>58</v>
      </c>
      <c r="M1353" s="37"/>
      <c r="N1353" s="17"/>
      <c r="O1353" s="1"/>
      <c r="P1353" s="15"/>
      <c r="Q1353" s="67" t="s">
        <v>2884</v>
      </c>
      <c r="R1353" s="1"/>
      <c r="S1353" s="1"/>
    </row>
    <row r="1354">
      <c r="A1354" s="1"/>
      <c r="B1354" s="3">
        <f t="shared" si="3"/>
        <v>1350</v>
      </c>
      <c r="C1354" s="31" t="s">
        <v>3008</v>
      </c>
      <c r="D1354" s="37" t="s">
        <v>83</v>
      </c>
      <c r="E1354" s="37" t="s">
        <v>1332</v>
      </c>
      <c r="F1354" s="1"/>
      <c r="G1354" s="37"/>
      <c r="H1354" s="46">
        <v>46218.0</v>
      </c>
      <c r="I1354" s="37" t="s">
        <v>1289</v>
      </c>
      <c r="J1354" s="17" t="s">
        <v>3009</v>
      </c>
      <c r="K1354" s="17" t="s">
        <v>3010</v>
      </c>
      <c r="L1354" s="37" t="s">
        <v>58</v>
      </c>
      <c r="M1354" s="37"/>
      <c r="N1354" s="17"/>
      <c r="O1354" s="1"/>
      <c r="P1354" s="15"/>
      <c r="Q1354" s="67" t="s">
        <v>2884</v>
      </c>
      <c r="R1354" s="1"/>
      <c r="S1354" s="1"/>
    </row>
    <row r="1355">
      <c r="A1355" s="1"/>
      <c r="B1355" s="3">
        <f t="shared" si="3"/>
        <v>1351</v>
      </c>
      <c r="C1355" s="31" t="s">
        <v>3011</v>
      </c>
      <c r="D1355" s="37" t="s">
        <v>1505</v>
      </c>
      <c r="E1355" s="37" t="s">
        <v>2465</v>
      </c>
      <c r="F1355" s="1"/>
      <c r="G1355" s="37"/>
      <c r="H1355" s="46">
        <v>46176.0</v>
      </c>
      <c r="I1355" s="37" t="s">
        <v>1289</v>
      </c>
      <c r="J1355" s="17" t="s">
        <v>573</v>
      </c>
      <c r="K1355" s="17" t="s">
        <v>3012</v>
      </c>
      <c r="L1355" s="37" t="s">
        <v>189</v>
      </c>
      <c r="M1355" s="37"/>
      <c r="N1355" s="17"/>
      <c r="O1355" s="1"/>
      <c r="P1355" s="15"/>
      <c r="Q1355" s="15"/>
      <c r="R1355" s="1"/>
      <c r="S1355" s="1"/>
    </row>
    <row r="1356">
      <c r="A1356" s="1"/>
      <c r="B1356" s="3">
        <f t="shared" si="3"/>
        <v>1352</v>
      </c>
      <c r="C1356" s="31" t="s">
        <v>3013</v>
      </c>
      <c r="D1356" s="37" t="s">
        <v>1505</v>
      </c>
      <c r="E1356" s="37" t="s">
        <v>2886</v>
      </c>
      <c r="F1356" s="1"/>
      <c r="G1356" s="37"/>
      <c r="H1356" s="46">
        <v>46176.0</v>
      </c>
      <c r="I1356" s="37" t="s">
        <v>1289</v>
      </c>
      <c r="J1356" s="17" t="s">
        <v>518</v>
      </c>
      <c r="K1356" s="17" t="s">
        <v>571</v>
      </c>
      <c r="L1356" s="37" t="s">
        <v>189</v>
      </c>
      <c r="M1356" s="37"/>
      <c r="N1356" s="17"/>
      <c r="O1356" s="1"/>
      <c r="P1356" s="15"/>
      <c r="Q1356" s="15"/>
      <c r="R1356" s="1"/>
      <c r="S1356" s="1"/>
    </row>
    <row r="1357">
      <c r="A1357" s="1"/>
      <c r="B1357" s="3">
        <f t="shared" si="3"/>
        <v>1353</v>
      </c>
      <c r="C1357" s="31" t="s">
        <v>3014</v>
      </c>
      <c r="D1357" s="37" t="s">
        <v>1505</v>
      </c>
      <c r="E1357" s="37" t="s">
        <v>1574</v>
      </c>
      <c r="F1357" s="1"/>
      <c r="G1357" s="37"/>
      <c r="H1357" s="46">
        <v>46176.0</v>
      </c>
      <c r="I1357" s="37" t="s">
        <v>1289</v>
      </c>
      <c r="J1357" s="17"/>
      <c r="K1357" s="17"/>
      <c r="L1357" s="37" t="s">
        <v>189</v>
      </c>
      <c r="M1357" s="37"/>
      <c r="N1357" s="17"/>
      <c r="O1357" s="1"/>
      <c r="P1357" s="15"/>
      <c r="Q1357" s="15"/>
      <c r="R1357" s="1"/>
      <c r="S1357" s="1"/>
    </row>
    <row r="1358">
      <c r="A1358" s="1"/>
      <c r="B1358" s="3">
        <f t="shared" si="3"/>
        <v>1354</v>
      </c>
      <c r="C1358" s="31" t="s">
        <v>3015</v>
      </c>
      <c r="D1358" s="37" t="s">
        <v>1505</v>
      </c>
      <c r="E1358" s="37" t="s">
        <v>1574</v>
      </c>
      <c r="F1358" s="1"/>
      <c r="G1358" s="37"/>
      <c r="H1358" s="46">
        <v>46176.0</v>
      </c>
      <c r="I1358" s="37" t="s">
        <v>1289</v>
      </c>
      <c r="J1358" s="17"/>
      <c r="K1358" s="17" t="s">
        <v>3016</v>
      </c>
      <c r="L1358" s="37" t="s">
        <v>189</v>
      </c>
      <c r="M1358" s="37"/>
      <c r="N1358" s="17"/>
      <c r="O1358" s="1"/>
      <c r="P1358" s="15"/>
      <c r="Q1358" s="15"/>
      <c r="R1358" s="1"/>
      <c r="S1358" s="1"/>
    </row>
    <row r="1359">
      <c r="A1359" s="1"/>
      <c r="B1359" s="3">
        <f t="shared" si="3"/>
        <v>1355</v>
      </c>
      <c r="C1359" s="31" t="s">
        <v>3017</v>
      </c>
      <c r="D1359" s="37" t="s">
        <v>1505</v>
      </c>
      <c r="E1359" s="37" t="s">
        <v>3018</v>
      </c>
      <c r="F1359" s="1"/>
      <c r="G1359" s="37"/>
      <c r="H1359" s="46">
        <v>46176.0</v>
      </c>
      <c r="I1359" s="37" t="s">
        <v>1289</v>
      </c>
      <c r="J1359" s="17"/>
      <c r="K1359" s="17" t="s">
        <v>3019</v>
      </c>
      <c r="L1359" s="37" t="s">
        <v>189</v>
      </c>
      <c r="M1359" s="37"/>
      <c r="N1359" s="17"/>
      <c r="O1359" s="1"/>
      <c r="P1359" s="15"/>
      <c r="Q1359" s="15"/>
      <c r="R1359" s="1"/>
      <c r="S1359" s="1"/>
    </row>
    <row r="1360">
      <c r="A1360" s="1"/>
      <c r="B1360" s="3">
        <f t="shared" si="3"/>
        <v>1356</v>
      </c>
      <c r="C1360" s="31" t="s">
        <v>3020</v>
      </c>
      <c r="D1360" s="37" t="s">
        <v>96</v>
      </c>
      <c r="E1360" s="37" t="s">
        <v>1578</v>
      </c>
      <c r="F1360" s="1"/>
      <c r="G1360" s="37"/>
      <c r="H1360" s="46">
        <v>46176.0</v>
      </c>
      <c r="I1360" s="37" t="s">
        <v>1289</v>
      </c>
      <c r="J1360" s="17"/>
      <c r="K1360" s="17" t="s">
        <v>557</v>
      </c>
      <c r="L1360" s="37" t="s">
        <v>189</v>
      </c>
      <c r="M1360" s="37"/>
      <c r="N1360" s="17"/>
      <c r="O1360" s="1"/>
      <c r="P1360" s="15"/>
      <c r="Q1360" s="15"/>
      <c r="R1360" s="1"/>
      <c r="S1360" s="1"/>
    </row>
    <row r="1361">
      <c r="A1361" s="1"/>
      <c r="B1361" s="3">
        <f t="shared" si="3"/>
        <v>1357</v>
      </c>
      <c r="C1361" s="31" t="s">
        <v>3021</v>
      </c>
      <c r="D1361" s="37" t="s">
        <v>44</v>
      </c>
      <c r="E1361" s="37" t="s">
        <v>1285</v>
      </c>
      <c r="F1361" s="1"/>
      <c r="G1361" s="37"/>
      <c r="H1361" s="46">
        <v>46176.0</v>
      </c>
      <c r="I1361" s="37" t="s">
        <v>1289</v>
      </c>
      <c r="J1361" s="17" t="s">
        <v>533</v>
      </c>
      <c r="K1361" s="17" t="s">
        <v>2641</v>
      </c>
      <c r="L1361" s="37" t="s">
        <v>189</v>
      </c>
      <c r="M1361" s="37"/>
      <c r="N1361" s="17"/>
      <c r="O1361" s="1"/>
      <c r="P1361" s="15"/>
      <c r="Q1361" s="15"/>
      <c r="R1361" s="1"/>
      <c r="S1361" s="1"/>
    </row>
    <row r="1362">
      <c r="A1362" s="1"/>
      <c r="B1362" s="3">
        <f t="shared" si="3"/>
        <v>1358</v>
      </c>
      <c r="C1362" s="31" t="s">
        <v>3022</v>
      </c>
      <c r="D1362" s="37" t="s">
        <v>96</v>
      </c>
      <c r="E1362" s="37" t="s">
        <v>3023</v>
      </c>
      <c r="F1362" s="1"/>
      <c r="G1362" s="37"/>
      <c r="H1362" s="46">
        <v>46176.0</v>
      </c>
      <c r="I1362" s="37" t="s">
        <v>1289</v>
      </c>
      <c r="J1362" s="17"/>
      <c r="K1362" s="17" t="s">
        <v>533</v>
      </c>
      <c r="L1362" s="37" t="s">
        <v>58</v>
      </c>
      <c r="M1362" s="37"/>
      <c r="N1362" s="17"/>
      <c r="O1362" s="1"/>
      <c r="P1362" s="15"/>
      <c r="Q1362" s="15"/>
      <c r="R1362" s="1"/>
      <c r="S1362" s="1"/>
    </row>
    <row r="1363">
      <c r="A1363" s="1"/>
      <c r="B1363" s="3">
        <f t="shared" si="3"/>
        <v>1359</v>
      </c>
      <c r="C1363" s="31" t="s">
        <v>3024</v>
      </c>
      <c r="D1363" s="37"/>
      <c r="E1363" s="37" t="s">
        <v>1438</v>
      </c>
      <c r="F1363" s="1"/>
      <c r="G1363" s="37"/>
      <c r="H1363" s="46">
        <v>46211.0</v>
      </c>
      <c r="I1363" s="37" t="s">
        <v>1289</v>
      </c>
      <c r="J1363" s="17"/>
      <c r="K1363" s="17" t="s">
        <v>648</v>
      </c>
      <c r="L1363" s="37" t="s">
        <v>189</v>
      </c>
      <c r="M1363" s="37"/>
      <c r="N1363" s="17"/>
      <c r="O1363" s="1"/>
      <c r="P1363" s="15"/>
      <c r="Q1363" s="15"/>
      <c r="R1363" s="1"/>
      <c r="S1363" s="1"/>
    </row>
    <row r="1364">
      <c r="A1364" s="1"/>
      <c r="B1364" s="3">
        <f t="shared" si="3"/>
        <v>1360</v>
      </c>
      <c r="C1364" s="151" t="s">
        <v>3025</v>
      </c>
      <c r="D1364" s="37" t="s">
        <v>83</v>
      </c>
      <c r="E1364" s="37" t="s">
        <v>1363</v>
      </c>
      <c r="F1364" s="43" t="s">
        <v>3026</v>
      </c>
      <c r="G1364" s="37"/>
      <c r="H1364" s="46">
        <v>46225.0</v>
      </c>
      <c r="I1364" s="37" t="s">
        <v>3027</v>
      </c>
      <c r="J1364" s="17" t="s">
        <v>3028</v>
      </c>
      <c r="K1364" s="17" t="s">
        <v>533</v>
      </c>
      <c r="L1364" s="37" t="s">
        <v>58</v>
      </c>
      <c r="M1364" s="37"/>
      <c r="N1364" s="17"/>
      <c r="O1364" s="1"/>
      <c r="P1364" s="15"/>
      <c r="Q1364" s="67" t="s">
        <v>2802</v>
      </c>
      <c r="R1364" s="1"/>
      <c r="S1364" s="1"/>
    </row>
    <row r="1365">
      <c r="A1365" s="1"/>
      <c r="B1365" s="3">
        <f t="shared" si="3"/>
        <v>1361</v>
      </c>
      <c r="C1365" s="31" t="s">
        <v>3029</v>
      </c>
      <c r="D1365" s="37" t="s">
        <v>83</v>
      </c>
      <c r="E1365" s="37" t="s">
        <v>1343</v>
      </c>
      <c r="F1365" s="43" t="s">
        <v>3030</v>
      </c>
      <c r="G1365" s="37"/>
      <c r="H1365" s="46">
        <v>46225.0</v>
      </c>
      <c r="I1365" s="37" t="s">
        <v>3027</v>
      </c>
      <c r="J1365" s="17" t="s">
        <v>3031</v>
      </c>
      <c r="K1365" s="17" t="s">
        <v>3032</v>
      </c>
      <c r="L1365" s="37" t="s">
        <v>58</v>
      </c>
      <c r="M1365" s="37" t="s">
        <v>68</v>
      </c>
      <c r="N1365" s="17" t="s">
        <v>28</v>
      </c>
      <c r="O1365" s="37" t="s">
        <v>3033</v>
      </c>
      <c r="P1365" s="15"/>
      <c r="Q1365" s="67" t="s">
        <v>2802</v>
      </c>
      <c r="R1365" s="1"/>
      <c r="S1365" s="1"/>
    </row>
    <row r="1366">
      <c r="A1366" s="1"/>
      <c r="B1366" s="3">
        <f t="shared" si="3"/>
        <v>1362</v>
      </c>
      <c r="C1366" s="31" t="s">
        <v>3034</v>
      </c>
      <c r="D1366" s="37" t="s">
        <v>83</v>
      </c>
      <c r="E1366" s="37" t="s">
        <v>600</v>
      </c>
      <c r="F1366" s="43" t="s">
        <v>3035</v>
      </c>
      <c r="G1366" s="37"/>
      <c r="H1366" s="46">
        <v>46225.0</v>
      </c>
      <c r="I1366" s="37" t="s">
        <v>3027</v>
      </c>
      <c r="J1366" s="17"/>
      <c r="K1366" s="17" t="s">
        <v>605</v>
      </c>
      <c r="L1366" s="37" t="s">
        <v>58</v>
      </c>
      <c r="M1366" s="37"/>
      <c r="N1366" s="17"/>
      <c r="O1366" s="1"/>
      <c r="P1366" s="67" t="s">
        <v>3036</v>
      </c>
      <c r="Q1366" s="67" t="s">
        <v>2802</v>
      </c>
      <c r="R1366" s="1"/>
      <c r="S1366" s="1"/>
    </row>
    <row r="1367">
      <c r="A1367" s="1"/>
      <c r="B1367" s="3">
        <f t="shared" si="3"/>
        <v>1363</v>
      </c>
      <c r="C1367" s="31" t="s">
        <v>3037</v>
      </c>
      <c r="D1367" s="37" t="s">
        <v>38</v>
      </c>
      <c r="E1367" s="37" t="s">
        <v>1477</v>
      </c>
      <c r="F1367" s="43" t="s">
        <v>3038</v>
      </c>
      <c r="G1367" s="37"/>
      <c r="H1367" s="46">
        <v>46225.0</v>
      </c>
      <c r="I1367" s="37" t="s">
        <v>3027</v>
      </c>
      <c r="J1367" s="17"/>
      <c r="K1367" s="17" t="s">
        <v>2551</v>
      </c>
      <c r="L1367" s="37" t="s">
        <v>58</v>
      </c>
      <c r="M1367" s="37"/>
      <c r="N1367" s="17"/>
      <c r="O1367" s="1"/>
      <c r="P1367" s="67" t="s">
        <v>3039</v>
      </c>
      <c r="Q1367" s="67" t="s">
        <v>3040</v>
      </c>
      <c r="R1367" s="1"/>
      <c r="S1367" s="1"/>
    </row>
    <row r="1368">
      <c r="A1368" s="1"/>
      <c r="B1368" s="3">
        <f t="shared" si="3"/>
        <v>1364</v>
      </c>
      <c r="C1368" s="31" t="s">
        <v>3041</v>
      </c>
      <c r="D1368" s="37" t="s">
        <v>497</v>
      </c>
      <c r="E1368" s="37" t="s">
        <v>3042</v>
      </c>
      <c r="F1368" s="43" t="s">
        <v>3043</v>
      </c>
      <c r="G1368" s="37"/>
      <c r="H1368" s="46">
        <v>46225.0</v>
      </c>
      <c r="I1368" s="37" t="s">
        <v>3027</v>
      </c>
      <c r="J1368" s="17"/>
      <c r="K1368" s="17" t="s">
        <v>3044</v>
      </c>
      <c r="L1368" s="37" t="s">
        <v>58</v>
      </c>
      <c r="M1368" s="37"/>
      <c r="N1368" s="17"/>
      <c r="O1368" s="1"/>
      <c r="P1368" s="67"/>
      <c r="Q1368" s="67" t="s">
        <v>3045</v>
      </c>
      <c r="R1368" s="1"/>
      <c r="S1368" s="1"/>
    </row>
    <row r="1369">
      <c r="A1369" s="1"/>
      <c r="B1369" s="3">
        <f t="shared" si="3"/>
        <v>1365</v>
      </c>
      <c r="C1369" s="31" t="s">
        <v>3046</v>
      </c>
      <c r="D1369" s="37" t="s">
        <v>38</v>
      </c>
      <c r="E1369" s="37" t="s">
        <v>3047</v>
      </c>
      <c r="F1369" s="43" t="s">
        <v>3048</v>
      </c>
      <c r="G1369" s="37"/>
      <c r="H1369" s="46">
        <v>46225.0</v>
      </c>
      <c r="I1369" s="37" t="s">
        <v>3027</v>
      </c>
      <c r="J1369" s="17"/>
      <c r="K1369" s="17" t="s">
        <v>3049</v>
      </c>
      <c r="L1369" s="37" t="s">
        <v>189</v>
      </c>
      <c r="M1369" s="37" t="s">
        <v>68</v>
      </c>
      <c r="N1369" s="17" t="s">
        <v>39</v>
      </c>
      <c r="O1369" s="1"/>
      <c r="P1369" s="15"/>
      <c r="Q1369" s="15"/>
      <c r="R1369" s="1"/>
      <c r="S1369" s="1"/>
    </row>
    <row r="1370">
      <c r="A1370" s="1"/>
      <c r="B1370" s="3">
        <f t="shared" si="3"/>
        <v>1366</v>
      </c>
      <c r="C1370" s="31" t="s">
        <v>3050</v>
      </c>
      <c r="D1370" s="37" t="s">
        <v>112</v>
      </c>
      <c r="E1370" s="37" t="s">
        <v>2284</v>
      </c>
      <c r="F1370" s="43" t="s">
        <v>3051</v>
      </c>
      <c r="G1370" s="37"/>
      <c r="H1370" s="46">
        <v>46225.0</v>
      </c>
      <c r="I1370" s="37" t="s">
        <v>3027</v>
      </c>
      <c r="J1370" s="17"/>
      <c r="K1370" s="17" t="s">
        <v>2551</v>
      </c>
      <c r="L1370" s="37" t="s">
        <v>189</v>
      </c>
      <c r="M1370" s="37"/>
      <c r="N1370" s="17"/>
      <c r="O1370" s="1"/>
      <c r="P1370" s="15"/>
      <c r="Q1370" s="15"/>
      <c r="R1370" s="1"/>
      <c r="S1370" s="1"/>
    </row>
    <row r="1371">
      <c r="A1371" s="1"/>
      <c r="B1371" s="3">
        <f t="shared" si="3"/>
        <v>1367</v>
      </c>
      <c r="C1371" s="31" t="s">
        <v>3052</v>
      </c>
      <c r="D1371" s="37" t="s">
        <v>83</v>
      </c>
      <c r="E1371" s="37" t="s">
        <v>1530</v>
      </c>
      <c r="F1371" s="43" t="s">
        <v>3053</v>
      </c>
      <c r="G1371" s="37"/>
      <c r="H1371" s="46">
        <v>46225.0</v>
      </c>
      <c r="I1371" s="37" t="s">
        <v>3027</v>
      </c>
      <c r="J1371" s="17"/>
      <c r="K1371" s="17" t="s">
        <v>2551</v>
      </c>
      <c r="L1371" s="37" t="s">
        <v>58</v>
      </c>
      <c r="M1371" s="37"/>
      <c r="N1371" s="17"/>
      <c r="O1371" s="1"/>
      <c r="P1371" s="15"/>
      <c r="Q1371" s="15"/>
      <c r="R1371" s="1"/>
      <c r="S1371" s="1"/>
    </row>
    <row r="1372">
      <c r="A1372" s="1"/>
      <c r="B1372" s="3">
        <f t="shared" si="3"/>
        <v>1368</v>
      </c>
      <c r="C1372" s="31" t="s">
        <v>3054</v>
      </c>
      <c r="D1372" s="37" t="s">
        <v>1505</v>
      </c>
      <c r="E1372" s="37" t="s">
        <v>1493</v>
      </c>
      <c r="F1372" s="43" t="s">
        <v>3055</v>
      </c>
      <c r="G1372" s="37"/>
      <c r="H1372" s="46">
        <v>46225.0</v>
      </c>
      <c r="I1372" s="37" t="s">
        <v>3027</v>
      </c>
      <c r="J1372" s="17"/>
      <c r="K1372" s="17" t="s">
        <v>533</v>
      </c>
      <c r="L1372" s="37" t="s">
        <v>58</v>
      </c>
      <c r="M1372" s="37"/>
      <c r="N1372" s="17"/>
      <c r="O1372" s="1"/>
      <c r="P1372" s="15"/>
      <c r="Q1372" s="67" t="s">
        <v>3056</v>
      </c>
      <c r="R1372" s="1"/>
      <c r="S1372" s="1"/>
    </row>
    <row r="1373">
      <c r="A1373" s="1"/>
      <c r="B1373" s="3">
        <f t="shared" si="3"/>
        <v>1369</v>
      </c>
      <c r="C1373" s="31" t="s">
        <v>3057</v>
      </c>
      <c r="D1373" s="37" t="s">
        <v>56</v>
      </c>
      <c r="E1373" s="37" t="s">
        <v>2051</v>
      </c>
      <c r="F1373" s="43" t="s">
        <v>3058</v>
      </c>
      <c r="G1373" s="37"/>
      <c r="H1373" s="46">
        <v>46225.0</v>
      </c>
      <c r="I1373" s="37" t="s">
        <v>1289</v>
      </c>
      <c r="J1373" s="17"/>
      <c r="K1373" s="17"/>
      <c r="L1373" s="37" t="s">
        <v>58</v>
      </c>
      <c r="M1373" s="37" t="s">
        <v>54</v>
      </c>
      <c r="N1373" s="17" t="s">
        <v>28</v>
      </c>
      <c r="O1373" s="37" t="s">
        <v>3033</v>
      </c>
      <c r="P1373" s="15"/>
      <c r="Q1373" s="15"/>
      <c r="R1373" s="1"/>
      <c r="S1373" s="1"/>
    </row>
    <row r="1374">
      <c r="A1374" s="1"/>
      <c r="B1374" s="3">
        <f t="shared" si="3"/>
        <v>1370</v>
      </c>
      <c r="C1374" s="31" t="s">
        <v>3059</v>
      </c>
      <c r="D1374" s="37" t="s">
        <v>44</v>
      </c>
      <c r="E1374" s="37"/>
      <c r="F1374" s="43" t="s">
        <v>3060</v>
      </c>
      <c r="G1374" s="37"/>
      <c r="H1374" s="46">
        <v>46225.0</v>
      </c>
      <c r="I1374" s="37" t="s">
        <v>3027</v>
      </c>
      <c r="J1374" s="17"/>
      <c r="K1374" s="17"/>
      <c r="L1374" s="37" t="s">
        <v>58</v>
      </c>
      <c r="M1374" s="37" t="s">
        <v>74</v>
      </c>
      <c r="N1374" s="17" t="s">
        <v>28</v>
      </c>
      <c r="O1374" s="1"/>
      <c r="P1374" s="67" t="s">
        <v>3061</v>
      </c>
      <c r="Q1374" s="67" t="s">
        <v>3062</v>
      </c>
      <c r="R1374" s="1"/>
      <c r="S1374" s="1"/>
    </row>
    <row r="1375">
      <c r="A1375" s="1"/>
      <c r="B1375" s="3">
        <f t="shared" si="3"/>
        <v>1371</v>
      </c>
      <c r="C1375" s="31" t="s">
        <v>3063</v>
      </c>
      <c r="D1375" s="37" t="s">
        <v>159</v>
      </c>
      <c r="E1375" s="37" t="s">
        <v>3064</v>
      </c>
      <c r="F1375" s="43" t="s">
        <v>3065</v>
      </c>
      <c r="G1375" s="37"/>
      <c r="H1375" s="46">
        <v>46225.0</v>
      </c>
      <c r="I1375" s="37" t="s">
        <v>3027</v>
      </c>
      <c r="J1375" s="17"/>
      <c r="K1375" s="17" t="s">
        <v>3066</v>
      </c>
      <c r="L1375" s="37" t="s">
        <v>58</v>
      </c>
      <c r="M1375" s="37"/>
      <c r="N1375" s="17"/>
      <c r="O1375" s="1"/>
      <c r="P1375" s="15"/>
      <c r="Q1375" s="15"/>
      <c r="R1375" s="1"/>
      <c r="S1375" s="1"/>
    </row>
    <row r="1376">
      <c r="A1376" s="1"/>
      <c r="B1376" s="3">
        <f t="shared" si="3"/>
        <v>1372</v>
      </c>
      <c r="C1376" s="31" t="s">
        <v>3067</v>
      </c>
      <c r="D1376" s="37" t="s">
        <v>112</v>
      </c>
      <c r="E1376" s="37" t="s">
        <v>1535</v>
      </c>
      <c r="F1376" s="43" t="s">
        <v>3068</v>
      </c>
      <c r="G1376" s="37"/>
      <c r="H1376" s="46">
        <v>46225.0</v>
      </c>
      <c r="I1376" s="37" t="s">
        <v>3027</v>
      </c>
      <c r="J1376" s="17"/>
      <c r="K1376" s="17" t="s">
        <v>2860</v>
      </c>
      <c r="L1376" s="37" t="s">
        <v>58</v>
      </c>
      <c r="M1376" s="37"/>
      <c r="N1376" s="17"/>
      <c r="O1376" s="1"/>
      <c r="P1376" s="15"/>
      <c r="Q1376" s="15"/>
      <c r="R1376" s="1"/>
      <c r="S1376" s="1"/>
    </row>
    <row r="1377">
      <c r="A1377" s="1"/>
      <c r="B1377" s="3">
        <f t="shared" si="3"/>
        <v>1373</v>
      </c>
      <c r="C1377" s="31" t="s">
        <v>3069</v>
      </c>
      <c r="D1377" s="37" t="s">
        <v>159</v>
      </c>
      <c r="E1377" s="37" t="s">
        <v>1589</v>
      </c>
      <c r="F1377" s="43" t="s">
        <v>3070</v>
      </c>
      <c r="G1377" s="37"/>
      <c r="H1377" s="46">
        <v>46225.0</v>
      </c>
      <c r="I1377" s="37" t="s">
        <v>3027</v>
      </c>
      <c r="J1377" s="17"/>
      <c r="K1377" s="17" t="s">
        <v>648</v>
      </c>
      <c r="L1377" s="37" t="s">
        <v>58</v>
      </c>
      <c r="M1377" s="37"/>
      <c r="N1377" s="17"/>
      <c r="O1377" s="1"/>
      <c r="P1377" s="15"/>
      <c r="Q1377" s="15"/>
      <c r="R1377" s="1"/>
      <c r="S1377" s="1"/>
    </row>
    <row r="1378">
      <c r="A1378" s="1"/>
      <c r="B1378" s="3">
        <f t="shared" si="3"/>
        <v>1374</v>
      </c>
      <c r="C1378" s="31" t="s">
        <v>3071</v>
      </c>
      <c r="D1378" s="37" t="s">
        <v>44</v>
      </c>
      <c r="E1378" s="37" t="s">
        <v>1285</v>
      </c>
      <c r="F1378" s="43" t="s">
        <v>3072</v>
      </c>
      <c r="G1378" s="37"/>
      <c r="H1378" s="46">
        <v>46225.0</v>
      </c>
      <c r="I1378" s="37" t="s">
        <v>3027</v>
      </c>
      <c r="J1378" s="17"/>
      <c r="K1378" s="17" t="s">
        <v>2231</v>
      </c>
      <c r="L1378" s="37" t="s">
        <v>58</v>
      </c>
      <c r="M1378" s="37" t="s">
        <v>70</v>
      </c>
      <c r="N1378" s="17" t="s">
        <v>28</v>
      </c>
      <c r="O1378" s="1"/>
      <c r="P1378" s="15"/>
      <c r="Q1378" s="15"/>
      <c r="R1378" s="1"/>
      <c r="S1378" s="1"/>
    </row>
    <row r="1379">
      <c r="A1379" s="1"/>
      <c r="B1379" s="3">
        <f t="shared" si="3"/>
        <v>1375</v>
      </c>
      <c r="C1379" s="31" t="s">
        <v>3073</v>
      </c>
      <c r="D1379" s="37" t="s">
        <v>49</v>
      </c>
      <c r="E1379" s="37" t="s">
        <v>1285</v>
      </c>
      <c r="F1379" s="43" t="s">
        <v>3074</v>
      </c>
      <c r="G1379" s="37"/>
      <c r="H1379" s="46">
        <v>46225.0</v>
      </c>
      <c r="I1379" s="37" t="s">
        <v>3027</v>
      </c>
      <c r="J1379" s="17"/>
      <c r="K1379" s="17" t="s">
        <v>518</v>
      </c>
      <c r="L1379" s="37" t="s">
        <v>189</v>
      </c>
      <c r="M1379" s="37" t="s">
        <v>54</v>
      </c>
      <c r="N1379" s="17" t="s">
        <v>39</v>
      </c>
      <c r="O1379" s="1"/>
      <c r="P1379" s="67" t="s">
        <v>3075</v>
      </c>
      <c r="Q1379" s="15"/>
      <c r="R1379" s="1"/>
      <c r="S1379" s="1"/>
    </row>
    <row r="1380">
      <c r="A1380" s="1"/>
      <c r="B1380" s="3">
        <f t="shared" si="3"/>
        <v>1376</v>
      </c>
      <c r="C1380" s="31" t="s">
        <v>3076</v>
      </c>
      <c r="D1380" s="37" t="s">
        <v>116</v>
      </c>
      <c r="E1380" s="37" t="s">
        <v>1583</v>
      </c>
      <c r="F1380" s="37"/>
      <c r="G1380" s="37"/>
      <c r="H1380" s="46">
        <v>46225.0</v>
      </c>
      <c r="I1380" s="37" t="s">
        <v>1289</v>
      </c>
      <c r="J1380" s="17"/>
      <c r="K1380" s="17" t="s">
        <v>2231</v>
      </c>
      <c r="L1380" s="37" t="s">
        <v>189</v>
      </c>
      <c r="M1380" s="37"/>
      <c r="N1380" s="17"/>
      <c r="O1380" s="1"/>
      <c r="P1380" s="67" t="s">
        <v>3077</v>
      </c>
      <c r="Q1380" s="67" t="s">
        <v>3078</v>
      </c>
      <c r="R1380" s="1"/>
      <c r="S1380" s="1"/>
    </row>
    <row r="1381">
      <c r="A1381" s="1"/>
      <c r="B1381" s="3">
        <f t="shared" si="3"/>
        <v>1377</v>
      </c>
      <c r="C1381" s="31" t="s">
        <v>3079</v>
      </c>
      <c r="D1381" s="37" t="s">
        <v>49</v>
      </c>
      <c r="E1381" s="37" t="s">
        <v>1285</v>
      </c>
      <c r="F1381" s="43" t="s">
        <v>3080</v>
      </c>
      <c r="G1381" s="37"/>
      <c r="H1381" s="46">
        <v>46225.0</v>
      </c>
      <c r="I1381" s="37" t="s">
        <v>1289</v>
      </c>
      <c r="J1381" s="17" t="s">
        <v>3081</v>
      </c>
      <c r="K1381" s="17" t="s">
        <v>2231</v>
      </c>
      <c r="L1381" s="37" t="s">
        <v>189</v>
      </c>
      <c r="M1381" s="37" t="s">
        <v>54</v>
      </c>
      <c r="N1381" s="17" t="s">
        <v>39</v>
      </c>
      <c r="O1381" s="1"/>
      <c r="P1381" s="67" t="s">
        <v>3082</v>
      </c>
      <c r="Q1381" s="15"/>
      <c r="R1381" s="1"/>
      <c r="S1381" s="1"/>
    </row>
    <row r="1382">
      <c r="A1382" s="1"/>
      <c r="B1382" s="3">
        <f t="shared" si="3"/>
        <v>1378</v>
      </c>
      <c r="C1382" s="31" t="s">
        <v>3083</v>
      </c>
      <c r="D1382" s="37" t="s">
        <v>38</v>
      </c>
      <c r="E1382" s="37" t="s">
        <v>1312</v>
      </c>
      <c r="F1382" s="43" t="s">
        <v>3084</v>
      </c>
      <c r="G1382" s="37"/>
      <c r="H1382" s="46">
        <v>46225.0</v>
      </c>
      <c r="I1382" s="37" t="s">
        <v>1289</v>
      </c>
      <c r="J1382" s="17"/>
      <c r="K1382" s="17" t="s">
        <v>571</v>
      </c>
      <c r="L1382" s="37" t="s">
        <v>189</v>
      </c>
      <c r="M1382" s="37"/>
      <c r="N1382" s="17"/>
      <c r="O1382" s="1"/>
      <c r="P1382" s="15"/>
      <c r="Q1382" s="15"/>
      <c r="R1382" s="1"/>
      <c r="S1382" s="1"/>
    </row>
    <row r="1383">
      <c r="A1383" s="1"/>
      <c r="B1383" s="3">
        <f t="shared" si="3"/>
        <v>1379</v>
      </c>
      <c r="C1383" s="31" t="s">
        <v>3085</v>
      </c>
      <c r="D1383" s="37" t="s">
        <v>44</v>
      </c>
      <c r="E1383" s="37" t="s">
        <v>3086</v>
      </c>
      <c r="F1383" s="43" t="s">
        <v>3087</v>
      </c>
      <c r="G1383" s="37"/>
      <c r="H1383" s="46">
        <v>46225.0</v>
      </c>
      <c r="I1383" s="37" t="s">
        <v>1289</v>
      </c>
      <c r="J1383" s="17" t="s">
        <v>884</v>
      </c>
      <c r="K1383" s="17" t="s">
        <v>3088</v>
      </c>
      <c r="L1383" s="37" t="s">
        <v>58</v>
      </c>
      <c r="M1383" s="37" t="s">
        <v>54</v>
      </c>
      <c r="N1383" s="17" t="s">
        <v>28</v>
      </c>
      <c r="O1383" s="1"/>
      <c r="P1383" s="15"/>
      <c r="Q1383" s="15"/>
      <c r="R1383" s="1"/>
      <c r="S1383" s="1"/>
    </row>
    <row r="1384">
      <c r="A1384" s="1"/>
      <c r="B1384" s="3">
        <f t="shared" si="3"/>
        <v>1380</v>
      </c>
      <c r="C1384" s="31" t="s">
        <v>3089</v>
      </c>
      <c r="D1384" s="37" t="s">
        <v>49</v>
      </c>
      <c r="E1384" s="37" t="s">
        <v>3090</v>
      </c>
      <c r="F1384" s="43" t="s">
        <v>3091</v>
      </c>
      <c r="G1384" s="37"/>
      <c r="H1384" s="46">
        <v>46225.0</v>
      </c>
      <c r="I1384" s="37" t="s">
        <v>3027</v>
      </c>
      <c r="J1384" s="17" t="s">
        <v>867</v>
      </c>
      <c r="K1384" s="17" t="s">
        <v>571</v>
      </c>
      <c r="L1384" s="37" t="s">
        <v>58</v>
      </c>
      <c r="M1384" s="37"/>
      <c r="N1384" s="17"/>
      <c r="O1384" s="1"/>
      <c r="P1384" s="15"/>
      <c r="Q1384" s="15"/>
      <c r="R1384" s="1"/>
      <c r="S1384" s="1"/>
    </row>
    <row r="1385">
      <c r="A1385" s="1"/>
      <c r="B1385" s="3">
        <f t="shared" si="3"/>
        <v>1381</v>
      </c>
      <c r="C1385" s="31" t="s">
        <v>3092</v>
      </c>
      <c r="D1385" s="37" t="s">
        <v>44</v>
      </c>
      <c r="E1385" s="37" t="s">
        <v>1398</v>
      </c>
      <c r="F1385" s="43" t="s">
        <v>3093</v>
      </c>
      <c r="G1385" s="37"/>
      <c r="H1385" s="46">
        <v>46225.0</v>
      </c>
      <c r="I1385" s="37" t="s">
        <v>3027</v>
      </c>
      <c r="J1385" s="17"/>
      <c r="K1385" s="17" t="s">
        <v>3094</v>
      </c>
      <c r="L1385" s="37" t="s">
        <v>58</v>
      </c>
      <c r="M1385" s="37" t="s">
        <v>65</v>
      </c>
      <c r="N1385" s="17" t="s">
        <v>28</v>
      </c>
      <c r="O1385" s="37" t="s">
        <v>3095</v>
      </c>
      <c r="P1385" s="15"/>
      <c r="Q1385" s="15"/>
      <c r="R1385" s="1"/>
      <c r="S1385" s="1"/>
    </row>
    <row r="1386">
      <c r="A1386" s="1"/>
      <c r="B1386" s="3">
        <f t="shared" si="3"/>
        <v>1382</v>
      </c>
      <c r="C1386" s="31" t="s">
        <v>3096</v>
      </c>
      <c r="D1386" s="37" t="s">
        <v>83</v>
      </c>
      <c r="E1386" s="37" t="s">
        <v>3097</v>
      </c>
      <c r="F1386" s="43" t="s">
        <v>3098</v>
      </c>
      <c r="G1386" s="37"/>
      <c r="H1386" s="46">
        <v>46225.0</v>
      </c>
      <c r="I1386" s="37" t="s">
        <v>3027</v>
      </c>
      <c r="J1386" s="17"/>
      <c r="K1386" s="17" t="s">
        <v>2231</v>
      </c>
      <c r="L1386" s="37" t="s">
        <v>189</v>
      </c>
      <c r="M1386" s="37"/>
      <c r="N1386" s="17"/>
      <c r="O1386" s="1"/>
      <c r="P1386" s="15"/>
      <c r="Q1386" s="15"/>
      <c r="R1386" s="1"/>
      <c r="S1386" s="1"/>
    </row>
    <row r="1387">
      <c r="A1387" s="1"/>
      <c r="B1387" s="3">
        <f t="shared" si="3"/>
        <v>1383</v>
      </c>
      <c r="C1387" s="31" t="s">
        <v>3099</v>
      </c>
      <c r="D1387" s="37" t="s">
        <v>96</v>
      </c>
      <c r="E1387" s="37" t="s">
        <v>1312</v>
      </c>
      <c r="F1387" s="43" t="s">
        <v>3100</v>
      </c>
      <c r="G1387" s="37"/>
      <c r="H1387" s="46">
        <v>46225.0</v>
      </c>
      <c r="I1387" s="37" t="s">
        <v>3027</v>
      </c>
      <c r="J1387" s="17"/>
      <c r="K1387" s="17" t="s">
        <v>648</v>
      </c>
      <c r="L1387" s="37" t="s">
        <v>58</v>
      </c>
      <c r="M1387" s="37"/>
      <c r="N1387" s="17"/>
      <c r="O1387" s="37" t="s">
        <v>3101</v>
      </c>
      <c r="P1387" s="15"/>
      <c r="Q1387" s="15"/>
      <c r="R1387" s="1"/>
      <c r="S1387" s="1"/>
    </row>
    <row r="1388">
      <c r="A1388" s="1"/>
      <c r="B1388" s="3">
        <f t="shared" si="3"/>
        <v>1384</v>
      </c>
      <c r="C1388" s="31" t="s">
        <v>3102</v>
      </c>
      <c r="D1388" s="37" t="s">
        <v>96</v>
      </c>
      <c r="E1388" s="37" t="s">
        <v>1576</v>
      </c>
      <c r="F1388" s="43" t="s">
        <v>3103</v>
      </c>
      <c r="G1388" s="37"/>
      <c r="H1388" s="46">
        <v>46225.0</v>
      </c>
      <c r="I1388" s="37" t="s">
        <v>3027</v>
      </c>
      <c r="J1388" s="17"/>
      <c r="K1388" s="17" t="s">
        <v>1544</v>
      </c>
      <c r="L1388" s="37" t="s">
        <v>58</v>
      </c>
      <c r="M1388" s="37"/>
      <c r="N1388" s="17"/>
      <c r="O1388" s="37" t="s">
        <v>3101</v>
      </c>
      <c r="P1388" s="15"/>
      <c r="Q1388" s="15"/>
      <c r="R1388" s="1"/>
      <c r="S1388" s="1"/>
    </row>
    <row r="1389">
      <c r="A1389" s="1"/>
      <c r="B1389" s="3">
        <f t="shared" si="3"/>
        <v>1385</v>
      </c>
      <c r="C1389" s="31" t="s">
        <v>3104</v>
      </c>
      <c r="D1389" s="37" t="s">
        <v>96</v>
      </c>
      <c r="E1389" s="37" t="s">
        <v>1576</v>
      </c>
      <c r="F1389" s="43" t="s">
        <v>3105</v>
      </c>
      <c r="G1389" s="37"/>
      <c r="H1389" s="46">
        <v>46225.0</v>
      </c>
      <c r="I1389" s="37" t="s">
        <v>1289</v>
      </c>
      <c r="J1389" s="17" t="s">
        <v>571</v>
      </c>
      <c r="K1389" s="17" t="s">
        <v>3106</v>
      </c>
      <c r="L1389" s="37" t="s">
        <v>58</v>
      </c>
      <c r="M1389" s="37"/>
      <c r="N1389" s="17"/>
      <c r="O1389" s="37" t="s">
        <v>3101</v>
      </c>
      <c r="P1389" s="15"/>
      <c r="Q1389" s="15"/>
      <c r="R1389" s="1"/>
      <c r="S1389" s="1"/>
    </row>
    <row r="1390">
      <c r="A1390" s="1"/>
      <c r="B1390" s="3">
        <f t="shared" si="3"/>
        <v>1386</v>
      </c>
      <c r="C1390" s="31" t="s">
        <v>3107</v>
      </c>
      <c r="D1390" s="37" t="s">
        <v>96</v>
      </c>
      <c r="E1390" s="37" t="s">
        <v>1589</v>
      </c>
      <c r="F1390" s="43" t="s">
        <v>3108</v>
      </c>
      <c r="G1390" s="37"/>
      <c r="H1390" s="46">
        <v>46225.0</v>
      </c>
      <c r="I1390" s="37" t="s">
        <v>1289</v>
      </c>
      <c r="J1390" s="17" t="s">
        <v>715</v>
      </c>
      <c r="K1390" s="17" t="s">
        <v>605</v>
      </c>
      <c r="L1390" s="37" t="s">
        <v>58</v>
      </c>
      <c r="M1390" s="37"/>
      <c r="N1390" s="17"/>
      <c r="O1390" s="37" t="s">
        <v>3101</v>
      </c>
      <c r="P1390" s="15"/>
      <c r="Q1390" s="15"/>
      <c r="R1390" s="1"/>
      <c r="S1390" s="1"/>
    </row>
    <row r="1391">
      <c r="A1391" s="1"/>
      <c r="B1391" s="3">
        <f t="shared" si="3"/>
        <v>1387</v>
      </c>
      <c r="C1391" s="31" t="s">
        <v>3109</v>
      </c>
      <c r="D1391" s="37" t="s">
        <v>96</v>
      </c>
      <c r="E1391" s="37" t="s">
        <v>1535</v>
      </c>
      <c r="F1391" s="127" t="s">
        <v>3110</v>
      </c>
      <c r="G1391" s="37"/>
      <c r="H1391" s="46">
        <v>46225.0</v>
      </c>
      <c r="I1391" s="37" t="s">
        <v>1289</v>
      </c>
      <c r="J1391" s="17"/>
      <c r="K1391" s="17"/>
      <c r="L1391" s="37" t="s">
        <v>58</v>
      </c>
      <c r="M1391" s="37"/>
      <c r="N1391" s="17"/>
      <c r="O1391" s="37" t="s">
        <v>3101</v>
      </c>
      <c r="P1391" s="15"/>
      <c r="Q1391" s="67" t="s">
        <v>3111</v>
      </c>
      <c r="R1391" s="1"/>
      <c r="S1391" s="1"/>
    </row>
    <row r="1392">
      <c r="A1392" s="1"/>
      <c r="B1392" s="3">
        <f t="shared" si="3"/>
        <v>1388</v>
      </c>
      <c r="C1392" s="31" t="s">
        <v>3112</v>
      </c>
      <c r="D1392" s="37" t="s">
        <v>56</v>
      </c>
      <c r="E1392" s="37" t="s">
        <v>3113</v>
      </c>
      <c r="F1392" s="43" t="s">
        <v>3114</v>
      </c>
      <c r="G1392" s="37"/>
      <c r="H1392" s="46">
        <v>46225.0</v>
      </c>
      <c r="I1392" s="37" t="s">
        <v>1289</v>
      </c>
      <c r="J1392" s="17" t="s">
        <v>2748</v>
      </c>
      <c r="K1392" s="17" t="s">
        <v>2231</v>
      </c>
      <c r="L1392" s="37" t="s">
        <v>58</v>
      </c>
      <c r="M1392" s="37" t="s">
        <v>73</v>
      </c>
      <c r="N1392" s="17" t="s">
        <v>28</v>
      </c>
      <c r="O1392" s="37"/>
      <c r="P1392" s="67" t="s">
        <v>3115</v>
      </c>
      <c r="Q1392" s="15"/>
      <c r="R1392" s="1"/>
      <c r="S1392" s="1"/>
    </row>
    <row r="1393">
      <c r="A1393" s="1"/>
      <c r="B1393" s="3">
        <f t="shared" si="3"/>
        <v>1389</v>
      </c>
      <c r="C1393" s="31" t="s">
        <v>3116</v>
      </c>
      <c r="D1393" s="37" t="s">
        <v>112</v>
      </c>
      <c r="E1393" s="37" t="s">
        <v>1285</v>
      </c>
      <c r="F1393" s="43" t="s">
        <v>3117</v>
      </c>
      <c r="G1393" s="37"/>
      <c r="H1393" s="46">
        <v>46225.0</v>
      </c>
      <c r="I1393" s="37" t="s">
        <v>1289</v>
      </c>
      <c r="J1393" s="17"/>
      <c r="K1393" s="17" t="s">
        <v>1292</v>
      </c>
      <c r="L1393" s="37" t="s">
        <v>58</v>
      </c>
      <c r="M1393" s="37"/>
      <c r="N1393" s="17"/>
      <c r="O1393" s="1"/>
      <c r="P1393" s="15"/>
      <c r="Q1393" s="67" t="s">
        <v>3118</v>
      </c>
      <c r="R1393" s="1"/>
      <c r="S1393" s="1"/>
    </row>
    <row r="1394">
      <c r="A1394" s="1"/>
      <c r="B1394" s="3">
        <f t="shared" si="3"/>
        <v>1390</v>
      </c>
      <c r="C1394" s="31" t="s">
        <v>3119</v>
      </c>
      <c r="D1394" s="37" t="s">
        <v>49</v>
      </c>
      <c r="E1394" s="37" t="s">
        <v>3120</v>
      </c>
      <c r="F1394" s="1"/>
      <c r="G1394" s="37"/>
      <c r="H1394" s="46">
        <v>46225.0</v>
      </c>
      <c r="I1394" s="37" t="s">
        <v>1289</v>
      </c>
      <c r="J1394" s="17"/>
      <c r="K1394" s="17" t="s">
        <v>1544</v>
      </c>
      <c r="L1394" s="37" t="s">
        <v>58</v>
      </c>
      <c r="M1394" s="37"/>
      <c r="N1394" s="17"/>
      <c r="O1394" s="1"/>
      <c r="P1394" s="15"/>
      <c r="Q1394" s="67" t="s">
        <v>3121</v>
      </c>
      <c r="R1394" s="1"/>
      <c r="S1394" s="1"/>
    </row>
    <row r="1395">
      <c r="A1395" s="1"/>
      <c r="B1395" s="3">
        <f t="shared" si="3"/>
        <v>1391</v>
      </c>
      <c r="C1395" s="31" t="s">
        <v>3122</v>
      </c>
      <c r="D1395" s="37" t="s">
        <v>56</v>
      </c>
      <c r="E1395" s="37" t="s">
        <v>3123</v>
      </c>
      <c r="F1395" s="1"/>
      <c r="G1395" s="37"/>
      <c r="H1395" s="46">
        <v>46225.0</v>
      </c>
      <c r="I1395" s="37" t="s">
        <v>1289</v>
      </c>
      <c r="J1395" s="17" t="s">
        <v>529</v>
      </c>
      <c r="K1395" s="17" t="s">
        <v>3124</v>
      </c>
      <c r="L1395" s="37" t="s">
        <v>58</v>
      </c>
      <c r="M1395" s="37"/>
      <c r="N1395" s="17"/>
      <c r="O1395" s="1"/>
      <c r="P1395" s="67" t="s">
        <v>3125</v>
      </c>
      <c r="Q1395" s="67" t="s">
        <v>3126</v>
      </c>
      <c r="R1395" s="1"/>
      <c r="S1395" s="1"/>
    </row>
    <row r="1396">
      <c r="A1396" s="1"/>
      <c r="B1396" s="3">
        <f t="shared" si="3"/>
        <v>1392</v>
      </c>
      <c r="C1396" s="31" t="s">
        <v>3127</v>
      </c>
      <c r="D1396" s="37" t="s">
        <v>49</v>
      </c>
      <c r="E1396" s="37" t="s">
        <v>3128</v>
      </c>
      <c r="F1396" s="43" t="s">
        <v>3129</v>
      </c>
      <c r="G1396" s="37"/>
      <c r="H1396" s="46">
        <v>46225.0</v>
      </c>
      <c r="I1396" s="37" t="s">
        <v>1289</v>
      </c>
      <c r="J1396" s="17"/>
      <c r="K1396" s="17"/>
      <c r="L1396" s="37"/>
      <c r="M1396" s="37"/>
      <c r="N1396" s="17"/>
      <c r="O1396" s="1"/>
      <c r="P1396" s="15"/>
      <c r="Q1396" s="15"/>
      <c r="R1396" s="1"/>
      <c r="S1396" s="1"/>
    </row>
    <row r="1397">
      <c r="A1397" s="1"/>
      <c r="B1397" s="3">
        <f t="shared" si="3"/>
        <v>1393</v>
      </c>
      <c r="C1397" s="150" t="s">
        <v>3130</v>
      </c>
      <c r="D1397" s="37" t="s">
        <v>44</v>
      </c>
      <c r="E1397" s="37" t="s">
        <v>1535</v>
      </c>
      <c r="F1397" s="43" t="s">
        <v>3131</v>
      </c>
      <c r="G1397" s="37"/>
      <c r="H1397" s="46">
        <v>46225.0</v>
      </c>
      <c r="I1397" s="37" t="s">
        <v>1289</v>
      </c>
      <c r="J1397" s="17"/>
      <c r="K1397" s="17" t="s">
        <v>518</v>
      </c>
      <c r="L1397" s="37" t="s">
        <v>58</v>
      </c>
      <c r="M1397" s="37"/>
      <c r="N1397" s="17"/>
      <c r="O1397" s="1"/>
      <c r="P1397" s="15"/>
      <c r="Q1397" s="67" t="s">
        <v>3132</v>
      </c>
      <c r="R1397" s="1"/>
      <c r="S1397" s="1"/>
    </row>
    <row r="1398">
      <c r="A1398" s="1"/>
      <c r="B1398" s="3">
        <f t="shared" si="3"/>
        <v>1394</v>
      </c>
      <c r="C1398" s="31" t="s">
        <v>3133</v>
      </c>
      <c r="D1398" s="37" t="s">
        <v>83</v>
      </c>
      <c r="E1398" s="37" t="s">
        <v>1600</v>
      </c>
      <c r="F1398" s="43" t="s">
        <v>3134</v>
      </c>
      <c r="G1398" s="37"/>
      <c r="H1398" s="46">
        <v>46225.0</v>
      </c>
      <c r="I1398" s="37" t="s">
        <v>1289</v>
      </c>
      <c r="J1398" s="17" t="s">
        <v>518</v>
      </c>
      <c r="K1398" s="17" t="s">
        <v>2329</v>
      </c>
      <c r="L1398" s="37" t="s">
        <v>58</v>
      </c>
      <c r="M1398" s="37"/>
      <c r="N1398" s="17"/>
      <c r="O1398" s="1"/>
      <c r="P1398" s="15"/>
      <c r="Q1398" s="67" t="s">
        <v>3135</v>
      </c>
      <c r="R1398" s="1"/>
      <c r="S1398" s="1"/>
    </row>
    <row r="1399">
      <c r="A1399" s="1"/>
      <c r="B1399" s="3">
        <f t="shared" si="3"/>
        <v>1395</v>
      </c>
      <c r="C1399" s="31" t="s">
        <v>2318</v>
      </c>
      <c r="D1399" s="37" t="s">
        <v>83</v>
      </c>
      <c r="E1399" s="37" t="s">
        <v>1896</v>
      </c>
      <c r="F1399" s="43" t="s">
        <v>3136</v>
      </c>
      <c r="G1399" s="37"/>
      <c r="H1399" s="46">
        <v>46225.0</v>
      </c>
      <c r="I1399" s="37" t="s">
        <v>1289</v>
      </c>
      <c r="J1399" s="17" t="s">
        <v>605</v>
      </c>
      <c r="K1399" s="17" t="s">
        <v>3137</v>
      </c>
      <c r="L1399" s="37" t="s">
        <v>58</v>
      </c>
      <c r="M1399" s="37"/>
      <c r="N1399" s="17"/>
      <c r="O1399" s="1"/>
      <c r="P1399" s="15"/>
      <c r="Q1399" s="15"/>
      <c r="R1399" s="1"/>
      <c r="S1399" s="1"/>
    </row>
    <row r="1400">
      <c r="A1400" s="1"/>
      <c r="B1400" s="3">
        <f t="shared" si="3"/>
        <v>1396</v>
      </c>
      <c r="C1400" s="31" t="s">
        <v>3138</v>
      </c>
      <c r="D1400" s="37" t="s">
        <v>3139</v>
      </c>
      <c r="E1400" s="37" t="s">
        <v>3140</v>
      </c>
      <c r="F1400" s="43" t="s">
        <v>3141</v>
      </c>
      <c r="G1400" s="37"/>
      <c r="H1400" s="46">
        <v>46225.0</v>
      </c>
      <c r="I1400" s="37" t="s">
        <v>1289</v>
      </c>
      <c r="J1400" s="17" t="s">
        <v>571</v>
      </c>
      <c r="K1400" s="17" t="s">
        <v>3142</v>
      </c>
      <c r="L1400" s="37" t="s">
        <v>58</v>
      </c>
      <c r="M1400" s="37"/>
      <c r="N1400" s="17"/>
      <c r="O1400" s="1"/>
      <c r="P1400" s="15"/>
      <c r="Q1400" s="15"/>
      <c r="R1400" s="1"/>
      <c r="S1400" s="1"/>
    </row>
    <row r="1401">
      <c r="A1401" s="1"/>
      <c r="B1401" s="3">
        <f t="shared" si="3"/>
        <v>1397</v>
      </c>
      <c r="C1401" s="31" t="s">
        <v>3143</v>
      </c>
      <c r="D1401" s="37" t="s">
        <v>47</v>
      </c>
      <c r="E1401" s="37" t="s">
        <v>3144</v>
      </c>
      <c r="F1401" s="43" t="s">
        <v>3145</v>
      </c>
      <c r="G1401" s="37"/>
      <c r="H1401" s="46">
        <v>46225.0</v>
      </c>
      <c r="I1401" s="37" t="s">
        <v>1289</v>
      </c>
      <c r="J1401" s="17" t="s">
        <v>533</v>
      </c>
      <c r="K1401" s="17" t="s">
        <v>3146</v>
      </c>
      <c r="L1401" s="37" t="s">
        <v>58</v>
      </c>
      <c r="M1401" s="37"/>
      <c r="N1401" s="17"/>
      <c r="O1401" s="1"/>
      <c r="P1401" s="15"/>
      <c r="Q1401" s="67" t="s">
        <v>3147</v>
      </c>
      <c r="R1401" s="1"/>
      <c r="S1401" s="1"/>
    </row>
    <row r="1402">
      <c r="A1402" s="1"/>
      <c r="B1402" s="3">
        <f t="shared" si="3"/>
        <v>1398</v>
      </c>
      <c r="C1402" s="31" t="s">
        <v>3148</v>
      </c>
      <c r="D1402" s="37" t="s">
        <v>116</v>
      </c>
      <c r="E1402" s="37" t="s">
        <v>1589</v>
      </c>
      <c r="F1402" s="43" t="s">
        <v>3149</v>
      </c>
      <c r="G1402" s="37"/>
      <c r="H1402" s="46">
        <v>46225.0</v>
      </c>
      <c r="I1402" s="37" t="s">
        <v>1289</v>
      </c>
      <c r="J1402" s="17"/>
      <c r="K1402" s="17" t="s">
        <v>2231</v>
      </c>
      <c r="L1402" s="37" t="s">
        <v>58</v>
      </c>
      <c r="M1402" s="37"/>
      <c r="N1402" s="17"/>
      <c r="O1402" s="1"/>
      <c r="P1402" s="15"/>
      <c r="Q1402" s="15"/>
      <c r="R1402" s="1"/>
      <c r="S1402" s="1"/>
    </row>
    <row r="1403">
      <c r="A1403" s="1"/>
      <c r="B1403" s="3">
        <f t="shared" si="3"/>
        <v>1399</v>
      </c>
      <c r="C1403" s="31" t="s">
        <v>3150</v>
      </c>
      <c r="D1403" s="37" t="s">
        <v>112</v>
      </c>
      <c r="E1403" s="37" t="s">
        <v>1535</v>
      </c>
      <c r="F1403" s="43" t="s">
        <v>3151</v>
      </c>
      <c r="G1403" s="37"/>
      <c r="H1403" s="46">
        <v>46225.0</v>
      </c>
      <c r="I1403" s="37" t="s">
        <v>1289</v>
      </c>
      <c r="J1403" s="17" t="s">
        <v>533</v>
      </c>
      <c r="K1403" s="17" t="s">
        <v>571</v>
      </c>
      <c r="L1403" s="37" t="s">
        <v>58</v>
      </c>
      <c r="M1403" s="37"/>
      <c r="N1403" s="17"/>
      <c r="O1403" s="1"/>
      <c r="P1403" s="15"/>
      <c r="Q1403" s="15"/>
      <c r="R1403" s="1"/>
      <c r="S1403" s="1"/>
    </row>
    <row r="1404">
      <c r="A1404" s="1"/>
      <c r="B1404" s="3">
        <f t="shared" si="3"/>
        <v>1400</v>
      </c>
      <c r="C1404" s="31" t="s">
        <v>3152</v>
      </c>
      <c r="D1404" s="37" t="s">
        <v>116</v>
      </c>
      <c r="E1404" s="37" t="s">
        <v>3153</v>
      </c>
      <c r="F1404" s="43" t="s">
        <v>3154</v>
      </c>
      <c r="G1404" s="37"/>
      <c r="H1404" s="46">
        <v>46225.0</v>
      </c>
      <c r="I1404" s="37" t="s">
        <v>1289</v>
      </c>
      <c r="J1404" s="17" t="s">
        <v>3155</v>
      </c>
      <c r="K1404" s="17" t="s">
        <v>3156</v>
      </c>
      <c r="L1404" s="37" t="s">
        <v>58</v>
      </c>
      <c r="M1404" s="37" t="s">
        <v>59</v>
      </c>
      <c r="N1404" s="17"/>
      <c r="O1404" s="1"/>
      <c r="P1404" s="15"/>
      <c r="Q1404" s="15"/>
      <c r="R1404" s="1"/>
      <c r="S1404" s="1"/>
    </row>
    <row r="1405">
      <c r="A1405" s="1"/>
      <c r="B1405" s="3">
        <f t="shared" si="3"/>
        <v>1401</v>
      </c>
      <c r="C1405" s="31" t="s">
        <v>3157</v>
      </c>
      <c r="D1405" s="37" t="s">
        <v>3158</v>
      </c>
      <c r="E1405" s="37" t="s">
        <v>3159</v>
      </c>
      <c r="F1405" s="43" t="s">
        <v>3160</v>
      </c>
      <c r="G1405" s="37"/>
      <c r="H1405" s="46">
        <v>46225.0</v>
      </c>
      <c r="I1405" s="37" t="s">
        <v>1289</v>
      </c>
      <c r="J1405" s="17" t="s">
        <v>558</v>
      </c>
      <c r="K1405" s="17" t="s">
        <v>557</v>
      </c>
      <c r="L1405" s="37" t="s">
        <v>58</v>
      </c>
      <c r="M1405" s="37"/>
      <c r="N1405" s="17"/>
      <c r="O1405" s="1"/>
      <c r="P1405" s="15"/>
      <c r="Q1405" s="15"/>
      <c r="R1405" s="1"/>
      <c r="S1405" s="1"/>
    </row>
    <row r="1406">
      <c r="A1406" s="1"/>
      <c r="B1406" s="3">
        <f t="shared" si="3"/>
        <v>1402</v>
      </c>
      <c r="C1406" s="31" t="s">
        <v>3161</v>
      </c>
      <c r="D1406" s="37" t="s">
        <v>44</v>
      </c>
      <c r="E1406" s="37" t="s">
        <v>3162</v>
      </c>
      <c r="F1406" s="43" t="s">
        <v>3163</v>
      </c>
      <c r="G1406" s="37"/>
      <c r="H1406" s="46">
        <v>46225.0</v>
      </c>
      <c r="I1406" s="37" t="s">
        <v>1289</v>
      </c>
      <c r="J1406" s="17"/>
      <c r="K1406" s="17" t="s">
        <v>1058</v>
      </c>
      <c r="L1406" s="37" t="s">
        <v>58</v>
      </c>
      <c r="M1406" s="37"/>
      <c r="N1406" s="17"/>
      <c r="O1406" s="1"/>
      <c r="P1406" s="15"/>
      <c r="Q1406" s="15"/>
      <c r="R1406" s="1"/>
      <c r="S1406" s="1"/>
    </row>
    <row r="1407">
      <c r="A1407" s="1"/>
      <c r="B1407" s="3">
        <f t="shared" si="3"/>
        <v>1403</v>
      </c>
      <c r="C1407" s="31" t="s">
        <v>3164</v>
      </c>
      <c r="D1407" s="37"/>
      <c r="E1407" s="37" t="s">
        <v>2678</v>
      </c>
      <c r="F1407" s="43" t="s">
        <v>3165</v>
      </c>
      <c r="G1407" s="37"/>
      <c r="H1407" s="46">
        <v>46225.0</v>
      </c>
      <c r="I1407" s="37" t="s">
        <v>1289</v>
      </c>
      <c r="J1407" s="17" t="s">
        <v>3166</v>
      </c>
      <c r="K1407" s="17" t="s">
        <v>557</v>
      </c>
      <c r="L1407" s="37" t="s">
        <v>189</v>
      </c>
      <c r="M1407" s="37"/>
      <c r="N1407" s="17"/>
      <c r="O1407" s="1"/>
      <c r="P1407" s="15"/>
      <c r="Q1407" s="15"/>
      <c r="R1407" s="1"/>
      <c r="S1407" s="1"/>
    </row>
    <row r="1408">
      <c r="A1408" s="1"/>
      <c r="B1408" s="3">
        <f t="shared" si="3"/>
        <v>1404</v>
      </c>
      <c r="C1408" s="31" t="s">
        <v>3167</v>
      </c>
      <c r="D1408" s="37" t="s">
        <v>49</v>
      </c>
      <c r="E1408" s="37" t="s">
        <v>3168</v>
      </c>
      <c r="F1408" s="43" t="s">
        <v>3169</v>
      </c>
      <c r="G1408" s="37"/>
      <c r="H1408" s="46">
        <v>46225.0</v>
      </c>
      <c r="I1408" s="37" t="s">
        <v>1289</v>
      </c>
      <c r="J1408" s="17" t="s">
        <v>769</v>
      </c>
      <c r="K1408" s="17" t="s">
        <v>769</v>
      </c>
      <c r="L1408" s="37" t="s">
        <v>58</v>
      </c>
      <c r="M1408" s="37" t="s">
        <v>54</v>
      </c>
      <c r="N1408" s="17" t="s">
        <v>28</v>
      </c>
      <c r="O1408" s="1"/>
      <c r="P1408" s="67" t="s">
        <v>3170</v>
      </c>
      <c r="Q1408" s="67" t="s">
        <v>3171</v>
      </c>
      <c r="R1408" s="1"/>
      <c r="S1408" s="1"/>
    </row>
    <row r="1409">
      <c r="A1409" s="1"/>
      <c r="B1409" s="3">
        <f t="shared" si="3"/>
        <v>1405</v>
      </c>
      <c r="C1409" s="31" t="s">
        <v>3172</v>
      </c>
      <c r="D1409" s="37" t="s">
        <v>112</v>
      </c>
      <c r="E1409" s="37" t="s">
        <v>3173</v>
      </c>
      <c r="F1409" s="43" t="s">
        <v>3174</v>
      </c>
      <c r="G1409" s="37"/>
      <c r="H1409" s="46">
        <v>46225.0</v>
      </c>
      <c r="I1409" s="37" t="s">
        <v>1289</v>
      </c>
      <c r="J1409" s="17" t="s">
        <v>2748</v>
      </c>
      <c r="K1409" s="17" t="s">
        <v>3175</v>
      </c>
      <c r="L1409" s="37" t="s">
        <v>189</v>
      </c>
      <c r="M1409" s="37"/>
      <c r="N1409" s="17"/>
      <c r="O1409" s="1"/>
      <c r="P1409" s="15"/>
      <c r="Q1409" s="15"/>
      <c r="R1409" s="1"/>
      <c r="S1409" s="1"/>
    </row>
    <row r="1410">
      <c r="A1410" s="1"/>
      <c r="B1410" s="3">
        <f t="shared" si="3"/>
        <v>1406</v>
      </c>
      <c r="C1410" s="31" t="s">
        <v>3176</v>
      </c>
      <c r="D1410" s="37" t="s">
        <v>159</v>
      </c>
      <c r="E1410" s="37" t="s">
        <v>1285</v>
      </c>
      <c r="F1410" s="43" t="s">
        <v>3177</v>
      </c>
      <c r="G1410" s="37"/>
      <c r="H1410" s="46">
        <v>46225.0</v>
      </c>
      <c r="I1410" s="37" t="s">
        <v>1289</v>
      </c>
      <c r="J1410" s="17" t="s">
        <v>706</v>
      </c>
      <c r="K1410" s="17" t="s">
        <v>3178</v>
      </c>
      <c r="L1410" s="37" t="s">
        <v>58</v>
      </c>
      <c r="M1410" s="37"/>
      <c r="N1410" s="17"/>
      <c r="O1410" s="1"/>
      <c r="P1410" s="15"/>
      <c r="Q1410" s="15"/>
      <c r="R1410" s="1"/>
      <c r="S1410" s="1"/>
    </row>
    <row r="1411">
      <c r="A1411" s="1"/>
      <c r="B1411" s="3">
        <f t="shared" si="3"/>
        <v>1407</v>
      </c>
      <c r="C1411" s="31" t="s">
        <v>3179</v>
      </c>
      <c r="D1411" s="37" t="s">
        <v>38</v>
      </c>
      <c r="E1411" s="37" t="s">
        <v>1285</v>
      </c>
      <c r="F1411" s="43" t="s">
        <v>3180</v>
      </c>
      <c r="G1411" s="37"/>
      <c r="H1411" s="46">
        <v>46225.0</v>
      </c>
      <c r="I1411" s="37" t="s">
        <v>1289</v>
      </c>
      <c r="J1411" s="17"/>
      <c r="K1411" s="17" t="s">
        <v>517</v>
      </c>
      <c r="L1411" s="37" t="s">
        <v>189</v>
      </c>
      <c r="M1411" s="37" t="s">
        <v>73</v>
      </c>
      <c r="N1411" s="17" t="s">
        <v>28</v>
      </c>
      <c r="O1411" s="1"/>
      <c r="P1411" s="67" t="s">
        <v>3181</v>
      </c>
      <c r="Q1411" s="15"/>
      <c r="R1411" s="1"/>
      <c r="S1411" s="1"/>
    </row>
    <row r="1412">
      <c r="A1412" s="1"/>
      <c r="B1412" s="3">
        <f t="shared" si="3"/>
        <v>1408</v>
      </c>
      <c r="C1412" s="31" t="s">
        <v>3182</v>
      </c>
      <c r="D1412" s="37" t="s">
        <v>3183</v>
      </c>
      <c r="E1412" s="37" t="s">
        <v>1576</v>
      </c>
      <c r="F1412" s="43" t="s">
        <v>3184</v>
      </c>
      <c r="G1412" s="37"/>
      <c r="H1412" s="46">
        <v>46225.0</v>
      </c>
      <c r="I1412" s="37" t="s">
        <v>3027</v>
      </c>
      <c r="J1412" s="17"/>
      <c r="K1412" s="17" t="s">
        <v>533</v>
      </c>
      <c r="L1412" s="37" t="s">
        <v>58</v>
      </c>
      <c r="M1412" s="37"/>
      <c r="N1412" s="17"/>
      <c r="O1412" s="1"/>
      <c r="P1412" s="15"/>
      <c r="Q1412" s="15"/>
      <c r="R1412" s="1"/>
      <c r="S1412" s="1"/>
    </row>
    <row r="1413">
      <c r="A1413" s="1"/>
      <c r="B1413" s="3">
        <f t="shared" si="3"/>
        <v>1409</v>
      </c>
      <c r="C1413" s="31" t="s">
        <v>3185</v>
      </c>
      <c r="D1413" s="37" t="s">
        <v>38</v>
      </c>
      <c r="E1413" s="37" t="s">
        <v>1285</v>
      </c>
      <c r="F1413" s="43" t="s">
        <v>3186</v>
      </c>
      <c r="G1413" s="37" t="s">
        <v>187</v>
      </c>
      <c r="H1413" s="46">
        <v>46232.0</v>
      </c>
      <c r="I1413" s="37" t="s">
        <v>1206</v>
      </c>
      <c r="J1413" s="17"/>
      <c r="K1413" s="17" t="s">
        <v>2231</v>
      </c>
      <c r="L1413" s="37" t="s">
        <v>58</v>
      </c>
      <c r="M1413" s="37" t="s">
        <v>70</v>
      </c>
      <c r="N1413" s="17" t="s">
        <v>28</v>
      </c>
      <c r="O1413" s="1"/>
      <c r="P1413" s="15"/>
      <c r="Q1413" s="67" t="s">
        <v>3187</v>
      </c>
      <c r="R1413" s="1"/>
      <c r="S1413" s="1"/>
    </row>
    <row r="1414">
      <c r="A1414" s="1"/>
      <c r="B1414" s="3">
        <f t="shared" si="3"/>
        <v>1410</v>
      </c>
      <c r="C1414" s="31" t="s">
        <v>1931</v>
      </c>
      <c r="D1414" s="37" t="s">
        <v>44</v>
      </c>
      <c r="E1414" s="37" t="s">
        <v>3188</v>
      </c>
      <c r="F1414" s="43" t="s">
        <v>3189</v>
      </c>
      <c r="G1414" s="37"/>
      <c r="H1414" s="46">
        <v>46232.0</v>
      </c>
      <c r="I1414" s="37" t="s">
        <v>3027</v>
      </c>
      <c r="J1414" s="17"/>
      <c r="K1414" s="17" t="s">
        <v>518</v>
      </c>
      <c r="L1414" s="37" t="s">
        <v>58</v>
      </c>
      <c r="M1414" s="37"/>
      <c r="N1414" s="17"/>
      <c r="O1414" s="1"/>
      <c r="P1414" s="67" t="s">
        <v>3190</v>
      </c>
      <c r="Q1414" s="15"/>
      <c r="R1414" s="1"/>
      <c r="S1414" s="1"/>
    </row>
    <row r="1415">
      <c r="A1415" s="1"/>
      <c r="B1415" s="3">
        <f t="shared" si="3"/>
        <v>1411</v>
      </c>
      <c r="C1415" s="31" t="s">
        <v>3191</v>
      </c>
      <c r="D1415" s="37" t="s">
        <v>159</v>
      </c>
      <c r="E1415" s="37" t="s">
        <v>2878</v>
      </c>
      <c r="F1415" s="43" t="s">
        <v>3192</v>
      </c>
      <c r="G1415" s="37"/>
      <c r="H1415" s="46">
        <v>46232.0</v>
      </c>
      <c r="I1415" s="37" t="s">
        <v>3027</v>
      </c>
      <c r="J1415" s="17" t="s">
        <v>785</v>
      </c>
      <c r="K1415" s="17" t="s">
        <v>3193</v>
      </c>
      <c r="L1415" s="37" t="s">
        <v>58</v>
      </c>
      <c r="M1415" s="37"/>
      <c r="N1415" s="17"/>
      <c r="O1415" s="1"/>
      <c r="P1415" s="15"/>
      <c r="Q1415" s="67" t="s">
        <v>3194</v>
      </c>
      <c r="R1415" s="1"/>
      <c r="S1415" s="1"/>
    </row>
    <row r="1416">
      <c r="A1416" s="1"/>
      <c r="B1416" s="3">
        <f t="shared" si="3"/>
        <v>1412</v>
      </c>
      <c r="C1416" s="31" t="s">
        <v>3195</v>
      </c>
      <c r="D1416" s="37" t="s">
        <v>49</v>
      </c>
      <c r="E1416" s="37" t="s">
        <v>3196</v>
      </c>
      <c r="F1416" s="43" t="s">
        <v>3197</v>
      </c>
      <c r="G1416" s="37"/>
      <c r="H1416" s="46">
        <v>46232.0</v>
      </c>
      <c r="I1416" s="37" t="s">
        <v>3027</v>
      </c>
      <c r="J1416" s="17"/>
      <c r="K1416" s="17" t="s">
        <v>1298</v>
      </c>
      <c r="L1416" s="37" t="s">
        <v>58</v>
      </c>
      <c r="M1416" s="37"/>
      <c r="N1416" s="17"/>
      <c r="O1416" s="1"/>
      <c r="P1416" s="15"/>
      <c r="Q1416" s="67" t="s">
        <v>3198</v>
      </c>
      <c r="R1416" s="1"/>
      <c r="S1416" s="1"/>
    </row>
    <row r="1417">
      <c r="A1417" s="1"/>
      <c r="B1417" s="3">
        <f t="shared" si="3"/>
        <v>1413</v>
      </c>
      <c r="C1417" s="31" t="s">
        <v>3199</v>
      </c>
      <c r="D1417" s="37" t="s">
        <v>96</v>
      </c>
      <c r="E1417" s="37" t="s">
        <v>1285</v>
      </c>
      <c r="F1417" s="43" t="s">
        <v>3199</v>
      </c>
      <c r="G1417" s="37"/>
      <c r="H1417" s="46">
        <v>46232.0</v>
      </c>
      <c r="I1417" s="37" t="s">
        <v>3027</v>
      </c>
      <c r="J1417" s="17"/>
      <c r="K1417" s="17" t="s">
        <v>557</v>
      </c>
      <c r="L1417" s="37" t="s">
        <v>58</v>
      </c>
      <c r="M1417" s="37"/>
      <c r="N1417" s="17"/>
      <c r="O1417" s="1"/>
      <c r="P1417" s="67" t="s">
        <v>3200</v>
      </c>
      <c r="Q1417" s="67" t="s">
        <v>3201</v>
      </c>
      <c r="R1417" s="1"/>
      <c r="S1417" s="1"/>
    </row>
    <row r="1418">
      <c r="A1418" s="1"/>
      <c r="B1418" s="3">
        <f t="shared" si="3"/>
        <v>1414</v>
      </c>
      <c r="C1418" s="31" t="s">
        <v>3202</v>
      </c>
      <c r="D1418" s="37" t="s">
        <v>44</v>
      </c>
      <c r="E1418" s="37" t="s">
        <v>2465</v>
      </c>
      <c r="F1418" s="43" t="s">
        <v>3203</v>
      </c>
      <c r="G1418" s="37"/>
      <c r="H1418" s="46">
        <v>46232.0</v>
      </c>
      <c r="I1418" s="37" t="s">
        <v>3027</v>
      </c>
      <c r="J1418" s="17" t="s">
        <v>3204</v>
      </c>
      <c r="K1418" s="17" t="s">
        <v>2231</v>
      </c>
      <c r="L1418" s="37" t="s">
        <v>58</v>
      </c>
      <c r="M1418" s="37" t="s">
        <v>57</v>
      </c>
      <c r="N1418" s="17"/>
      <c r="O1418" s="1"/>
      <c r="P1418" s="67" t="s">
        <v>3205</v>
      </c>
      <c r="Q1418" s="15"/>
      <c r="R1418" s="1"/>
      <c r="S1418" s="1"/>
    </row>
    <row r="1419">
      <c r="A1419" s="130"/>
      <c r="B1419" s="131">
        <f t="shared" si="3"/>
        <v>1415</v>
      </c>
      <c r="C1419" s="132" t="s">
        <v>3206</v>
      </c>
      <c r="D1419" s="133" t="s">
        <v>116</v>
      </c>
      <c r="E1419" s="133" t="s">
        <v>3207</v>
      </c>
      <c r="F1419" s="134" t="s">
        <v>3208</v>
      </c>
      <c r="G1419" s="133"/>
      <c r="H1419" s="135">
        <v>46232.0</v>
      </c>
      <c r="I1419" s="133" t="s">
        <v>3027</v>
      </c>
      <c r="J1419" s="136"/>
      <c r="K1419" s="136" t="s">
        <v>3209</v>
      </c>
      <c r="L1419" s="133" t="s">
        <v>58</v>
      </c>
      <c r="M1419" s="133"/>
      <c r="N1419" s="136"/>
      <c r="O1419" s="130"/>
      <c r="P1419" s="137"/>
      <c r="Q1419" s="138"/>
      <c r="R1419" s="130"/>
      <c r="S1419" s="130"/>
    </row>
    <row r="1420">
      <c r="A1420" s="1"/>
      <c r="B1420" s="3">
        <f t="shared" si="3"/>
        <v>1416</v>
      </c>
      <c r="C1420" s="31" t="s">
        <v>3210</v>
      </c>
      <c r="D1420" s="37" t="s">
        <v>56</v>
      </c>
      <c r="E1420" s="37" t="s">
        <v>2465</v>
      </c>
      <c r="F1420" s="43" t="s">
        <v>3211</v>
      </c>
      <c r="G1420" s="37"/>
      <c r="H1420" s="46">
        <v>46232.0</v>
      </c>
      <c r="I1420" s="37" t="s">
        <v>3027</v>
      </c>
      <c r="J1420" s="17" t="s">
        <v>644</v>
      </c>
      <c r="K1420" s="17" t="s">
        <v>571</v>
      </c>
      <c r="L1420" s="37" t="s">
        <v>189</v>
      </c>
      <c r="M1420" s="37"/>
      <c r="N1420" s="17"/>
      <c r="O1420" s="1"/>
      <c r="P1420" s="67" t="s">
        <v>3212</v>
      </c>
      <c r="Q1420" s="15"/>
      <c r="R1420" s="1"/>
      <c r="S1420" s="1"/>
    </row>
    <row r="1421">
      <c r="A1421" s="1"/>
      <c r="B1421" s="3">
        <f t="shared" si="3"/>
        <v>1417</v>
      </c>
      <c r="C1421" s="31" t="s">
        <v>3213</v>
      </c>
      <c r="D1421" s="37" t="s">
        <v>83</v>
      </c>
      <c r="E1421" s="37" t="s">
        <v>2465</v>
      </c>
      <c r="F1421" s="43" t="s">
        <v>3214</v>
      </c>
      <c r="G1421" s="37"/>
      <c r="H1421" s="46">
        <v>46232.0</v>
      </c>
      <c r="I1421" s="37" t="s">
        <v>3027</v>
      </c>
      <c r="J1421" s="17" t="s">
        <v>605</v>
      </c>
      <c r="K1421" s="17" t="s">
        <v>571</v>
      </c>
      <c r="L1421" s="37" t="s">
        <v>58</v>
      </c>
      <c r="M1421" s="37" t="s">
        <v>78</v>
      </c>
      <c r="N1421" s="17"/>
      <c r="O1421" s="1"/>
      <c r="P1421" s="67" t="s">
        <v>3215</v>
      </c>
      <c r="Q1421" s="67" t="s">
        <v>3216</v>
      </c>
      <c r="R1421" s="1"/>
      <c r="S1421" s="1"/>
    </row>
    <row r="1422">
      <c r="A1422" s="1"/>
      <c r="B1422" s="3">
        <f t="shared" si="3"/>
        <v>1418</v>
      </c>
      <c r="C1422" s="31" t="s">
        <v>3217</v>
      </c>
      <c r="D1422" s="37" t="s">
        <v>112</v>
      </c>
      <c r="E1422" s="37" t="s">
        <v>1398</v>
      </c>
      <c r="F1422" s="43" t="s">
        <v>3218</v>
      </c>
      <c r="G1422" s="37"/>
      <c r="H1422" s="46">
        <v>46232.0</v>
      </c>
      <c r="I1422" s="37" t="s">
        <v>3027</v>
      </c>
      <c r="J1422" s="17"/>
      <c r="K1422" s="17" t="s">
        <v>2231</v>
      </c>
      <c r="L1422" s="37" t="s">
        <v>58</v>
      </c>
      <c r="M1422" s="37"/>
      <c r="N1422" s="17"/>
      <c r="O1422" s="1"/>
      <c r="P1422" s="15"/>
      <c r="Q1422" s="15"/>
      <c r="R1422" s="1"/>
      <c r="S1422" s="1"/>
    </row>
    <row r="1423">
      <c r="A1423" s="1"/>
      <c r="B1423" s="3">
        <f t="shared" si="3"/>
        <v>1419</v>
      </c>
      <c r="C1423" s="31" t="s">
        <v>3219</v>
      </c>
      <c r="D1423" s="37" t="s">
        <v>116</v>
      </c>
      <c r="E1423" s="37" t="s">
        <v>1589</v>
      </c>
      <c r="F1423" s="43" t="s">
        <v>3220</v>
      </c>
      <c r="G1423" s="37"/>
      <c r="H1423" s="46">
        <v>46232.0</v>
      </c>
      <c r="I1423" s="37" t="s">
        <v>3027</v>
      </c>
      <c r="J1423" s="17"/>
      <c r="K1423" s="17" t="s">
        <v>2231</v>
      </c>
      <c r="L1423" s="37" t="s">
        <v>58</v>
      </c>
      <c r="M1423" s="37" t="s">
        <v>57</v>
      </c>
      <c r="N1423" s="17"/>
      <c r="O1423" s="1"/>
      <c r="P1423" s="15"/>
      <c r="Q1423" s="15"/>
      <c r="R1423" s="1"/>
      <c r="S1423" s="1"/>
    </row>
    <row r="1424">
      <c r="A1424" s="1"/>
      <c r="B1424" s="3">
        <f t="shared" si="3"/>
        <v>1420</v>
      </c>
      <c r="C1424" s="31" t="s">
        <v>3221</v>
      </c>
      <c r="D1424" s="37" t="s">
        <v>218</v>
      </c>
      <c r="E1424" s="37" t="s">
        <v>1922</v>
      </c>
      <c r="F1424" s="43" t="s">
        <v>3222</v>
      </c>
      <c r="G1424" s="37"/>
      <c r="H1424" s="46">
        <v>46232.0</v>
      </c>
      <c r="I1424" s="37" t="s">
        <v>3027</v>
      </c>
      <c r="J1424" s="17"/>
      <c r="K1424" s="17" t="s">
        <v>648</v>
      </c>
      <c r="L1424" s="37" t="s">
        <v>58</v>
      </c>
      <c r="M1424" s="37"/>
      <c r="N1424" s="17"/>
      <c r="O1424" s="1"/>
      <c r="P1424" s="15"/>
      <c r="Q1424" s="15"/>
      <c r="R1424" s="1"/>
      <c r="S1424" s="1"/>
    </row>
    <row r="1425">
      <c r="A1425" s="1"/>
      <c r="B1425" s="3">
        <f t="shared" si="3"/>
        <v>1421</v>
      </c>
      <c r="C1425" s="31" t="s">
        <v>3223</v>
      </c>
      <c r="D1425" s="37" t="s">
        <v>301</v>
      </c>
      <c r="E1425" s="37" t="s">
        <v>3224</v>
      </c>
      <c r="F1425" s="43" t="s">
        <v>3225</v>
      </c>
      <c r="G1425" s="37"/>
      <c r="H1425" s="46">
        <v>46232.0</v>
      </c>
      <c r="I1425" s="37" t="s">
        <v>1206</v>
      </c>
      <c r="J1425" s="17"/>
      <c r="K1425" s="17"/>
      <c r="L1425" s="37" t="s">
        <v>58</v>
      </c>
      <c r="M1425" s="37"/>
      <c r="N1425" s="17"/>
      <c r="O1425" s="1"/>
      <c r="P1425" s="67" t="s">
        <v>3226</v>
      </c>
      <c r="Q1425" s="15"/>
      <c r="R1425" s="1"/>
      <c r="S1425" s="1"/>
    </row>
    <row r="1426">
      <c r="A1426" s="1"/>
      <c r="B1426" s="3">
        <f t="shared" si="3"/>
        <v>1422</v>
      </c>
      <c r="C1426" s="31" t="s">
        <v>3227</v>
      </c>
      <c r="D1426" s="37" t="s">
        <v>96</v>
      </c>
      <c r="E1426" s="37" t="s">
        <v>1589</v>
      </c>
      <c r="F1426" s="43" t="s">
        <v>3228</v>
      </c>
      <c r="G1426" s="37"/>
      <c r="H1426" s="46">
        <v>46232.0</v>
      </c>
      <c r="I1426" s="37" t="s">
        <v>3027</v>
      </c>
      <c r="J1426" s="17" t="s">
        <v>3229</v>
      </c>
      <c r="K1426" s="17"/>
      <c r="L1426" s="37" t="s">
        <v>58</v>
      </c>
      <c r="M1426" s="37"/>
      <c r="N1426" s="17"/>
      <c r="O1426" s="37" t="s">
        <v>3230</v>
      </c>
      <c r="P1426" s="67" t="s">
        <v>3231</v>
      </c>
      <c r="Q1426" s="15"/>
      <c r="R1426" s="1"/>
      <c r="S1426" s="1"/>
    </row>
    <row r="1427">
      <c r="A1427" s="1"/>
      <c r="B1427" s="3">
        <f t="shared" si="3"/>
        <v>1423</v>
      </c>
      <c r="C1427" s="31" t="s">
        <v>3232</v>
      </c>
      <c r="D1427" s="37" t="s">
        <v>47</v>
      </c>
      <c r="E1427" s="37" t="s">
        <v>1731</v>
      </c>
      <c r="F1427" s="43" t="s">
        <v>3233</v>
      </c>
      <c r="G1427" s="37"/>
      <c r="H1427" s="46">
        <v>46232.0</v>
      </c>
      <c r="I1427" s="37" t="s">
        <v>1206</v>
      </c>
      <c r="J1427" s="17"/>
      <c r="K1427" s="17" t="s">
        <v>2972</v>
      </c>
      <c r="L1427" s="37" t="s">
        <v>58</v>
      </c>
      <c r="M1427" s="37" t="s">
        <v>57</v>
      </c>
      <c r="N1427" s="17" t="s">
        <v>28</v>
      </c>
      <c r="O1427" s="1"/>
      <c r="P1427" s="67" t="s">
        <v>3234</v>
      </c>
      <c r="Q1427" s="15"/>
      <c r="R1427" s="1"/>
      <c r="S1427" s="1"/>
    </row>
    <row r="1428">
      <c r="A1428" s="1"/>
      <c r="B1428" s="3">
        <f t="shared" si="3"/>
        <v>1424</v>
      </c>
      <c r="C1428" s="31" t="s">
        <v>3235</v>
      </c>
      <c r="D1428" s="37" t="s">
        <v>83</v>
      </c>
      <c r="E1428" s="37" t="s">
        <v>3236</v>
      </c>
      <c r="F1428" s="43" t="s">
        <v>3237</v>
      </c>
      <c r="G1428" s="37"/>
      <c r="H1428" s="46">
        <v>46232.0</v>
      </c>
      <c r="I1428" s="37" t="s">
        <v>1206</v>
      </c>
      <c r="J1428" s="17"/>
      <c r="K1428" s="17"/>
      <c r="L1428" s="37" t="s">
        <v>58</v>
      </c>
      <c r="M1428" s="37"/>
      <c r="N1428" s="17"/>
      <c r="O1428" s="1"/>
      <c r="P1428" s="15"/>
      <c r="Q1428" s="15"/>
      <c r="R1428" s="1"/>
      <c r="S1428" s="1"/>
    </row>
    <row r="1429">
      <c r="A1429" s="1"/>
      <c r="B1429" s="3">
        <f t="shared" si="3"/>
        <v>1425</v>
      </c>
      <c r="C1429" s="150" t="s">
        <v>3238</v>
      </c>
      <c r="D1429" s="37" t="s">
        <v>44</v>
      </c>
      <c r="E1429" s="37" t="s">
        <v>3239</v>
      </c>
      <c r="F1429" s="43" t="s">
        <v>3240</v>
      </c>
      <c r="G1429" s="37"/>
      <c r="H1429" s="46">
        <v>46232.0</v>
      </c>
      <c r="I1429" s="37" t="s">
        <v>1206</v>
      </c>
      <c r="J1429" s="17"/>
      <c r="K1429" s="17"/>
      <c r="L1429" s="37" t="s">
        <v>58</v>
      </c>
      <c r="M1429" s="37"/>
      <c r="N1429" s="17"/>
      <c r="O1429" s="1"/>
      <c r="P1429" s="15"/>
      <c r="Q1429" s="15"/>
      <c r="R1429" s="1"/>
      <c r="S1429" s="1"/>
    </row>
    <row r="1430">
      <c r="A1430" s="1"/>
      <c r="B1430" s="3">
        <f t="shared" si="3"/>
        <v>1426</v>
      </c>
      <c r="C1430" s="31" t="s">
        <v>3241</v>
      </c>
      <c r="D1430" s="37" t="s">
        <v>112</v>
      </c>
      <c r="E1430" s="37" t="s">
        <v>1312</v>
      </c>
      <c r="F1430" s="43" t="s">
        <v>3242</v>
      </c>
      <c r="G1430" s="37"/>
      <c r="H1430" s="46">
        <v>46232.0</v>
      </c>
      <c r="I1430" s="37" t="s">
        <v>1206</v>
      </c>
      <c r="J1430" s="17"/>
      <c r="K1430" s="17" t="s">
        <v>571</v>
      </c>
      <c r="L1430" s="37" t="s">
        <v>189</v>
      </c>
      <c r="M1430" s="37"/>
      <c r="N1430" s="17"/>
      <c r="O1430" s="1"/>
      <c r="P1430" s="67" t="s">
        <v>3243</v>
      </c>
      <c r="Q1430" s="67" t="s">
        <v>3244</v>
      </c>
      <c r="R1430" s="1"/>
      <c r="S1430" s="1"/>
    </row>
    <row r="1431">
      <c r="A1431" s="1"/>
      <c r="B1431" s="3">
        <f t="shared" si="3"/>
        <v>1427</v>
      </c>
      <c r="C1431" s="31" t="s">
        <v>3245</v>
      </c>
      <c r="D1431" s="37" t="s">
        <v>44</v>
      </c>
      <c r="E1431" s="37" t="s">
        <v>1533</v>
      </c>
      <c r="F1431" s="43" t="s">
        <v>3246</v>
      </c>
      <c r="G1431" s="37"/>
      <c r="H1431" s="46">
        <v>46232.0</v>
      </c>
      <c r="I1431" s="37" t="s">
        <v>1206</v>
      </c>
      <c r="J1431" s="17"/>
      <c r="K1431" s="17"/>
      <c r="L1431" s="37" t="s">
        <v>189</v>
      </c>
      <c r="M1431" s="37" t="s">
        <v>57</v>
      </c>
      <c r="N1431" s="17" t="s">
        <v>28</v>
      </c>
      <c r="O1431" s="1"/>
      <c r="P1431" s="67" t="s">
        <v>3247</v>
      </c>
      <c r="Q1431" s="15"/>
      <c r="R1431" s="1"/>
      <c r="S1431" s="1"/>
    </row>
    <row r="1432">
      <c r="A1432" s="1"/>
      <c r="B1432" s="3">
        <f t="shared" si="3"/>
        <v>1428</v>
      </c>
      <c r="C1432" s="31" t="s">
        <v>3248</v>
      </c>
      <c r="D1432" s="37" t="s">
        <v>38</v>
      </c>
      <c r="E1432" s="37" t="s">
        <v>1535</v>
      </c>
      <c r="F1432" s="43" t="s">
        <v>3249</v>
      </c>
      <c r="G1432" s="37"/>
      <c r="H1432" s="46">
        <v>46232.0</v>
      </c>
      <c r="I1432" s="37" t="s">
        <v>3027</v>
      </c>
      <c r="J1432" s="17"/>
      <c r="K1432" s="17" t="s">
        <v>3250</v>
      </c>
      <c r="L1432" s="37" t="s">
        <v>58</v>
      </c>
      <c r="M1432" s="37" t="s">
        <v>54</v>
      </c>
      <c r="N1432" s="17" t="s">
        <v>28</v>
      </c>
      <c r="O1432" s="1"/>
      <c r="P1432" s="67" t="s">
        <v>3251</v>
      </c>
      <c r="Q1432" s="15"/>
      <c r="R1432" s="1"/>
      <c r="S1432" s="1"/>
    </row>
    <row r="1433">
      <c r="A1433" s="1"/>
      <c r="B1433" s="3">
        <f t="shared" si="3"/>
        <v>1429</v>
      </c>
      <c r="C1433" s="139" t="s">
        <v>3252</v>
      </c>
      <c r="D1433" s="37" t="s">
        <v>38</v>
      </c>
      <c r="E1433" s="37" t="s">
        <v>3253</v>
      </c>
      <c r="F1433" s="43" t="s">
        <v>3254</v>
      </c>
      <c r="G1433" s="37"/>
      <c r="H1433" s="46">
        <v>46232.0</v>
      </c>
      <c r="I1433" s="37" t="s">
        <v>3027</v>
      </c>
      <c r="J1433" s="17"/>
      <c r="K1433" s="17" t="s">
        <v>2231</v>
      </c>
      <c r="L1433" s="37" t="s">
        <v>58</v>
      </c>
      <c r="M1433" s="37" t="s">
        <v>57</v>
      </c>
      <c r="N1433" s="17" t="s">
        <v>28</v>
      </c>
      <c r="O1433" s="1"/>
      <c r="P1433" s="67" t="s">
        <v>3255</v>
      </c>
      <c r="Q1433" s="67" t="s">
        <v>3256</v>
      </c>
      <c r="R1433" s="1"/>
      <c r="S1433" s="1"/>
    </row>
    <row r="1434">
      <c r="A1434" s="1"/>
      <c r="B1434" s="3">
        <f t="shared" si="3"/>
        <v>1430</v>
      </c>
      <c r="C1434" s="31" t="s">
        <v>3257</v>
      </c>
      <c r="D1434" s="37" t="s">
        <v>83</v>
      </c>
      <c r="E1434" s="37" t="s">
        <v>3123</v>
      </c>
      <c r="F1434" s="43" t="s">
        <v>3258</v>
      </c>
      <c r="G1434" s="37"/>
      <c r="H1434" s="46">
        <v>46232.0</v>
      </c>
      <c r="I1434" s="37" t="s">
        <v>3027</v>
      </c>
      <c r="J1434" s="17" t="s">
        <v>3259</v>
      </c>
      <c r="K1434" s="17"/>
      <c r="L1434" s="37" t="s">
        <v>189</v>
      </c>
      <c r="M1434" s="37" t="s">
        <v>60</v>
      </c>
      <c r="N1434" s="17" t="s">
        <v>28</v>
      </c>
      <c r="O1434" s="1"/>
      <c r="P1434" s="67" t="s">
        <v>3247</v>
      </c>
      <c r="Q1434" s="15"/>
      <c r="R1434" s="1"/>
      <c r="S1434" s="1"/>
    </row>
    <row r="1435">
      <c r="A1435" s="1"/>
      <c r="B1435" s="3">
        <f t="shared" si="3"/>
        <v>1431</v>
      </c>
      <c r="C1435" s="31" t="s">
        <v>3260</v>
      </c>
      <c r="D1435" s="37" t="s">
        <v>49</v>
      </c>
      <c r="E1435" s="37" t="s">
        <v>3261</v>
      </c>
      <c r="F1435" s="43" t="s">
        <v>3262</v>
      </c>
      <c r="G1435" s="37"/>
      <c r="H1435" s="46">
        <v>46232.0</v>
      </c>
      <c r="I1435" s="37" t="s">
        <v>3027</v>
      </c>
      <c r="J1435" s="17"/>
      <c r="K1435" s="17" t="s">
        <v>2641</v>
      </c>
      <c r="L1435" s="37" t="s">
        <v>58</v>
      </c>
      <c r="M1435" s="37"/>
      <c r="N1435" s="17"/>
      <c r="O1435" s="1"/>
      <c r="P1435" s="67" t="s">
        <v>3263</v>
      </c>
      <c r="Q1435" s="15"/>
      <c r="R1435" s="1"/>
      <c r="S1435" s="1"/>
    </row>
    <row r="1436">
      <c r="A1436" s="1"/>
      <c r="B1436" s="3">
        <f t="shared" si="3"/>
        <v>1432</v>
      </c>
      <c r="C1436" s="31" t="s">
        <v>3264</v>
      </c>
      <c r="D1436" s="37" t="s">
        <v>44</v>
      </c>
      <c r="E1436" s="37" t="s">
        <v>1312</v>
      </c>
      <c r="F1436" s="1"/>
      <c r="G1436" s="37"/>
      <c r="H1436" s="46">
        <v>46232.0</v>
      </c>
      <c r="I1436" s="37" t="s">
        <v>3027</v>
      </c>
      <c r="J1436" s="17"/>
      <c r="K1436" s="17"/>
      <c r="L1436" s="37" t="s">
        <v>189</v>
      </c>
      <c r="M1436" s="37"/>
      <c r="N1436" s="17"/>
      <c r="O1436" s="1"/>
      <c r="P1436" s="67" t="s">
        <v>3265</v>
      </c>
      <c r="Q1436" s="15"/>
      <c r="R1436" s="1"/>
      <c r="S1436" s="1"/>
    </row>
    <row r="1437">
      <c r="A1437" s="1"/>
      <c r="B1437" s="3">
        <f t="shared" si="3"/>
        <v>1433</v>
      </c>
      <c r="C1437" s="31" t="s">
        <v>3266</v>
      </c>
      <c r="D1437" s="37" t="s">
        <v>96</v>
      </c>
      <c r="E1437" s="37" t="s">
        <v>2465</v>
      </c>
      <c r="F1437" s="43" t="s">
        <v>3267</v>
      </c>
      <c r="G1437" s="37"/>
      <c r="H1437" s="46">
        <v>46232.0</v>
      </c>
      <c r="I1437" s="37" t="s">
        <v>3027</v>
      </c>
      <c r="J1437" s="17"/>
      <c r="K1437" s="17" t="s">
        <v>3268</v>
      </c>
      <c r="L1437" s="37" t="s">
        <v>58</v>
      </c>
      <c r="M1437" s="37" t="s">
        <v>57</v>
      </c>
      <c r="N1437" s="17" t="s">
        <v>28</v>
      </c>
      <c r="O1437" s="37" t="s">
        <v>3269</v>
      </c>
      <c r="P1437" s="67" t="s">
        <v>3270</v>
      </c>
      <c r="Q1437" s="15"/>
      <c r="R1437" s="1"/>
      <c r="S1437" s="1"/>
    </row>
    <row r="1438">
      <c r="A1438" s="1"/>
      <c r="B1438" s="3">
        <f t="shared" si="3"/>
        <v>1434</v>
      </c>
      <c r="C1438" s="31" t="s">
        <v>3271</v>
      </c>
      <c r="D1438" s="37" t="s">
        <v>96</v>
      </c>
      <c r="E1438" s="37" t="s">
        <v>3272</v>
      </c>
      <c r="F1438" s="43" t="s">
        <v>3273</v>
      </c>
      <c r="G1438" s="37"/>
      <c r="H1438" s="46">
        <v>46232.0</v>
      </c>
      <c r="I1438" s="37" t="s">
        <v>3027</v>
      </c>
      <c r="J1438" s="17"/>
      <c r="K1438" s="17"/>
      <c r="L1438" s="37" t="s">
        <v>58</v>
      </c>
      <c r="M1438" s="37" t="s">
        <v>57</v>
      </c>
      <c r="N1438" s="17" t="s">
        <v>28</v>
      </c>
      <c r="O1438" s="37" t="s">
        <v>3269</v>
      </c>
      <c r="P1438" s="67" t="s">
        <v>3274</v>
      </c>
      <c r="Q1438" s="15"/>
      <c r="R1438" s="1"/>
      <c r="S1438" s="1"/>
    </row>
    <row r="1439">
      <c r="A1439" s="1"/>
      <c r="B1439" s="3">
        <f t="shared" si="3"/>
        <v>1435</v>
      </c>
      <c r="C1439" s="31" t="s">
        <v>3275</v>
      </c>
      <c r="D1439" s="37" t="s">
        <v>96</v>
      </c>
      <c r="E1439" s="37" t="s">
        <v>1343</v>
      </c>
      <c r="F1439" s="43" t="s">
        <v>3276</v>
      </c>
      <c r="G1439" s="37"/>
      <c r="H1439" s="46">
        <v>46232.0</v>
      </c>
      <c r="I1439" s="37" t="s">
        <v>3027</v>
      </c>
      <c r="J1439" s="17"/>
      <c r="K1439" s="17"/>
      <c r="L1439" s="37" t="s">
        <v>58</v>
      </c>
      <c r="M1439" s="37" t="s">
        <v>57</v>
      </c>
      <c r="N1439" s="17" t="s">
        <v>28</v>
      </c>
      <c r="O1439" s="37" t="s">
        <v>3277</v>
      </c>
      <c r="P1439" s="67" t="s">
        <v>3278</v>
      </c>
      <c r="Q1439" s="15"/>
      <c r="R1439" s="1"/>
      <c r="S1439" s="1"/>
    </row>
    <row r="1440">
      <c r="A1440" s="1"/>
      <c r="B1440" s="3">
        <f t="shared" si="3"/>
        <v>1436</v>
      </c>
      <c r="C1440" s="31" t="s">
        <v>3279</v>
      </c>
      <c r="D1440" s="37" t="s">
        <v>83</v>
      </c>
      <c r="E1440" s="37" t="s">
        <v>3123</v>
      </c>
      <c r="F1440" s="43" t="s">
        <v>3280</v>
      </c>
      <c r="G1440" s="37"/>
      <c r="H1440" s="46">
        <v>46232.0</v>
      </c>
      <c r="I1440" s="37" t="s">
        <v>3027</v>
      </c>
      <c r="J1440" s="17"/>
      <c r="K1440" s="17" t="s">
        <v>769</v>
      </c>
      <c r="L1440" s="37" t="s">
        <v>189</v>
      </c>
      <c r="M1440" s="37"/>
      <c r="N1440" s="17"/>
      <c r="O1440" s="1"/>
      <c r="P1440" s="67" t="s">
        <v>3281</v>
      </c>
      <c r="Q1440" s="15"/>
      <c r="R1440" s="1"/>
      <c r="S1440" s="1"/>
    </row>
    <row r="1441">
      <c r="A1441" s="1"/>
      <c r="B1441" s="3">
        <f t="shared" si="3"/>
        <v>1437</v>
      </c>
      <c r="C1441" s="151" t="s">
        <v>3282</v>
      </c>
      <c r="D1441" s="37" t="s">
        <v>83</v>
      </c>
      <c r="E1441" s="37" t="s">
        <v>3123</v>
      </c>
      <c r="F1441" s="43" t="s">
        <v>3283</v>
      </c>
      <c r="G1441" s="37"/>
      <c r="H1441" s="46">
        <v>46232.0</v>
      </c>
      <c r="I1441" s="37" t="s">
        <v>3027</v>
      </c>
      <c r="J1441" s="17"/>
      <c r="K1441" s="17" t="s">
        <v>2382</v>
      </c>
      <c r="L1441" s="37" t="s">
        <v>58</v>
      </c>
      <c r="M1441" s="37"/>
      <c r="N1441" s="17"/>
      <c r="O1441" s="1"/>
      <c r="P1441" s="67" t="s">
        <v>3284</v>
      </c>
      <c r="Q1441" s="15"/>
      <c r="R1441" s="1"/>
      <c r="S1441" s="1"/>
    </row>
    <row r="1442">
      <c r="A1442" s="1"/>
      <c r="B1442" s="3">
        <f t="shared" si="3"/>
        <v>1438</v>
      </c>
      <c r="C1442" s="31" t="s">
        <v>3285</v>
      </c>
      <c r="D1442" s="37" t="s">
        <v>56</v>
      </c>
      <c r="E1442" s="37" t="s">
        <v>3286</v>
      </c>
      <c r="F1442" s="43" t="s">
        <v>3287</v>
      </c>
      <c r="G1442" s="37"/>
      <c r="H1442" s="46">
        <v>46232.0</v>
      </c>
      <c r="I1442" s="37" t="s">
        <v>3027</v>
      </c>
      <c r="J1442" s="17"/>
      <c r="K1442" s="17" t="s">
        <v>3288</v>
      </c>
      <c r="L1442" s="37" t="s">
        <v>58</v>
      </c>
      <c r="M1442" s="37" t="s">
        <v>73</v>
      </c>
      <c r="N1442" s="17" t="s">
        <v>28</v>
      </c>
      <c r="O1442" s="1"/>
      <c r="P1442" s="67" t="s">
        <v>3289</v>
      </c>
      <c r="Q1442" s="67" t="s">
        <v>3247</v>
      </c>
      <c r="R1442" s="1"/>
      <c r="S1442" s="1"/>
    </row>
    <row r="1443">
      <c r="A1443" s="1"/>
      <c r="B1443" s="3">
        <f t="shared" si="3"/>
        <v>1439</v>
      </c>
      <c r="C1443" s="31" t="s">
        <v>1915</v>
      </c>
      <c r="D1443" s="37" t="s">
        <v>44</v>
      </c>
      <c r="E1443" s="37" t="s">
        <v>1595</v>
      </c>
      <c r="F1443" s="43" t="s">
        <v>3290</v>
      </c>
      <c r="G1443" s="37"/>
      <c r="H1443" s="46">
        <v>46232.0</v>
      </c>
      <c r="I1443" s="37" t="s">
        <v>3027</v>
      </c>
      <c r="J1443" s="17"/>
      <c r="K1443" s="17" t="s">
        <v>1292</v>
      </c>
      <c r="L1443" s="37" t="s">
        <v>58</v>
      </c>
      <c r="M1443" s="37"/>
      <c r="N1443" s="17"/>
      <c r="O1443" s="1"/>
      <c r="P1443" s="15"/>
      <c r="Q1443" s="15"/>
      <c r="R1443" s="1"/>
      <c r="S1443" s="1"/>
    </row>
    <row r="1444">
      <c r="A1444" s="1"/>
      <c r="B1444" s="3">
        <f t="shared" si="3"/>
        <v>1440</v>
      </c>
      <c r="C1444" s="31" t="s">
        <v>3291</v>
      </c>
      <c r="D1444" s="37" t="s">
        <v>56</v>
      </c>
      <c r="E1444" s="37" t="s">
        <v>1589</v>
      </c>
      <c r="F1444" s="43" t="s">
        <v>3292</v>
      </c>
      <c r="G1444" s="37"/>
      <c r="H1444" s="46">
        <v>46232.0</v>
      </c>
      <c r="I1444" s="37" t="s">
        <v>3027</v>
      </c>
      <c r="J1444" s="17"/>
      <c r="K1444" s="17" t="s">
        <v>2231</v>
      </c>
      <c r="L1444" s="37" t="s">
        <v>189</v>
      </c>
      <c r="M1444" s="37"/>
      <c r="N1444" s="17"/>
      <c r="O1444" s="1"/>
      <c r="P1444" s="15"/>
      <c r="Q1444" s="15"/>
      <c r="R1444" s="1"/>
      <c r="S1444" s="1"/>
    </row>
    <row r="1445">
      <c r="A1445" s="1"/>
      <c r="B1445" s="3">
        <f t="shared" si="3"/>
        <v>1441</v>
      </c>
      <c r="C1445" s="31" t="s">
        <v>3293</v>
      </c>
      <c r="D1445" s="37" t="s">
        <v>49</v>
      </c>
      <c r="E1445" s="37" t="s">
        <v>2878</v>
      </c>
      <c r="F1445" s="43" t="s">
        <v>3294</v>
      </c>
      <c r="G1445" s="37"/>
      <c r="H1445" s="46">
        <v>46232.0</v>
      </c>
      <c r="I1445" s="37" t="s">
        <v>3027</v>
      </c>
      <c r="J1445" s="17"/>
      <c r="K1445" s="17" t="s">
        <v>2231</v>
      </c>
      <c r="L1445" s="37" t="s">
        <v>58</v>
      </c>
      <c r="M1445" s="37"/>
      <c r="N1445" s="17"/>
      <c r="O1445" s="1"/>
      <c r="P1445" s="15"/>
      <c r="Q1445" s="15"/>
      <c r="R1445" s="1"/>
      <c r="S1445" s="1"/>
    </row>
    <row r="1446">
      <c r="A1446" s="1"/>
      <c r="B1446" s="3">
        <f t="shared" si="3"/>
        <v>1442</v>
      </c>
      <c r="C1446" s="152" t="s">
        <v>3295</v>
      </c>
      <c r="D1446" s="37" t="s">
        <v>116</v>
      </c>
      <c r="E1446" s="37" t="s">
        <v>3296</v>
      </c>
      <c r="F1446" s="43" t="s">
        <v>3297</v>
      </c>
      <c r="G1446" s="37"/>
      <c r="H1446" s="46">
        <v>46232.0</v>
      </c>
      <c r="I1446" s="37" t="s">
        <v>1206</v>
      </c>
      <c r="J1446" s="17"/>
      <c r="K1446" s="17" t="s">
        <v>533</v>
      </c>
      <c r="L1446" s="37" t="s">
        <v>58</v>
      </c>
      <c r="M1446" s="37" t="s">
        <v>45</v>
      </c>
      <c r="N1446" s="17"/>
      <c r="O1446" s="1"/>
      <c r="P1446" s="15"/>
      <c r="Q1446" s="15"/>
      <c r="R1446" s="1"/>
      <c r="S1446" s="1"/>
    </row>
    <row r="1447">
      <c r="A1447" s="1"/>
      <c r="B1447" s="3">
        <f t="shared" si="3"/>
        <v>1443</v>
      </c>
      <c r="C1447" s="31" t="s">
        <v>3298</v>
      </c>
      <c r="D1447" s="37" t="s">
        <v>104</v>
      </c>
      <c r="E1447" s="37" t="s">
        <v>1320</v>
      </c>
      <c r="F1447" s="43" t="s">
        <v>3299</v>
      </c>
      <c r="G1447" s="37"/>
      <c r="H1447" s="46">
        <v>46232.0</v>
      </c>
      <c r="I1447" s="37" t="s">
        <v>3027</v>
      </c>
      <c r="J1447" s="17" t="s">
        <v>785</v>
      </c>
      <c r="K1447" s="17" t="s">
        <v>558</v>
      </c>
      <c r="L1447" s="37" t="s">
        <v>58</v>
      </c>
      <c r="M1447" s="37"/>
      <c r="N1447" s="17"/>
      <c r="O1447" s="1"/>
      <c r="P1447" s="15"/>
      <c r="Q1447" s="15"/>
      <c r="R1447" s="1"/>
      <c r="S1447" s="1"/>
    </row>
    <row r="1448">
      <c r="A1448" s="1"/>
      <c r="B1448" s="3">
        <f t="shared" si="3"/>
        <v>1444</v>
      </c>
      <c r="C1448" s="31" t="s">
        <v>3300</v>
      </c>
      <c r="D1448" s="37" t="s">
        <v>116</v>
      </c>
      <c r="E1448" s="37" t="s">
        <v>3296</v>
      </c>
      <c r="F1448" s="43" t="s">
        <v>3301</v>
      </c>
      <c r="G1448" s="37"/>
      <c r="H1448" s="46">
        <v>46232.0</v>
      </c>
      <c r="I1448" s="37" t="s">
        <v>3027</v>
      </c>
      <c r="J1448" s="17"/>
      <c r="K1448" s="17"/>
      <c r="L1448" s="37" t="s">
        <v>189</v>
      </c>
      <c r="M1448" s="37"/>
      <c r="N1448" s="17"/>
      <c r="O1448" s="1"/>
      <c r="P1448" s="15"/>
      <c r="Q1448" s="67" t="s">
        <v>3302</v>
      </c>
      <c r="R1448" s="1"/>
      <c r="S1448" s="1"/>
    </row>
    <row r="1449">
      <c r="A1449" s="1"/>
      <c r="B1449" s="3">
        <f t="shared" si="3"/>
        <v>1445</v>
      </c>
      <c r="C1449" s="31" t="s">
        <v>3303</v>
      </c>
      <c r="D1449" s="37" t="s">
        <v>112</v>
      </c>
      <c r="E1449" s="37" t="s">
        <v>1589</v>
      </c>
      <c r="F1449" s="43" t="s">
        <v>3304</v>
      </c>
      <c r="G1449" s="37"/>
      <c r="H1449" s="46">
        <v>46232.0</v>
      </c>
      <c r="I1449" s="37" t="s">
        <v>3027</v>
      </c>
      <c r="J1449" s="17"/>
      <c r="K1449" s="17" t="s">
        <v>533</v>
      </c>
      <c r="L1449" s="37" t="s">
        <v>189</v>
      </c>
      <c r="M1449" s="37"/>
      <c r="N1449" s="17"/>
      <c r="O1449" s="1"/>
      <c r="P1449" s="15"/>
      <c r="Q1449" s="15"/>
      <c r="R1449" s="1"/>
      <c r="S1449" s="1"/>
    </row>
    <row r="1450">
      <c r="A1450" s="1"/>
      <c r="B1450" s="3">
        <f t="shared" si="3"/>
        <v>1446</v>
      </c>
      <c r="C1450" s="31" t="s">
        <v>3305</v>
      </c>
      <c r="D1450" s="37" t="s">
        <v>44</v>
      </c>
      <c r="E1450" s="37" t="s">
        <v>1320</v>
      </c>
      <c r="F1450" s="43" t="s">
        <v>3306</v>
      </c>
      <c r="G1450" s="37"/>
      <c r="H1450" s="46">
        <v>46232.0</v>
      </c>
      <c r="I1450" s="37" t="s">
        <v>3027</v>
      </c>
      <c r="J1450" s="17"/>
      <c r="K1450" s="17" t="s">
        <v>2551</v>
      </c>
      <c r="L1450" s="37" t="s">
        <v>58</v>
      </c>
      <c r="M1450" s="37"/>
      <c r="N1450" s="17"/>
      <c r="O1450" s="1"/>
      <c r="P1450" s="15"/>
      <c r="Q1450" s="15"/>
      <c r="R1450" s="1"/>
      <c r="S1450" s="1"/>
    </row>
    <row r="1451">
      <c r="A1451" s="1"/>
      <c r="B1451" s="3">
        <f t="shared" si="3"/>
        <v>1447</v>
      </c>
      <c r="C1451" s="31" t="s">
        <v>3307</v>
      </c>
      <c r="D1451" s="37" t="s">
        <v>96</v>
      </c>
      <c r="E1451" s="37" t="s">
        <v>1398</v>
      </c>
      <c r="F1451" s="43" t="s">
        <v>3308</v>
      </c>
      <c r="G1451" s="37"/>
      <c r="H1451" s="46">
        <v>46232.0</v>
      </c>
      <c r="I1451" s="37" t="s">
        <v>3027</v>
      </c>
      <c r="J1451" s="17"/>
      <c r="K1451" s="17"/>
      <c r="L1451" s="37" t="s">
        <v>58</v>
      </c>
      <c r="M1451" s="37"/>
      <c r="N1451" s="17"/>
      <c r="O1451" s="1"/>
      <c r="P1451" s="67" t="s">
        <v>3309</v>
      </c>
      <c r="Q1451" s="15"/>
      <c r="R1451" s="1"/>
      <c r="S1451" s="1"/>
    </row>
    <row r="1452">
      <c r="A1452" s="1"/>
      <c r="B1452" s="3">
        <f t="shared" si="3"/>
        <v>1448</v>
      </c>
      <c r="C1452" s="31" t="s">
        <v>3037</v>
      </c>
      <c r="D1452" s="37" t="s">
        <v>56</v>
      </c>
      <c r="E1452" s="37" t="s">
        <v>1595</v>
      </c>
      <c r="F1452" s="43" t="s">
        <v>3310</v>
      </c>
      <c r="G1452" s="37"/>
      <c r="H1452" s="46">
        <v>46232.0</v>
      </c>
      <c r="I1452" s="37" t="s">
        <v>3027</v>
      </c>
      <c r="J1452" s="17"/>
      <c r="K1452" s="17" t="s">
        <v>2231</v>
      </c>
      <c r="L1452" s="37" t="s">
        <v>58</v>
      </c>
      <c r="M1452" s="37" t="s">
        <v>73</v>
      </c>
      <c r="N1452" s="17" t="s">
        <v>28</v>
      </c>
      <c r="O1452" s="1"/>
      <c r="P1452" s="67" t="s">
        <v>3311</v>
      </c>
      <c r="Q1452" s="15"/>
      <c r="R1452" s="1"/>
      <c r="S1452" s="1"/>
    </row>
    <row r="1453">
      <c r="A1453" s="1"/>
      <c r="B1453" s="3">
        <f t="shared" si="3"/>
        <v>1449</v>
      </c>
      <c r="C1453" s="31" t="s">
        <v>3312</v>
      </c>
      <c r="D1453" s="37" t="s">
        <v>56</v>
      </c>
      <c r="E1453" s="37" t="s">
        <v>3313</v>
      </c>
      <c r="F1453" s="43" t="s">
        <v>3314</v>
      </c>
      <c r="G1453" s="37"/>
      <c r="H1453" s="46">
        <v>46232.0</v>
      </c>
      <c r="I1453" s="37" t="s">
        <v>3027</v>
      </c>
      <c r="J1453" s="17" t="s">
        <v>765</v>
      </c>
      <c r="K1453" s="17"/>
      <c r="L1453" s="37" t="s">
        <v>58</v>
      </c>
      <c r="M1453" s="37" t="s">
        <v>65</v>
      </c>
      <c r="N1453" s="17" t="s">
        <v>28</v>
      </c>
      <c r="O1453" s="1"/>
      <c r="P1453" s="67" t="s">
        <v>3311</v>
      </c>
      <c r="Q1453" s="15"/>
      <c r="R1453" s="1"/>
      <c r="S1453" s="1"/>
    </row>
    <row r="1454">
      <c r="A1454" s="1"/>
      <c r="B1454" s="3">
        <f t="shared" si="3"/>
        <v>1450</v>
      </c>
      <c r="C1454" s="31" t="s">
        <v>3315</v>
      </c>
      <c r="D1454" s="37" t="s">
        <v>49</v>
      </c>
      <c r="E1454" s="37" t="s">
        <v>3316</v>
      </c>
      <c r="F1454" s="43" t="s">
        <v>3317</v>
      </c>
      <c r="G1454" s="37"/>
      <c r="H1454" s="46">
        <v>46232.0</v>
      </c>
      <c r="I1454" s="37" t="s">
        <v>3027</v>
      </c>
      <c r="J1454" s="17"/>
      <c r="K1454" s="17" t="s">
        <v>2231</v>
      </c>
      <c r="L1454" s="37" t="s">
        <v>58</v>
      </c>
      <c r="M1454" s="37"/>
      <c r="N1454" s="17"/>
      <c r="O1454" s="1"/>
      <c r="P1454" s="15"/>
      <c r="Q1454" s="15"/>
      <c r="R1454" s="1"/>
      <c r="S1454" s="1"/>
    </row>
    <row r="1455">
      <c r="A1455" s="1"/>
      <c r="B1455" s="3">
        <f t="shared" si="3"/>
        <v>1451</v>
      </c>
      <c r="C1455" s="31" t="s">
        <v>3318</v>
      </c>
      <c r="D1455" s="37" t="s">
        <v>56</v>
      </c>
      <c r="E1455" s="37" t="s">
        <v>2465</v>
      </c>
      <c r="F1455" s="43" t="s">
        <v>3319</v>
      </c>
      <c r="G1455" s="37"/>
      <c r="H1455" s="46">
        <v>46232.0</v>
      </c>
      <c r="I1455" s="37" t="s">
        <v>3027</v>
      </c>
      <c r="J1455" s="17"/>
      <c r="K1455" s="17" t="s">
        <v>517</v>
      </c>
      <c r="L1455" s="37" t="s">
        <v>189</v>
      </c>
      <c r="M1455" s="37"/>
      <c r="N1455" s="17"/>
      <c r="O1455" s="1"/>
      <c r="P1455" s="67" t="s">
        <v>3281</v>
      </c>
      <c r="Q1455" s="15"/>
      <c r="R1455" s="1"/>
      <c r="S1455" s="1"/>
    </row>
    <row r="1456">
      <c r="A1456" s="1"/>
      <c r="B1456" s="3">
        <f t="shared" si="3"/>
        <v>1452</v>
      </c>
      <c r="C1456" s="31" t="s">
        <v>3320</v>
      </c>
      <c r="D1456" s="37" t="s">
        <v>497</v>
      </c>
      <c r="E1456" s="37" t="s">
        <v>3321</v>
      </c>
      <c r="F1456" s="43" t="s">
        <v>3322</v>
      </c>
      <c r="G1456" s="37"/>
      <c r="H1456" s="46">
        <v>46232.0</v>
      </c>
      <c r="I1456" s="37" t="s">
        <v>3027</v>
      </c>
      <c r="J1456" s="17"/>
      <c r="K1456" s="17" t="s">
        <v>765</v>
      </c>
      <c r="L1456" s="37" t="s">
        <v>58</v>
      </c>
      <c r="M1456" s="37"/>
      <c r="N1456" s="17"/>
      <c r="O1456" s="1"/>
      <c r="P1456" s="15"/>
      <c r="Q1456" s="15"/>
      <c r="R1456" s="1"/>
      <c r="S1456" s="1"/>
    </row>
    <row r="1457">
      <c r="A1457" s="1"/>
      <c r="B1457" s="3">
        <f t="shared" si="3"/>
        <v>1453</v>
      </c>
      <c r="C1457" s="31" t="s">
        <v>3323</v>
      </c>
      <c r="D1457" s="37" t="s">
        <v>497</v>
      </c>
      <c r="E1457" s="37" t="s">
        <v>1595</v>
      </c>
      <c r="F1457" s="43" t="s">
        <v>3324</v>
      </c>
      <c r="G1457" s="37"/>
      <c r="H1457" s="46">
        <v>46232.0</v>
      </c>
      <c r="I1457" s="37" t="s">
        <v>3027</v>
      </c>
      <c r="J1457" s="17"/>
      <c r="K1457" s="17" t="s">
        <v>3325</v>
      </c>
      <c r="L1457" s="37" t="s">
        <v>189</v>
      </c>
      <c r="M1457" s="37"/>
      <c r="N1457" s="17"/>
      <c r="O1457" s="1"/>
      <c r="P1457" s="15"/>
      <c r="Q1457" s="15"/>
      <c r="R1457" s="1"/>
      <c r="S1457" s="1"/>
    </row>
    <row r="1458">
      <c r="A1458" s="1"/>
      <c r="B1458" s="3">
        <f t="shared" si="3"/>
        <v>1454</v>
      </c>
      <c r="C1458" s="31" t="s">
        <v>3326</v>
      </c>
      <c r="D1458" s="37" t="s">
        <v>44</v>
      </c>
      <c r="E1458" s="37" t="s">
        <v>3144</v>
      </c>
      <c r="F1458" s="43" t="s">
        <v>3327</v>
      </c>
      <c r="G1458" s="37"/>
      <c r="H1458" s="46">
        <v>46232.0</v>
      </c>
      <c r="I1458" s="37" t="s">
        <v>3027</v>
      </c>
      <c r="J1458" s="17"/>
      <c r="K1458" s="17" t="s">
        <v>571</v>
      </c>
      <c r="L1458" s="37" t="s">
        <v>58</v>
      </c>
      <c r="M1458" s="37"/>
      <c r="N1458" s="17"/>
      <c r="O1458" s="1"/>
      <c r="P1458" s="15"/>
      <c r="Q1458" s="15"/>
      <c r="R1458" s="1"/>
      <c r="S1458" s="1"/>
    </row>
    <row r="1459">
      <c r="A1459" s="1"/>
      <c r="B1459" s="3">
        <f t="shared" si="3"/>
        <v>1455</v>
      </c>
      <c r="C1459" s="31" t="s">
        <v>3328</v>
      </c>
      <c r="D1459" s="37" t="s">
        <v>497</v>
      </c>
      <c r="E1459" s="37" t="s">
        <v>3329</v>
      </c>
      <c r="F1459" s="43" t="s">
        <v>3330</v>
      </c>
      <c r="G1459" s="37"/>
      <c r="H1459" s="46">
        <v>46232.0</v>
      </c>
      <c r="I1459" s="37" t="s">
        <v>3027</v>
      </c>
      <c r="J1459" s="17"/>
      <c r="K1459" s="17" t="s">
        <v>2231</v>
      </c>
      <c r="L1459" s="37" t="s">
        <v>58</v>
      </c>
      <c r="M1459" s="37"/>
      <c r="N1459" s="17"/>
      <c r="O1459" s="1"/>
      <c r="P1459" s="15"/>
      <c r="Q1459" s="15"/>
      <c r="R1459" s="1"/>
      <c r="S1459" s="1"/>
    </row>
    <row r="1460">
      <c r="A1460" s="1"/>
      <c r="B1460" s="3">
        <f t="shared" si="3"/>
        <v>1456</v>
      </c>
      <c r="C1460" s="31" t="s">
        <v>3331</v>
      </c>
      <c r="D1460" s="37"/>
      <c r="E1460" s="37" t="s">
        <v>1595</v>
      </c>
      <c r="F1460" s="43" t="s">
        <v>3332</v>
      </c>
      <c r="G1460" s="37"/>
      <c r="H1460" s="46">
        <v>46232.0</v>
      </c>
      <c r="I1460" s="37" t="s">
        <v>3027</v>
      </c>
      <c r="J1460" s="17"/>
      <c r="K1460" s="17" t="s">
        <v>517</v>
      </c>
      <c r="L1460" s="37" t="s">
        <v>58</v>
      </c>
      <c r="M1460" s="37"/>
      <c r="N1460" s="17"/>
      <c r="O1460" s="1"/>
      <c r="P1460" s="15"/>
      <c r="Q1460" s="15"/>
      <c r="R1460" s="1"/>
      <c r="S1460" s="1"/>
    </row>
    <row r="1461">
      <c r="A1461" s="1"/>
      <c r="B1461" s="3">
        <f t="shared" si="3"/>
        <v>1457</v>
      </c>
      <c r="C1461" s="31" t="s">
        <v>3333</v>
      </c>
      <c r="D1461" s="37" t="s">
        <v>56</v>
      </c>
      <c r="E1461" s="37" t="s">
        <v>1600</v>
      </c>
      <c r="F1461" s="43" t="s">
        <v>3334</v>
      </c>
      <c r="G1461" s="37"/>
      <c r="H1461" s="46">
        <v>46239.0</v>
      </c>
      <c r="I1461" s="37" t="s">
        <v>3027</v>
      </c>
      <c r="J1461" s="17"/>
      <c r="K1461" s="17" t="s">
        <v>3335</v>
      </c>
      <c r="L1461" s="37" t="s">
        <v>58</v>
      </c>
      <c r="M1461" s="37"/>
      <c r="N1461" s="17"/>
      <c r="O1461" s="1"/>
      <c r="P1461" s="15"/>
      <c r="Q1461" s="15"/>
      <c r="R1461" s="1"/>
      <c r="S1461" s="1"/>
    </row>
    <row r="1462">
      <c r="A1462" s="1"/>
      <c r="B1462" s="3">
        <f t="shared" si="3"/>
        <v>1458</v>
      </c>
      <c r="C1462" s="31" t="s">
        <v>3336</v>
      </c>
      <c r="D1462" s="37" t="s">
        <v>103</v>
      </c>
      <c r="E1462" s="37" t="s">
        <v>1600</v>
      </c>
      <c r="F1462" s="43" t="s">
        <v>3337</v>
      </c>
      <c r="G1462" s="37"/>
      <c r="H1462" s="46">
        <v>46239.0</v>
      </c>
      <c r="I1462" s="37" t="s">
        <v>3027</v>
      </c>
      <c r="J1462" s="17"/>
      <c r="K1462" s="17" t="s">
        <v>765</v>
      </c>
      <c r="L1462" s="37" t="s">
        <v>58</v>
      </c>
      <c r="M1462" s="37"/>
      <c r="N1462" s="17"/>
      <c r="O1462" s="1"/>
      <c r="P1462" s="15"/>
      <c r="Q1462" s="15"/>
      <c r="R1462" s="1"/>
      <c r="S1462" s="1"/>
    </row>
    <row r="1463">
      <c r="A1463" s="1"/>
      <c r="B1463" s="3">
        <f t="shared" si="3"/>
        <v>1459</v>
      </c>
      <c r="C1463" s="31" t="s">
        <v>3338</v>
      </c>
      <c r="D1463" s="37" t="s">
        <v>96</v>
      </c>
      <c r="E1463" s="37" t="s">
        <v>3339</v>
      </c>
      <c r="F1463" s="43" t="s">
        <v>3340</v>
      </c>
      <c r="G1463" s="37"/>
      <c r="H1463" s="46">
        <v>46239.0</v>
      </c>
      <c r="I1463" s="37" t="s">
        <v>3027</v>
      </c>
      <c r="J1463" s="17"/>
      <c r="K1463" s="17" t="s">
        <v>2231</v>
      </c>
      <c r="L1463" s="37" t="s">
        <v>58</v>
      </c>
      <c r="M1463" s="37"/>
      <c r="N1463" s="17"/>
      <c r="O1463" s="1"/>
      <c r="P1463" s="67" t="s">
        <v>3309</v>
      </c>
      <c r="Q1463" s="67" t="s">
        <v>3341</v>
      </c>
      <c r="R1463" s="1"/>
      <c r="S1463" s="1"/>
    </row>
    <row r="1464">
      <c r="A1464" s="1"/>
      <c r="B1464" s="3">
        <f t="shared" si="3"/>
        <v>1460</v>
      </c>
      <c r="C1464" s="31" t="s">
        <v>3342</v>
      </c>
      <c r="D1464" s="37" t="s">
        <v>96</v>
      </c>
      <c r="E1464" s="37" t="s">
        <v>3343</v>
      </c>
      <c r="F1464" s="43" t="s">
        <v>3344</v>
      </c>
      <c r="G1464" s="37"/>
      <c r="H1464" s="46">
        <v>46239.0</v>
      </c>
      <c r="I1464" s="37" t="s">
        <v>3027</v>
      </c>
      <c r="J1464" s="17"/>
      <c r="K1464" s="17" t="s">
        <v>3345</v>
      </c>
      <c r="L1464" s="37" t="s">
        <v>58</v>
      </c>
      <c r="M1464" s="37"/>
      <c r="N1464" s="17"/>
      <c r="O1464" s="1"/>
      <c r="P1464" s="67" t="s">
        <v>3309</v>
      </c>
      <c r="Q1464" s="15"/>
      <c r="R1464" s="1"/>
      <c r="S1464" s="1"/>
    </row>
    <row r="1465">
      <c r="A1465" s="1"/>
      <c r="B1465" s="3">
        <f t="shared" si="3"/>
        <v>1461</v>
      </c>
      <c r="C1465" s="31" t="s">
        <v>3346</v>
      </c>
      <c r="D1465" s="37" t="s">
        <v>47</v>
      </c>
      <c r="E1465" s="37" t="s">
        <v>3347</v>
      </c>
      <c r="F1465" s="43" t="s">
        <v>3348</v>
      </c>
      <c r="G1465" s="37"/>
      <c r="H1465" s="46">
        <v>46239.0</v>
      </c>
      <c r="I1465" s="37" t="s">
        <v>1206</v>
      </c>
      <c r="J1465" s="17"/>
      <c r="K1465" s="17"/>
      <c r="L1465" s="37" t="s">
        <v>58</v>
      </c>
      <c r="M1465" s="37"/>
      <c r="N1465" s="17"/>
      <c r="O1465" s="1"/>
      <c r="P1465" s="15"/>
      <c r="Q1465" s="15"/>
      <c r="R1465" s="1"/>
      <c r="S1465" s="1"/>
    </row>
    <row r="1466">
      <c r="A1466" s="1"/>
      <c r="B1466" s="3">
        <f t="shared" si="3"/>
        <v>1462</v>
      </c>
      <c r="C1466" s="31" t="s">
        <v>3349</v>
      </c>
      <c r="D1466" s="37" t="s">
        <v>56</v>
      </c>
      <c r="E1466" s="37" t="s">
        <v>1589</v>
      </c>
      <c r="F1466" s="43" t="s">
        <v>3350</v>
      </c>
      <c r="G1466" s="37"/>
      <c r="H1466" s="46">
        <v>46239.0</v>
      </c>
      <c r="I1466" s="37" t="s">
        <v>1206</v>
      </c>
      <c r="J1466" s="17">
        <v>340.0</v>
      </c>
      <c r="K1466" s="17"/>
      <c r="L1466" s="37" t="s">
        <v>58</v>
      </c>
      <c r="M1466" s="37" t="s">
        <v>73</v>
      </c>
      <c r="N1466" s="17"/>
      <c r="O1466" s="1"/>
      <c r="P1466" s="67" t="s">
        <v>3351</v>
      </c>
      <c r="Q1466" s="15"/>
      <c r="R1466" s="1"/>
      <c r="S1466" s="1"/>
    </row>
    <row r="1467">
      <c r="A1467" s="1"/>
      <c r="B1467" s="3">
        <f t="shared" si="3"/>
        <v>1463</v>
      </c>
      <c r="C1467" s="31" t="s">
        <v>3352</v>
      </c>
      <c r="D1467" s="37" t="s">
        <v>56</v>
      </c>
      <c r="E1467" s="37" t="s">
        <v>1285</v>
      </c>
      <c r="F1467" s="43" t="s">
        <v>3353</v>
      </c>
      <c r="G1467" s="37"/>
      <c r="H1467" s="46">
        <v>46239.0</v>
      </c>
      <c r="I1467" s="37" t="s">
        <v>3027</v>
      </c>
      <c r="J1467" s="17" t="s">
        <v>3354</v>
      </c>
      <c r="K1467" s="17"/>
      <c r="L1467" s="37" t="s">
        <v>189</v>
      </c>
      <c r="M1467" s="37" t="s">
        <v>78</v>
      </c>
      <c r="N1467" s="17"/>
      <c r="O1467" s="1"/>
      <c r="P1467" s="67" t="s">
        <v>3355</v>
      </c>
      <c r="Q1467" s="15"/>
      <c r="R1467" s="1"/>
      <c r="S1467" s="1"/>
    </row>
    <row r="1468">
      <c r="A1468" s="1"/>
      <c r="B1468" s="3">
        <f t="shared" si="3"/>
        <v>1464</v>
      </c>
      <c r="C1468" s="31" t="s">
        <v>3356</v>
      </c>
      <c r="D1468" s="37" t="s">
        <v>497</v>
      </c>
      <c r="E1468" s="37" t="s">
        <v>3357</v>
      </c>
      <c r="F1468" s="43" t="s">
        <v>3358</v>
      </c>
      <c r="G1468" s="37"/>
      <c r="H1468" s="46">
        <v>46239.0</v>
      </c>
      <c r="I1468" s="37" t="s">
        <v>3027</v>
      </c>
      <c r="J1468" s="17"/>
      <c r="K1468" s="17" t="s">
        <v>2820</v>
      </c>
      <c r="L1468" s="37" t="s">
        <v>58</v>
      </c>
      <c r="M1468" s="37"/>
      <c r="N1468" s="17"/>
      <c r="O1468" s="1"/>
      <c r="P1468" s="15"/>
      <c r="Q1468" s="15"/>
      <c r="R1468" s="1"/>
      <c r="S1468" s="1"/>
    </row>
    <row r="1469">
      <c r="A1469" s="1"/>
      <c r="B1469" s="3">
        <f t="shared" si="3"/>
        <v>1465</v>
      </c>
      <c r="C1469" s="31" t="s">
        <v>3359</v>
      </c>
      <c r="D1469" s="37" t="s">
        <v>44</v>
      </c>
      <c r="E1469" s="37" t="s">
        <v>2465</v>
      </c>
      <c r="F1469" s="43" t="s">
        <v>3360</v>
      </c>
      <c r="G1469" s="37"/>
      <c r="H1469" s="46">
        <v>46239.0</v>
      </c>
      <c r="I1469" s="37" t="s">
        <v>3027</v>
      </c>
      <c r="J1469" s="17"/>
      <c r="K1469" s="17"/>
      <c r="L1469" s="37" t="s">
        <v>58</v>
      </c>
      <c r="M1469" s="37"/>
      <c r="N1469" s="17"/>
      <c r="O1469" s="1"/>
      <c r="P1469" s="15"/>
      <c r="Q1469" s="15"/>
      <c r="R1469" s="1"/>
      <c r="S1469" s="1"/>
    </row>
    <row r="1470">
      <c r="A1470" s="1"/>
      <c r="B1470" s="3">
        <f t="shared" si="3"/>
        <v>1466</v>
      </c>
      <c r="C1470" s="31" t="s">
        <v>3361</v>
      </c>
      <c r="D1470" s="37" t="s">
        <v>44</v>
      </c>
      <c r="E1470" s="37" t="s">
        <v>1848</v>
      </c>
      <c r="F1470" s="43" t="s">
        <v>3362</v>
      </c>
      <c r="G1470" s="37"/>
      <c r="H1470" s="46">
        <v>46239.0</v>
      </c>
      <c r="I1470" s="37" t="s">
        <v>3027</v>
      </c>
      <c r="J1470" s="17">
        <v>380.0</v>
      </c>
      <c r="K1470" s="17" t="s">
        <v>2551</v>
      </c>
      <c r="L1470" s="37" t="s">
        <v>58</v>
      </c>
      <c r="M1470" s="37"/>
      <c r="N1470" s="17"/>
      <c r="O1470" s="1"/>
      <c r="P1470" s="15"/>
      <c r="Q1470" s="15"/>
      <c r="R1470" s="1"/>
      <c r="S1470" s="1"/>
    </row>
    <row r="1471">
      <c r="A1471" s="1"/>
      <c r="B1471" s="3">
        <f t="shared" si="3"/>
        <v>1467</v>
      </c>
      <c r="C1471" s="31" t="s">
        <v>3363</v>
      </c>
      <c r="D1471" s="37" t="s">
        <v>44</v>
      </c>
      <c r="E1471" s="37" t="s">
        <v>3364</v>
      </c>
      <c r="F1471" s="43" t="s">
        <v>3365</v>
      </c>
      <c r="G1471" s="37"/>
      <c r="H1471" s="46">
        <v>46239.0</v>
      </c>
      <c r="I1471" s="37" t="s">
        <v>3027</v>
      </c>
      <c r="J1471" s="17"/>
      <c r="K1471" s="17" t="s">
        <v>571</v>
      </c>
      <c r="L1471" s="37" t="s">
        <v>58</v>
      </c>
      <c r="M1471" s="37"/>
      <c r="N1471" s="17"/>
      <c r="O1471" s="1"/>
      <c r="P1471" s="15"/>
      <c r="Q1471" s="15"/>
      <c r="R1471" s="1"/>
      <c r="S1471" s="1"/>
    </row>
    <row r="1472">
      <c r="A1472" s="1"/>
      <c r="B1472" s="3">
        <f t="shared" si="3"/>
        <v>1468</v>
      </c>
      <c r="C1472" s="31" t="s">
        <v>3366</v>
      </c>
      <c r="D1472" s="37" t="s">
        <v>44</v>
      </c>
      <c r="E1472" s="37" t="s">
        <v>1285</v>
      </c>
      <c r="F1472" s="43" t="s">
        <v>3367</v>
      </c>
      <c r="G1472" s="37"/>
      <c r="H1472" s="46">
        <v>46239.0</v>
      </c>
      <c r="I1472" s="37" t="s">
        <v>3027</v>
      </c>
      <c r="J1472" s="17"/>
      <c r="K1472" s="17" t="s">
        <v>3368</v>
      </c>
      <c r="L1472" s="37" t="s">
        <v>58</v>
      </c>
      <c r="M1472" s="37"/>
      <c r="N1472" s="17"/>
      <c r="O1472" s="1"/>
      <c r="P1472" s="15"/>
      <c r="Q1472" s="15"/>
      <c r="R1472" s="1"/>
      <c r="S1472" s="1"/>
    </row>
    <row r="1473">
      <c r="A1473" s="1"/>
      <c r="B1473" s="3">
        <f t="shared" si="3"/>
        <v>1469</v>
      </c>
      <c r="C1473" s="31" t="s">
        <v>3369</v>
      </c>
      <c r="D1473" s="37" t="s">
        <v>44</v>
      </c>
      <c r="E1473" s="37" t="s">
        <v>3370</v>
      </c>
      <c r="F1473" s="43" t="s">
        <v>3371</v>
      </c>
      <c r="G1473" s="37"/>
      <c r="H1473" s="46">
        <v>46239.0</v>
      </c>
      <c r="I1473" s="37" t="s">
        <v>3027</v>
      </c>
      <c r="J1473" s="17"/>
      <c r="K1473" s="17" t="s">
        <v>3372</v>
      </c>
      <c r="L1473" s="37" t="s">
        <v>58</v>
      </c>
      <c r="M1473" s="37"/>
      <c r="N1473" s="17"/>
      <c r="O1473" s="1"/>
      <c r="P1473" s="15"/>
      <c r="Q1473" s="15"/>
      <c r="R1473" s="1"/>
      <c r="S1473" s="1"/>
    </row>
    <row r="1474">
      <c r="A1474" s="1"/>
      <c r="B1474" s="3">
        <f t="shared" si="3"/>
        <v>1470</v>
      </c>
      <c r="C1474" s="31" t="s">
        <v>3373</v>
      </c>
      <c r="D1474" s="37" t="s">
        <v>49</v>
      </c>
      <c r="E1474" s="37" t="s">
        <v>3374</v>
      </c>
      <c r="F1474" s="1"/>
      <c r="G1474" s="37"/>
      <c r="H1474" s="46">
        <v>46239.0</v>
      </c>
      <c r="I1474" s="37" t="s">
        <v>3027</v>
      </c>
      <c r="J1474" s="17"/>
      <c r="K1474" s="17"/>
      <c r="L1474" s="37" t="s">
        <v>189</v>
      </c>
      <c r="M1474" s="37"/>
      <c r="N1474" s="17"/>
      <c r="O1474" s="1"/>
      <c r="P1474" s="67" t="s">
        <v>3375</v>
      </c>
      <c r="Q1474" s="15"/>
      <c r="R1474" s="1"/>
      <c r="S1474" s="1"/>
    </row>
    <row r="1475">
      <c r="A1475" s="1"/>
      <c r="B1475" s="3">
        <f t="shared" si="3"/>
        <v>1471</v>
      </c>
      <c r="C1475" s="31" t="s">
        <v>3376</v>
      </c>
      <c r="D1475" s="37" t="s">
        <v>44</v>
      </c>
      <c r="E1475" s="37" t="s">
        <v>600</v>
      </c>
      <c r="F1475" s="43" t="s">
        <v>3377</v>
      </c>
      <c r="G1475" s="37"/>
      <c r="H1475" s="46">
        <v>46239.0</v>
      </c>
      <c r="I1475" s="37" t="s">
        <v>3027</v>
      </c>
      <c r="J1475" s="17" t="s">
        <v>2382</v>
      </c>
      <c r="K1475" s="17" t="s">
        <v>2551</v>
      </c>
      <c r="L1475" s="37" t="s">
        <v>58</v>
      </c>
      <c r="M1475" s="37"/>
      <c r="N1475" s="17"/>
      <c r="O1475" s="1"/>
      <c r="P1475" s="15"/>
      <c r="Q1475" s="15"/>
      <c r="R1475" s="1"/>
      <c r="S1475" s="1"/>
    </row>
    <row r="1476">
      <c r="A1476" s="1"/>
      <c r="B1476" s="3">
        <f t="shared" si="3"/>
        <v>1472</v>
      </c>
      <c r="C1476" s="31" t="s">
        <v>3378</v>
      </c>
      <c r="D1476" s="37" t="s">
        <v>49</v>
      </c>
      <c r="E1476" s="37" t="s">
        <v>3379</v>
      </c>
      <c r="F1476" s="43" t="s">
        <v>3380</v>
      </c>
      <c r="G1476" s="37"/>
      <c r="H1476" s="46">
        <v>46239.0</v>
      </c>
      <c r="I1476" s="37" t="s">
        <v>3027</v>
      </c>
      <c r="J1476" s="17"/>
      <c r="K1476" s="17" t="s">
        <v>517</v>
      </c>
      <c r="L1476" s="37" t="s">
        <v>58</v>
      </c>
      <c r="M1476" s="37"/>
      <c r="N1476" s="17"/>
      <c r="O1476" s="1"/>
      <c r="P1476" s="67" t="s">
        <v>3381</v>
      </c>
      <c r="Q1476" s="15"/>
      <c r="R1476" s="1"/>
      <c r="S1476" s="1"/>
    </row>
    <row r="1477">
      <c r="A1477" s="1"/>
      <c r="B1477" s="3">
        <f t="shared" si="3"/>
        <v>1473</v>
      </c>
      <c r="C1477" s="31" t="s">
        <v>3382</v>
      </c>
      <c r="D1477" s="37" t="s">
        <v>497</v>
      </c>
      <c r="E1477" s="37" t="s">
        <v>1595</v>
      </c>
      <c r="F1477" s="1"/>
      <c r="G1477" s="37"/>
      <c r="H1477" s="46">
        <v>46239.0</v>
      </c>
      <c r="I1477" s="37" t="s">
        <v>3027</v>
      </c>
      <c r="J1477" s="17"/>
      <c r="K1477" s="17"/>
      <c r="L1477" s="37" t="s">
        <v>189</v>
      </c>
      <c r="M1477" s="37"/>
      <c r="N1477" s="17"/>
      <c r="O1477" s="1"/>
      <c r="P1477" s="15"/>
      <c r="Q1477" s="15"/>
      <c r="R1477" s="1"/>
      <c r="S1477" s="1"/>
    </row>
    <row r="1478">
      <c r="A1478" s="1"/>
      <c r="B1478" s="3">
        <f t="shared" si="3"/>
        <v>1474</v>
      </c>
      <c r="C1478" s="31" t="s">
        <v>3383</v>
      </c>
      <c r="D1478" s="37" t="s">
        <v>497</v>
      </c>
      <c r="E1478" s="37" t="s">
        <v>1285</v>
      </c>
      <c r="F1478" s="1"/>
      <c r="G1478" s="37"/>
      <c r="H1478" s="46">
        <v>46239.0</v>
      </c>
      <c r="I1478" s="37" t="s">
        <v>3027</v>
      </c>
      <c r="J1478" s="17"/>
      <c r="K1478" s="17">
        <v>450.0</v>
      </c>
      <c r="L1478" s="37" t="s">
        <v>189</v>
      </c>
      <c r="M1478" s="37"/>
      <c r="N1478" s="17"/>
      <c r="O1478" s="1"/>
      <c r="P1478" s="15"/>
      <c r="Q1478" s="15"/>
      <c r="R1478" s="1"/>
      <c r="S1478" s="1"/>
    </row>
    <row r="1479">
      <c r="A1479" s="1"/>
      <c r="B1479" s="3">
        <f t="shared" si="3"/>
        <v>1475</v>
      </c>
      <c r="C1479" s="31" t="s">
        <v>3384</v>
      </c>
      <c r="D1479" s="37" t="s">
        <v>38</v>
      </c>
      <c r="E1479" s="37" t="s">
        <v>3343</v>
      </c>
      <c r="F1479" s="43" t="s">
        <v>3385</v>
      </c>
      <c r="G1479" s="37"/>
      <c r="H1479" s="46">
        <v>46239.0</v>
      </c>
      <c r="I1479" s="37" t="s">
        <v>3027</v>
      </c>
      <c r="J1479" s="17"/>
      <c r="K1479" s="17" t="s">
        <v>2231</v>
      </c>
      <c r="L1479" s="37" t="s">
        <v>189</v>
      </c>
      <c r="M1479" s="37"/>
      <c r="N1479" s="17"/>
      <c r="O1479" s="1"/>
      <c r="P1479" s="67" t="s">
        <v>3386</v>
      </c>
      <c r="Q1479" s="15"/>
      <c r="R1479" s="1"/>
      <c r="S1479" s="1"/>
    </row>
    <row r="1480">
      <c r="A1480" s="1"/>
      <c r="B1480" s="3">
        <f t="shared" si="3"/>
        <v>1476</v>
      </c>
      <c r="C1480" s="31" t="s">
        <v>3387</v>
      </c>
      <c r="D1480" s="37" t="s">
        <v>38</v>
      </c>
      <c r="E1480" s="37" t="s">
        <v>3343</v>
      </c>
      <c r="F1480" s="43" t="s">
        <v>3388</v>
      </c>
      <c r="G1480" s="37"/>
      <c r="H1480" s="46">
        <v>46239.0</v>
      </c>
      <c r="I1480" s="37" t="s">
        <v>3027</v>
      </c>
      <c r="J1480" s="17"/>
      <c r="K1480" s="17"/>
      <c r="L1480" s="37" t="s">
        <v>58</v>
      </c>
      <c r="M1480" s="37" t="s">
        <v>45</v>
      </c>
      <c r="N1480" s="17" t="s">
        <v>28</v>
      </c>
      <c r="O1480" s="1"/>
      <c r="P1480" s="67" t="s">
        <v>3389</v>
      </c>
      <c r="Q1480" s="15"/>
      <c r="R1480" s="1"/>
      <c r="S1480" s="1"/>
    </row>
    <row r="1481">
      <c r="A1481" s="1"/>
      <c r="B1481" s="3">
        <f t="shared" si="3"/>
        <v>1477</v>
      </c>
      <c r="C1481" s="31" t="s">
        <v>3390</v>
      </c>
      <c r="D1481" s="37" t="s">
        <v>83</v>
      </c>
      <c r="E1481" s="37" t="s">
        <v>1285</v>
      </c>
      <c r="F1481" s="43" t="s">
        <v>3391</v>
      </c>
      <c r="G1481" s="37"/>
      <c r="H1481" s="46">
        <v>46239.0</v>
      </c>
      <c r="I1481" s="37" t="s">
        <v>3027</v>
      </c>
      <c r="J1481" s="17"/>
      <c r="K1481" s="17"/>
      <c r="L1481" s="37" t="s">
        <v>58</v>
      </c>
      <c r="M1481" s="37"/>
      <c r="N1481" s="17"/>
      <c r="O1481" s="1"/>
      <c r="P1481" s="15"/>
      <c r="Q1481" s="15"/>
      <c r="R1481" s="1"/>
      <c r="S1481" s="1"/>
    </row>
    <row r="1482">
      <c r="A1482" s="1"/>
      <c r="B1482" s="3">
        <f t="shared" si="3"/>
        <v>1478</v>
      </c>
      <c r="C1482" s="31" t="s">
        <v>3392</v>
      </c>
      <c r="D1482" s="37" t="s">
        <v>83</v>
      </c>
      <c r="E1482" s="37" t="s">
        <v>1300</v>
      </c>
      <c r="F1482" s="37"/>
      <c r="G1482" s="37"/>
      <c r="H1482" s="46">
        <v>46239.0</v>
      </c>
      <c r="I1482" s="37" t="s">
        <v>3027</v>
      </c>
      <c r="J1482" s="17"/>
      <c r="K1482" s="17" t="s">
        <v>2231</v>
      </c>
      <c r="L1482" s="37" t="s">
        <v>58</v>
      </c>
      <c r="M1482" s="37"/>
      <c r="N1482" s="17"/>
      <c r="O1482" s="1"/>
      <c r="P1482" s="67" t="s">
        <v>3393</v>
      </c>
      <c r="Q1482" s="15"/>
      <c r="R1482" s="1"/>
      <c r="S1482" s="1"/>
    </row>
    <row r="1483">
      <c r="A1483" s="1"/>
      <c r="B1483" s="3">
        <f t="shared" si="3"/>
        <v>1479</v>
      </c>
      <c r="C1483" s="31" t="s">
        <v>3394</v>
      </c>
      <c r="D1483" s="37" t="s">
        <v>83</v>
      </c>
      <c r="E1483" s="37" t="s">
        <v>1576</v>
      </c>
      <c r="F1483" s="43" t="s">
        <v>3395</v>
      </c>
      <c r="G1483" s="37"/>
      <c r="H1483" s="46">
        <v>46239.0</v>
      </c>
      <c r="I1483" s="37" t="s">
        <v>3027</v>
      </c>
      <c r="J1483" s="17"/>
      <c r="K1483" s="17" t="s">
        <v>691</v>
      </c>
      <c r="L1483" s="37" t="s">
        <v>58</v>
      </c>
      <c r="M1483" s="37"/>
      <c r="N1483" s="17"/>
      <c r="O1483" s="1"/>
      <c r="P1483" s="67" t="s">
        <v>3393</v>
      </c>
      <c r="Q1483" s="15"/>
      <c r="R1483" s="1"/>
      <c r="S1483" s="1"/>
    </row>
    <row r="1484">
      <c r="A1484" s="1"/>
      <c r="B1484" s="3">
        <f t="shared" si="3"/>
        <v>1480</v>
      </c>
      <c r="C1484" s="31" t="s">
        <v>3396</v>
      </c>
      <c r="D1484" s="37" t="s">
        <v>44</v>
      </c>
      <c r="E1484" s="37" t="s">
        <v>1285</v>
      </c>
      <c r="F1484" s="43" t="s">
        <v>3397</v>
      </c>
      <c r="G1484" s="37"/>
      <c r="H1484" s="46">
        <v>46239.0</v>
      </c>
      <c r="I1484" s="37" t="s">
        <v>3027</v>
      </c>
      <c r="J1484" s="17"/>
      <c r="K1484" s="17" t="s">
        <v>605</v>
      </c>
      <c r="L1484" s="37" t="s">
        <v>58</v>
      </c>
      <c r="M1484" s="37"/>
      <c r="N1484" s="17"/>
      <c r="O1484" s="1"/>
      <c r="P1484" s="67" t="s">
        <v>3398</v>
      </c>
      <c r="Q1484" s="15"/>
      <c r="R1484" s="1"/>
      <c r="S1484" s="1"/>
    </row>
    <row r="1485">
      <c r="A1485" s="1"/>
      <c r="B1485" s="3">
        <f t="shared" si="3"/>
        <v>1481</v>
      </c>
      <c r="C1485" s="31" t="s">
        <v>3399</v>
      </c>
      <c r="D1485" s="37" t="s">
        <v>1505</v>
      </c>
      <c r="E1485" s="37" t="s">
        <v>1285</v>
      </c>
      <c r="F1485" s="43" t="s">
        <v>3400</v>
      </c>
      <c r="G1485" s="37"/>
      <c r="H1485" s="46">
        <v>46239.0</v>
      </c>
      <c r="I1485" s="37" t="s">
        <v>3027</v>
      </c>
      <c r="J1485" s="17"/>
      <c r="K1485" s="17" t="s">
        <v>2292</v>
      </c>
      <c r="L1485" s="37" t="s">
        <v>58</v>
      </c>
      <c r="M1485" s="37"/>
      <c r="N1485" s="17" t="s">
        <v>28</v>
      </c>
      <c r="O1485" s="1"/>
      <c r="P1485" s="67" t="s">
        <v>3401</v>
      </c>
      <c r="Q1485" s="15"/>
      <c r="R1485" s="1"/>
      <c r="S1485" s="1"/>
    </row>
    <row r="1486">
      <c r="A1486" s="1"/>
      <c r="B1486" s="3">
        <f t="shared" si="3"/>
        <v>1482</v>
      </c>
      <c r="C1486" s="31" t="s">
        <v>3402</v>
      </c>
      <c r="D1486" s="37" t="s">
        <v>38</v>
      </c>
      <c r="E1486" s="37" t="s">
        <v>1285</v>
      </c>
      <c r="F1486" s="43" t="s">
        <v>3403</v>
      </c>
      <c r="G1486" s="37"/>
      <c r="H1486" s="46">
        <v>46239.0</v>
      </c>
      <c r="I1486" s="37" t="s">
        <v>3027</v>
      </c>
      <c r="J1486" s="17"/>
      <c r="K1486" s="17" t="s">
        <v>517</v>
      </c>
      <c r="L1486" s="37" t="s">
        <v>58</v>
      </c>
      <c r="M1486" s="37" t="s">
        <v>68</v>
      </c>
      <c r="N1486" s="17" t="s">
        <v>28</v>
      </c>
      <c r="O1486" s="1"/>
      <c r="P1486" s="67" t="s">
        <v>3404</v>
      </c>
      <c r="Q1486" s="15"/>
      <c r="R1486" s="1"/>
      <c r="S1486" s="1"/>
    </row>
    <row r="1487">
      <c r="A1487" s="1"/>
      <c r="B1487" s="3">
        <f t="shared" si="3"/>
        <v>1483</v>
      </c>
      <c r="C1487" s="31" t="s">
        <v>3405</v>
      </c>
      <c r="D1487" s="37" t="s">
        <v>1505</v>
      </c>
      <c r="E1487" s="37" t="s">
        <v>1589</v>
      </c>
      <c r="F1487" s="43" t="s">
        <v>3406</v>
      </c>
      <c r="G1487" s="37"/>
      <c r="H1487" s="46">
        <v>46239.0</v>
      </c>
      <c r="I1487" s="37" t="s">
        <v>3027</v>
      </c>
      <c r="J1487" s="17"/>
      <c r="K1487" s="17" t="s">
        <v>3009</v>
      </c>
      <c r="L1487" s="37" t="s">
        <v>189</v>
      </c>
      <c r="M1487" s="37"/>
      <c r="N1487" s="17"/>
      <c r="O1487" s="1"/>
      <c r="P1487" s="67" t="s">
        <v>3407</v>
      </c>
      <c r="Q1487" s="15"/>
      <c r="R1487" s="1"/>
      <c r="S1487" s="1"/>
    </row>
    <row r="1488">
      <c r="A1488" s="1"/>
      <c r="B1488" s="3">
        <f t="shared" si="3"/>
        <v>1484</v>
      </c>
      <c r="C1488" s="31" t="s">
        <v>3408</v>
      </c>
      <c r="D1488" s="37" t="s">
        <v>497</v>
      </c>
      <c r="E1488" s="37" t="s">
        <v>3343</v>
      </c>
      <c r="F1488" s="43" t="s">
        <v>3409</v>
      </c>
      <c r="G1488" s="37"/>
      <c r="H1488" s="46">
        <v>46239.0</v>
      </c>
      <c r="I1488" s="37" t="s">
        <v>1206</v>
      </c>
      <c r="J1488" s="17"/>
      <c r="K1488" s="17" t="s">
        <v>605</v>
      </c>
      <c r="L1488" s="37" t="s">
        <v>58</v>
      </c>
      <c r="M1488" s="37"/>
      <c r="N1488" s="17"/>
      <c r="O1488" s="1"/>
      <c r="P1488" s="15"/>
      <c r="Q1488" s="15"/>
      <c r="R1488" s="1"/>
      <c r="S1488" s="1"/>
    </row>
    <row r="1489">
      <c r="A1489" s="1"/>
      <c r="B1489" s="3">
        <f t="shared" si="3"/>
        <v>1485</v>
      </c>
      <c r="C1489" s="31" t="s">
        <v>3410</v>
      </c>
      <c r="D1489" s="37" t="s">
        <v>49</v>
      </c>
      <c r="E1489" s="37" t="s">
        <v>3343</v>
      </c>
      <c r="F1489" s="43" t="s">
        <v>3411</v>
      </c>
      <c r="G1489" s="37"/>
      <c r="H1489" s="46">
        <v>46239.0</v>
      </c>
      <c r="I1489" s="37" t="s">
        <v>1206</v>
      </c>
      <c r="J1489" s="17"/>
      <c r="K1489" s="17" t="s">
        <v>533</v>
      </c>
      <c r="L1489" s="37" t="s">
        <v>58</v>
      </c>
      <c r="M1489" s="37"/>
      <c r="N1489" s="17"/>
      <c r="O1489" s="1"/>
      <c r="P1489" s="15"/>
      <c r="Q1489" s="15"/>
      <c r="R1489" s="1"/>
      <c r="S1489" s="1"/>
    </row>
    <row r="1490">
      <c r="A1490" s="1"/>
      <c r="B1490" s="3">
        <f t="shared" si="3"/>
        <v>1486</v>
      </c>
      <c r="C1490" s="31" t="s">
        <v>3412</v>
      </c>
      <c r="D1490" s="37" t="s">
        <v>112</v>
      </c>
      <c r="E1490" s="37" t="s">
        <v>1535</v>
      </c>
      <c r="F1490" s="43" t="s">
        <v>3413</v>
      </c>
      <c r="G1490" s="37"/>
      <c r="H1490" s="46">
        <v>46239.0</v>
      </c>
      <c r="I1490" s="37" t="s">
        <v>1206</v>
      </c>
      <c r="J1490" s="17"/>
      <c r="K1490" s="17" t="s">
        <v>571</v>
      </c>
      <c r="L1490" s="37" t="s">
        <v>58</v>
      </c>
      <c r="M1490" s="37"/>
      <c r="N1490" s="17"/>
      <c r="O1490" s="1"/>
      <c r="P1490" s="15"/>
      <c r="Q1490" s="15"/>
      <c r="R1490" s="1"/>
      <c r="S1490" s="1"/>
    </row>
    <row r="1491">
      <c r="A1491" s="1"/>
      <c r="B1491" s="3">
        <f t="shared" si="3"/>
        <v>1487</v>
      </c>
      <c r="C1491" s="31" t="s">
        <v>3414</v>
      </c>
      <c r="D1491" s="37" t="s">
        <v>38</v>
      </c>
      <c r="E1491" s="37" t="s">
        <v>3343</v>
      </c>
      <c r="F1491" s="43" t="s">
        <v>3415</v>
      </c>
      <c r="G1491" s="37"/>
      <c r="H1491" s="46">
        <v>46239.0</v>
      </c>
      <c r="I1491" s="37" t="s">
        <v>1206</v>
      </c>
      <c r="J1491" s="17"/>
      <c r="K1491" s="17"/>
      <c r="L1491" s="37" t="s">
        <v>58</v>
      </c>
      <c r="M1491" s="37" t="s">
        <v>53</v>
      </c>
      <c r="N1491" s="17"/>
      <c r="O1491" s="1"/>
      <c r="P1491" s="67" t="s">
        <v>3416</v>
      </c>
      <c r="Q1491" s="15"/>
      <c r="R1491" s="1"/>
      <c r="S1491" s="1"/>
    </row>
    <row r="1492">
      <c r="A1492" s="1"/>
      <c r="B1492" s="3">
        <f t="shared" si="3"/>
        <v>1488</v>
      </c>
      <c r="C1492" s="31" t="s">
        <v>3417</v>
      </c>
      <c r="D1492" s="37" t="s">
        <v>116</v>
      </c>
      <c r="E1492" s="37" t="s">
        <v>1583</v>
      </c>
      <c r="F1492" s="43" t="s">
        <v>3418</v>
      </c>
      <c r="G1492" s="37"/>
      <c r="H1492" s="46">
        <v>46239.0</v>
      </c>
      <c r="I1492" s="37" t="s">
        <v>1206</v>
      </c>
      <c r="J1492" s="17"/>
      <c r="K1492" s="17">
        <v>400.0</v>
      </c>
      <c r="L1492" s="37" t="s">
        <v>58</v>
      </c>
      <c r="M1492" s="37"/>
      <c r="N1492" s="17"/>
      <c r="O1492" s="1"/>
      <c r="P1492" s="15"/>
      <c r="Q1492" s="15"/>
      <c r="R1492" s="1"/>
      <c r="S1492" s="1"/>
    </row>
    <row r="1493">
      <c r="A1493" s="1"/>
      <c r="B1493" s="3">
        <f t="shared" si="3"/>
        <v>1489</v>
      </c>
      <c r="C1493" s="31" t="s">
        <v>3419</v>
      </c>
      <c r="D1493" s="37" t="s">
        <v>116</v>
      </c>
      <c r="E1493" s="37" t="s">
        <v>3420</v>
      </c>
      <c r="F1493" s="43" t="s">
        <v>3421</v>
      </c>
      <c r="G1493" s="37"/>
      <c r="H1493" s="46">
        <v>46239.0</v>
      </c>
      <c r="I1493" s="37" t="s">
        <v>1206</v>
      </c>
      <c r="J1493" s="17"/>
      <c r="K1493" s="17" t="s">
        <v>2231</v>
      </c>
      <c r="L1493" s="37" t="s">
        <v>58</v>
      </c>
      <c r="M1493" s="37"/>
      <c r="N1493" s="17"/>
      <c r="O1493" s="1"/>
      <c r="P1493" s="15"/>
      <c r="Q1493" s="15"/>
      <c r="R1493" s="1"/>
      <c r="S1493" s="1"/>
    </row>
    <row r="1494">
      <c r="A1494" s="1"/>
      <c r="B1494" s="3">
        <f t="shared" si="3"/>
        <v>1490</v>
      </c>
      <c r="C1494" s="31" t="s">
        <v>3422</v>
      </c>
      <c r="D1494" s="37" t="s">
        <v>49</v>
      </c>
      <c r="E1494" s="37" t="s">
        <v>1576</v>
      </c>
      <c r="F1494" s="43" t="s">
        <v>3423</v>
      </c>
      <c r="G1494" s="37"/>
      <c r="H1494" s="46">
        <v>46239.0</v>
      </c>
      <c r="I1494" s="37" t="s">
        <v>1206</v>
      </c>
      <c r="J1494" s="17"/>
      <c r="K1494" s="17"/>
      <c r="L1494" s="37" t="s">
        <v>189</v>
      </c>
      <c r="M1494" s="37"/>
      <c r="N1494" s="17"/>
      <c r="O1494" s="1"/>
      <c r="P1494" s="67" t="s">
        <v>3424</v>
      </c>
      <c r="Q1494" s="15"/>
      <c r="R1494" s="1"/>
      <c r="S1494" s="1"/>
    </row>
    <row r="1495">
      <c r="A1495" s="1"/>
      <c r="B1495" s="3">
        <f t="shared" si="3"/>
        <v>1491</v>
      </c>
      <c r="C1495" s="31" t="s">
        <v>3425</v>
      </c>
      <c r="D1495" s="37" t="s">
        <v>49</v>
      </c>
      <c r="E1495" s="37" t="s">
        <v>2184</v>
      </c>
      <c r="F1495" s="43" t="s">
        <v>3426</v>
      </c>
      <c r="G1495" s="37"/>
      <c r="H1495" s="46">
        <v>46239.0</v>
      </c>
      <c r="I1495" s="37" t="s">
        <v>1206</v>
      </c>
      <c r="J1495" s="17"/>
      <c r="K1495" s="17"/>
      <c r="L1495" s="37" t="s">
        <v>189</v>
      </c>
      <c r="M1495" s="37"/>
      <c r="N1495" s="17"/>
      <c r="O1495" s="1"/>
      <c r="P1495" s="67" t="s">
        <v>3427</v>
      </c>
      <c r="Q1495" s="15"/>
      <c r="R1495" s="1"/>
      <c r="S1495" s="1"/>
    </row>
    <row r="1496">
      <c r="A1496" s="1"/>
      <c r="B1496" s="3">
        <f t="shared" si="3"/>
        <v>1492</v>
      </c>
      <c r="C1496" s="31" t="s">
        <v>3428</v>
      </c>
      <c r="D1496" s="37" t="s">
        <v>47</v>
      </c>
      <c r="E1496" s="37" t="s">
        <v>1589</v>
      </c>
      <c r="F1496" s="43" t="s">
        <v>3429</v>
      </c>
      <c r="G1496" s="37"/>
      <c r="H1496" s="46">
        <v>46239.0</v>
      </c>
      <c r="I1496" s="37" t="s">
        <v>1206</v>
      </c>
      <c r="J1496" s="17"/>
      <c r="K1496" s="17" t="s">
        <v>533</v>
      </c>
      <c r="L1496" s="37" t="s">
        <v>58</v>
      </c>
      <c r="M1496" s="37"/>
      <c r="N1496" s="17"/>
      <c r="O1496" s="1"/>
      <c r="P1496" s="15"/>
      <c r="Q1496" s="15"/>
      <c r="R1496" s="1"/>
      <c r="S1496" s="1"/>
    </row>
    <row r="1497">
      <c r="A1497" s="1"/>
      <c r="B1497" s="3">
        <f t="shared" si="3"/>
        <v>1493</v>
      </c>
      <c r="C1497" s="31" t="s">
        <v>3430</v>
      </c>
      <c r="D1497" s="37" t="s">
        <v>56</v>
      </c>
      <c r="E1497" s="37" t="s">
        <v>1576</v>
      </c>
      <c r="F1497" s="43" t="s">
        <v>3431</v>
      </c>
      <c r="G1497" s="37"/>
      <c r="H1497" s="46">
        <v>46239.0</v>
      </c>
      <c r="I1497" s="37" t="s">
        <v>3027</v>
      </c>
      <c r="J1497" s="17"/>
      <c r="K1497" s="17" t="s">
        <v>2231</v>
      </c>
      <c r="L1497" s="37" t="s">
        <v>189</v>
      </c>
      <c r="M1497" s="37" t="s">
        <v>68</v>
      </c>
      <c r="N1497" s="17" t="s">
        <v>39</v>
      </c>
      <c r="O1497" s="1"/>
      <c r="P1497" s="15"/>
      <c r="Q1497" s="15"/>
      <c r="R1497" s="1"/>
      <c r="S1497" s="1"/>
    </row>
    <row r="1498">
      <c r="A1498" s="1"/>
      <c r="B1498" s="3">
        <f t="shared" si="3"/>
        <v>1494</v>
      </c>
      <c r="C1498" s="31" t="s">
        <v>3432</v>
      </c>
      <c r="D1498" s="37" t="s">
        <v>103</v>
      </c>
      <c r="E1498" s="37" t="s">
        <v>1535</v>
      </c>
      <c r="F1498" s="43" t="s">
        <v>3433</v>
      </c>
      <c r="G1498" s="37"/>
      <c r="H1498" s="46">
        <v>46239.0</v>
      </c>
      <c r="I1498" s="37" t="s">
        <v>1206</v>
      </c>
      <c r="J1498" s="17"/>
      <c r="K1498" s="17"/>
      <c r="L1498" s="37" t="s">
        <v>58</v>
      </c>
      <c r="M1498" s="37"/>
      <c r="N1498" s="17"/>
      <c r="O1498" s="1"/>
      <c r="P1498" s="67" t="s">
        <v>3434</v>
      </c>
      <c r="Q1498" s="15"/>
      <c r="R1498" s="1"/>
      <c r="S1498" s="1"/>
    </row>
    <row r="1499">
      <c r="A1499" s="1"/>
      <c r="B1499" s="3">
        <f t="shared" si="3"/>
        <v>1495</v>
      </c>
      <c r="C1499" s="31" t="s">
        <v>3435</v>
      </c>
      <c r="D1499" s="37" t="s">
        <v>112</v>
      </c>
      <c r="E1499" s="37" t="s">
        <v>3343</v>
      </c>
      <c r="F1499" s="43" t="s">
        <v>3436</v>
      </c>
      <c r="G1499" s="37"/>
      <c r="H1499" s="46">
        <v>46239.0</v>
      </c>
      <c r="I1499" s="37" t="s">
        <v>3027</v>
      </c>
      <c r="J1499" s="17"/>
      <c r="K1499" s="17" t="s">
        <v>571</v>
      </c>
      <c r="L1499" s="37" t="s">
        <v>189</v>
      </c>
      <c r="M1499" s="37"/>
      <c r="N1499" s="17"/>
      <c r="O1499" s="1"/>
      <c r="P1499" s="67" t="s">
        <v>3437</v>
      </c>
      <c r="Q1499" s="15"/>
      <c r="R1499" s="1"/>
      <c r="S1499" s="1"/>
    </row>
    <row r="1500">
      <c r="A1500" s="1"/>
      <c r="B1500" s="3">
        <f t="shared" si="3"/>
        <v>1496</v>
      </c>
      <c r="C1500" s="31" t="s">
        <v>3438</v>
      </c>
      <c r="D1500" s="37" t="s">
        <v>3439</v>
      </c>
      <c r="E1500" s="37" t="s">
        <v>3440</v>
      </c>
      <c r="F1500" s="43" t="s">
        <v>3441</v>
      </c>
      <c r="G1500" s="37"/>
      <c r="H1500" s="46">
        <v>46239.0</v>
      </c>
      <c r="I1500" s="37" t="s">
        <v>1206</v>
      </c>
      <c r="J1500" s="17"/>
      <c r="K1500" s="17"/>
      <c r="L1500" s="37" t="s">
        <v>58</v>
      </c>
      <c r="M1500" s="37"/>
      <c r="N1500" s="17"/>
      <c r="O1500" s="1"/>
      <c r="P1500" s="67" t="s">
        <v>3442</v>
      </c>
      <c r="Q1500" s="15"/>
      <c r="R1500" s="1"/>
      <c r="S1500" s="1"/>
    </row>
    <row r="1501">
      <c r="A1501" s="1"/>
      <c r="B1501" s="3">
        <f t="shared" si="3"/>
        <v>1497</v>
      </c>
      <c r="C1501" s="31" t="s">
        <v>3443</v>
      </c>
      <c r="D1501" s="37" t="s">
        <v>497</v>
      </c>
      <c r="E1501" s="37" t="s">
        <v>1285</v>
      </c>
      <c r="F1501" s="43" t="s">
        <v>3444</v>
      </c>
      <c r="G1501" s="37"/>
      <c r="H1501" s="46">
        <v>46239.0</v>
      </c>
      <c r="I1501" s="37" t="s">
        <v>3027</v>
      </c>
      <c r="J1501" s="17"/>
      <c r="K1501" s="17">
        <v>450.0</v>
      </c>
      <c r="L1501" s="37" t="s">
        <v>189</v>
      </c>
      <c r="M1501" s="37"/>
      <c r="N1501" s="17"/>
      <c r="O1501" s="1"/>
      <c r="P1501" s="15"/>
      <c r="Q1501" s="15"/>
      <c r="R1501" s="1"/>
      <c r="S1501" s="1"/>
    </row>
    <row r="1502">
      <c r="A1502" s="1"/>
      <c r="B1502" s="3">
        <f t="shared" si="3"/>
        <v>1498</v>
      </c>
      <c r="C1502" s="31" t="s">
        <v>3445</v>
      </c>
      <c r="D1502" s="37" t="s">
        <v>49</v>
      </c>
      <c r="E1502" s="37" t="s">
        <v>1589</v>
      </c>
      <c r="F1502" s="43" t="s">
        <v>3445</v>
      </c>
      <c r="G1502" s="37"/>
      <c r="H1502" s="46">
        <v>46239.0</v>
      </c>
      <c r="I1502" s="37" t="s">
        <v>3027</v>
      </c>
      <c r="J1502" s="17"/>
      <c r="K1502" s="17" t="s">
        <v>3446</v>
      </c>
      <c r="L1502" s="37" t="s">
        <v>58</v>
      </c>
      <c r="M1502" s="37" t="s">
        <v>57</v>
      </c>
      <c r="N1502" s="17" t="s">
        <v>28</v>
      </c>
      <c r="O1502" s="1"/>
      <c r="P1502" s="67" t="s">
        <v>3447</v>
      </c>
      <c r="Q1502" s="67" t="s">
        <v>3448</v>
      </c>
      <c r="R1502" s="1"/>
      <c r="S1502" s="1"/>
    </row>
    <row r="1503">
      <c r="A1503" s="1"/>
      <c r="B1503" s="3">
        <f t="shared" si="3"/>
        <v>1499</v>
      </c>
      <c r="C1503" s="31" t="s">
        <v>3346</v>
      </c>
      <c r="D1503" s="37" t="s">
        <v>47</v>
      </c>
      <c r="E1503" s="37" t="s">
        <v>1578</v>
      </c>
      <c r="F1503" s="1"/>
      <c r="G1503" s="37"/>
      <c r="H1503" s="46">
        <v>46239.0</v>
      </c>
      <c r="I1503" s="37" t="s">
        <v>1206</v>
      </c>
      <c r="J1503" s="17"/>
      <c r="K1503" s="17"/>
      <c r="L1503" s="37" t="s">
        <v>58</v>
      </c>
      <c r="M1503" s="37"/>
      <c r="N1503" s="17"/>
      <c r="O1503" s="1"/>
      <c r="P1503" s="67" t="s">
        <v>3449</v>
      </c>
      <c r="Q1503" s="15"/>
      <c r="R1503" s="1"/>
      <c r="S1503" s="1"/>
    </row>
    <row r="1504">
      <c r="A1504" s="1"/>
      <c r="B1504" s="3">
        <f t="shared" si="3"/>
        <v>1500</v>
      </c>
      <c r="C1504" s="31" t="s">
        <v>3450</v>
      </c>
      <c r="D1504" s="37" t="s">
        <v>116</v>
      </c>
      <c r="E1504" s="37" t="s">
        <v>3420</v>
      </c>
      <c r="F1504" s="1"/>
      <c r="G1504" s="37"/>
      <c r="H1504" s="46">
        <v>46239.0</v>
      </c>
      <c r="I1504" s="37" t="s">
        <v>3027</v>
      </c>
      <c r="J1504" s="17"/>
      <c r="K1504" s="17" t="s">
        <v>3451</v>
      </c>
      <c r="L1504" s="37" t="s">
        <v>58</v>
      </c>
      <c r="M1504" s="37"/>
      <c r="N1504" s="17"/>
      <c r="O1504" s="1"/>
      <c r="P1504" s="15"/>
      <c r="Q1504" s="15"/>
      <c r="R1504" s="1"/>
      <c r="S1504" s="1"/>
    </row>
    <row r="1505">
      <c r="A1505" s="1"/>
      <c r="B1505" s="3">
        <f t="shared" si="3"/>
        <v>1501</v>
      </c>
      <c r="C1505" s="31" t="s">
        <v>3452</v>
      </c>
      <c r="D1505" s="37" t="s">
        <v>112</v>
      </c>
      <c r="E1505" s="37" t="s">
        <v>1320</v>
      </c>
      <c r="F1505" s="43" t="s">
        <v>3453</v>
      </c>
      <c r="G1505" s="37"/>
      <c r="H1505" s="46">
        <v>46239.0</v>
      </c>
      <c r="I1505" s="37" t="s">
        <v>3027</v>
      </c>
      <c r="J1505" s="17"/>
      <c r="K1505" s="17" t="s">
        <v>3454</v>
      </c>
      <c r="L1505" s="37" t="s">
        <v>58</v>
      </c>
      <c r="M1505" s="37" t="s">
        <v>60</v>
      </c>
      <c r="N1505" s="17" t="s">
        <v>28</v>
      </c>
      <c r="O1505" s="1"/>
      <c r="P1505" s="67" t="s">
        <v>3455</v>
      </c>
      <c r="Q1505" s="15"/>
      <c r="R1505" s="1"/>
      <c r="S1505" s="1"/>
    </row>
    <row r="1506">
      <c r="A1506" s="1"/>
      <c r="B1506" s="3">
        <f t="shared" si="3"/>
        <v>1502</v>
      </c>
      <c r="C1506" s="31" t="s">
        <v>3456</v>
      </c>
      <c r="D1506" s="37" t="s">
        <v>96</v>
      </c>
      <c r="E1506" s="37" t="s">
        <v>1576</v>
      </c>
      <c r="F1506" s="43" t="s">
        <v>3457</v>
      </c>
      <c r="G1506" s="37"/>
      <c r="H1506" s="46">
        <v>46239.0</v>
      </c>
      <c r="I1506" s="37" t="s">
        <v>3027</v>
      </c>
      <c r="J1506" s="17"/>
      <c r="K1506" s="17">
        <v>500.0</v>
      </c>
      <c r="L1506" s="37" t="s">
        <v>58</v>
      </c>
      <c r="M1506" s="37" t="s">
        <v>65</v>
      </c>
      <c r="N1506" s="17" t="s">
        <v>28</v>
      </c>
      <c r="O1506" s="1"/>
      <c r="P1506" s="67" t="s">
        <v>3458</v>
      </c>
      <c r="Q1506" s="15"/>
      <c r="R1506" s="1"/>
      <c r="S1506" s="1"/>
    </row>
    <row r="1507">
      <c r="A1507" s="1"/>
      <c r="B1507" s="3">
        <f t="shared" si="3"/>
        <v>1503</v>
      </c>
      <c r="C1507" s="31" t="s">
        <v>3459</v>
      </c>
      <c r="D1507" s="37" t="s">
        <v>44</v>
      </c>
      <c r="E1507" s="37" t="s">
        <v>1953</v>
      </c>
      <c r="F1507" s="43" t="s">
        <v>3460</v>
      </c>
      <c r="G1507" s="37"/>
      <c r="H1507" s="46">
        <v>46246.0</v>
      </c>
      <c r="I1507" s="37" t="s">
        <v>3027</v>
      </c>
      <c r="J1507" s="17" t="s">
        <v>3461</v>
      </c>
      <c r="K1507" s="17"/>
      <c r="L1507" s="37" t="s">
        <v>189</v>
      </c>
      <c r="M1507" s="37"/>
      <c r="N1507" s="17"/>
      <c r="O1507" s="1"/>
      <c r="P1507" s="15"/>
      <c r="Q1507" s="15"/>
      <c r="R1507" s="1"/>
      <c r="S1507" s="1"/>
    </row>
    <row r="1508">
      <c r="A1508" s="1"/>
      <c r="B1508" s="3">
        <f t="shared" si="3"/>
        <v>1504</v>
      </c>
      <c r="C1508" s="31" t="s">
        <v>3462</v>
      </c>
      <c r="D1508" s="37" t="s">
        <v>83</v>
      </c>
      <c r="E1508" s="37" t="s">
        <v>1896</v>
      </c>
      <c r="F1508" s="43" t="s">
        <v>3463</v>
      </c>
      <c r="G1508" s="37"/>
      <c r="H1508" s="46">
        <v>46246.0</v>
      </c>
      <c r="I1508" s="37" t="s">
        <v>1206</v>
      </c>
      <c r="J1508" s="17"/>
      <c r="K1508" s="17"/>
      <c r="L1508" s="37" t="s">
        <v>58</v>
      </c>
      <c r="M1508" s="37" t="s">
        <v>45</v>
      </c>
      <c r="N1508" s="17"/>
      <c r="O1508" s="153">
        <v>46273.0</v>
      </c>
      <c r="P1508" s="15"/>
      <c r="Q1508" s="15"/>
      <c r="R1508" s="1"/>
      <c r="S1508" s="1"/>
    </row>
    <row r="1509">
      <c r="A1509" s="1"/>
      <c r="B1509" s="3">
        <f t="shared" si="3"/>
        <v>1505</v>
      </c>
      <c r="C1509" s="31" t="s">
        <v>3464</v>
      </c>
      <c r="D1509" s="37" t="s">
        <v>112</v>
      </c>
      <c r="E1509" s="37" t="s">
        <v>3343</v>
      </c>
      <c r="F1509" s="43" t="s">
        <v>3465</v>
      </c>
      <c r="G1509" s="37"/>
      <c r="H1509" s="46">
        <v>46246.0</v>
      </c>
      <c r="I1509" s="37" t="s">
        <v>1206</v>
      </c>
      <c r="J1509" s="17"/>
      <c r="K1509" s="17"/>
      <c r="L1509" s="37" t="s">
        <v>58</v>
      </c>
      <c r="M1509" s="37"/>
      <c r="N1509" s="17"/>
      <c r="O1509" s="1"/>
      <c r="P1509" s="15"/>
      <c r="Q1509" s="15"/>
      <c r="R1509" s="1"/>
      <c r="S1509" s="1"/>
    </row>
    <row r="1510">
      <c r="A1510" s="1"/>
      <c r="B1510" s="3">
        <f t="shared" si="3"/>
        <v>1506</v>
      </c>
      <c r="C1510" s="31" t="s">
        <v>3466</v>
      </c>
      <c r="D1510" s="37" t="s">
        <v>116</v>
      </c>
      <c r="E1510" s="37" t="s">
        <v>3467</v>
      </c>
      <c r="F1510" s="43" t="s">
        <v>3468</v>
      </c>
      <c r="G1510" s="37"/>
      <c r="H1510" s="46">
        <v>46246.0</v>
      </c>
      <c r="I1510" s="37" t="s">
        <v>3027</v>
      </c>
      <c r="J1510" s="17"/>
      <c r="K1510" s="17"/>
      <c r="L1510" s="37" t="s">
        <v>58</v>
      </c>
      <c r="M1510" s="37"/>
      <c r="N1510" s="17"/>
      <c r="O1510" s="1"/>
      <c r="P1510" s="67" t="s">
        <v>3469</v>
      </c>
      <c r="Q1510" s="15"/>
      <c r="R1510" s="1"/>
      <c r="S1510" s="1"/>
    </row>
    <row r="1511">
      <c r="A1511" s="1"/>
      <c r="B1511" s="3">
        <f t="shared" si="3"/>
        <v>1507</v>
      </c>
      <c r="C1511" s="31" t="s">
        <v>3470</v>
      </c>
      <c r="D1511" s="37" t="s">
        <v>49</v>
      </c>
      <c r="E1511" s="37" t="s">
        <v>1285</v>
      </c>
      <c r="F1511" s="43" t="s">
        <v>3471</v>
      </c>
      <c r="G1511" s="37"/>
      <c r="H1511" s="46">
        <v>46246.0</v>
      </c>
      <c r="I1511" s="37" t="s">
        <v>3027</v>
      </c>
      <c r="J1511" s="17" t="s">
        <v>2382</v>
      </c>
      <c r="K1511" s="17"/>
      <c r="L1511" s="37" t="s">
        <v>58</v>
      </c>
      <c r="M1511" s="37"/>
      <c r="N1511" s="17"/>
      <c r="O1511" s="1"/>
      <c r="P1511" s="15"/>
      <c r="Q1511" s="15"/>
      <c r="R1511" s="1"/>
      <c r="S1511" s="1"/>
    </row>
    <row r="1512">
      <c r="A1512" s="1"/>
      <c r="B1512" s="3">
        <f t="shared" si="3"/>
        <v>1508</v>
      </c>
      <c r="C1512" s="31" t="s">
        <v>3472</v>
      </c>
      <c r="D1512" s="37" t="s">
        <v>49</v>
      </c>
      <c r="E1512" s="37" t="s">
        <v>3473</v>
      </c>
      <c r="F1512" s="43" t="s">
        <v>3474</v>
      </c>
      <c r="G1512" s="37"/>
      <c r="H1512" s="46">
        <v>46246.0</v>
      </c>
      <c r="I1512" s="37" t="s">
        <v>3027</v>
      </c>
      <c r="J1512" s="17"/>
      <c r="K1512" s="17" t="s">
        <v>533</v>
      </c>
      <c r="L1512" s="37" t="s">
        <v>58</v>
      </c>
      <c r="M1512" s="37"/>
      <c r="N1512" s="17"/>
      <c r="O1512" s="1"/>
      <c r="P1512" s="15"/>
      <c r="Q1512" s="15"/>
      <c r="R1512" s="1"/>
      <c r="S1512" s="1"/>
    </row>
    <row r="1513">
      <c r="A1513" s="1"/>
      <c r="B1513" s="3">
        <f t="shared" si="3"/>
        <v>1509</v>
      </c>
      <c r="C1513" s="31" t="s">
        <v>3475</v>
      </c>
      <c r="D1513" s="37" t="s">
        <v>44</v>
      </c>
      <c r="E1513" s="37" t="s">
        <v>1574</v>
      </c>
      <c r="F1513" s="43" t="s">
        <v>3476</v>
      </c>
      <c r="G1513" s="37"/>
      <c r="H1513" s="46">
        <v>46246.0</v>
      </c>
      <c r="I1513" s="37" t="s">
        <v>3027</v>
      </c>
      <c r="J1513" s="17"/>
      <c r="K1513" s="17" t="s">
        <v>3477</v>
      </c>
      <c r="L1513" s="37" t="s">
        <v>58</v>
      </c>
      <c r="M1513" s="37"/>
      <c r="N1513" s="17"/>
      <c r="O1513" s="1"/>
      <c r="P1513" s="15"/>
      <c r="Q1513" s="15"/>
      <c r="R1513" s="1"/>
      <c r="S1513" s="1"/>
    </row>
    <row r="1514">
      <c r="A1514" s="1"/>
      <c r="B1514" s="3">
        <f t="shared" si="3"/>
        <v>1510</v>
      </c>
      <c r="C1514" s="31" t="s">
        <v>3478</v>
      </c>
      <c r="D1514" s="37" t="s">
        <v>49</v>
      </c>
      <c r="E1514" s="37" t="s">
        <v>1595</v>
      </c>
      <c r="F1514" s="43" t="s">
        <v>3479</v>
      </c>
      <c r="G1514" s="37"/>
      <c r="H1514" s="46">
        <v>46246.0</v>
      </c>
      <c r="I1514" s="37" t="s">
        <v>3027</v>
      </c>
      <c r="J1514" s="17"/>
      <c r="K1514" s="17" t="s">
        <v>3480</v>
      </c>
      <c r="L1514" s="37" t="s">
        <v>58</v>
      </c>
      <c r="M1514" s="37"/>
      <c r="N1514" s="17"/>
      <c r="O1514" s="1"/>
      <c r="P1514" s="15"/>
      <c r="Q1514" s="15"/>
      <c r="R1514" s="1"/>
      <c r="S1514" s="1"/>
    </row>
    <row r="1515">
      <c r="A1515" s="1"/>
      <c r="B1515" s="3">
        <f t="shared" si="3"/>
        <v>1511</v>
      </c>
      <c r="C1515" s="31" t="s">
        <v>3481</v>
      </c>
      <c r="D1515" s="37" t="s">
        <v>83</v>
      </c>
      <c r="E1515" s="37" t="s">
        <v>1600</v>
      </c>
      <c r="F1515" s="43" t="s">
        <v>3482</v>
      </c>
      <c r="G1515" s="37"/>
      <c r="H1515" s="46">
        <v>46246.0</v>
      </c>
      <c r="I1515" s="37" t="s">
        <v>3027</v>
      </c>
      <c r="J1515" s="17"/>
      <c r="K1515" s="17" t="s">
        <v>3483</v>
      </c>
      <c r="L1515" s="37" t="s">
        <v>58</v>
      </c>
      <c r="M1515" s="37"/>
      <c r="N1515" s="17"/>
      <c r="O1515" s="1"/>
      <c r="P1515" s="15"/>
      <c r="Q1515" s="15"/>
      <c r="R1515" s="1"/>
      <c r="S1515" s="1"/>
    </row>
    <row r="1516">
      <c r="A1516" s="1"/>
      <c r="B1516" s="3">
        <f t="shared" si="3"/>
        <v>1512</v>
      </c>
      <c r="C1516" s="150" t="s">
        <v>3484</v>
      </c>
      <c r="D1516" s="37" t="s">
        <v>116</v>
      </c>
      <c r="E1516" s="37" t="s">
        <v>1535</v>
      </c>
      <c r="F1516" s="43" t="s">
        <v>3485</v>
      </c>
      <c r="G1516" s="37"/>
      <c r="H1516" s="46">
        <v>46246.0</v>
      </c>
      <c r="I1516" s="37" t="s">
        <v>3027</v>
      </c>
      <c r="J1516" s="17"/>
      <c r="K1516" s="17" t="s">
        <v>1256</v>
      </c>
      <c r="L1516" s="37" t="s">
        <v>58</v>
      </c>
      <c r="M1516" s="37"/>
      <c r="N1516" s="17"/>
      <c r="O1516" s="1"/>
      <c r="P1516" s="15"/>
      <c r="Q1516" s="15"/>
      <c r="R1516" s="1"/>
      <c r="S1516" s="1"/>
    </row>
    <row r="1517">
      <c r="A1517" s="1"/>
      <c r="B1517" s="3">
        <f t="shared" si="3"/>
        <v>1513</v>
      </c>
      <c r="C1517" s="31" t="s">
        <v>2127</v>
      </c>
      <c r="D1517" s="37" t="s">
        <v>44</v>
      </c>
      <c r="E1517" s="37" t="s">
        <v>1285</v>
      </c>
      <c r="F1517" s="43" t="s">
        <v>3486</v>
      </c>
      <c r="G1517" s="37"/>
      <c r="H1517" s="46">
        <v>46246.0</v>
      </c>
      <c r="I1517" s="37" t="s">
        <v>3027</v>
      </c>
      <c r="J1517" s="17" t="s">
        <v>518</v>
      </c>
      <c r="K1517" s="17"/>
      <c r="L1517" s="37" t="s">
        <v>58</v>
      </c>
      <c r="M1517" s="37"/>
      <c r="N1517" s="17"/>
      <c r="O1517" s="1"/>
      <c r="P1517" s="15"/>
      <c r="Q1517" s="15"/>
      <c r="R1517" s="1"/>
      <c r="S1517" s="1"/>
    </row>
    <row r="1518">
      <c r="A1518" s="1"/>
      <c r="B1518" s="3">
        <f t="shared" si="3"/>
        <v>1514</v>
      </c>
      <c r="C1518" s="31" t="s">
        <v>3487</v>
      </c>
      <c r="D1518" s="37" t="s">
        <v>38</v>
      </c>
      <c r="E1518" s="37" t="s">
        <v>3488</v>
      </c>
      <c r="F1518" s="43" t="s">
        <v>3489</v>
      </c>
      <c r="G1518" s="37"/>
      <c r="H1518" s="46">
        <v>46246.0</v>
      </c>
      <c r="I1518" s="37" t="s">
        <v>3027</v>
      </c>
      <c r="J1518" s="17" t="s">
        <v>765</v>
      </c>
      <c r="K1518" s="17"/>
      <c r="L1518" s="37" t="s">
        <v>58</v>
      </c>
      <c r="M1518" s="37"/>
      <c r="N1518" s="17"/>
      <c r="O1518" s="1"/>
      <c r="P1518" s="67" t="s">
        <v>3490</v>
      </c>
      <c r="Q1518" s="15"/>
      <c r="R1518" s="1"/>
      <c r="S1518" s="1"/>
    </row>
    <row r="1519">
      <c r="A1519" s="1"/>
      <c r="B1519" s="3">
        <f t="shared" si="3"/>
        <v>1515</v>
      </c>
      <c r="C1519" s="31" t="s">
        <v>3491</v>
      </c>
      <c r="D1519" s="37"/>
      <c r="E1519" s="37" t="s">
        <v>1285</v>
      </c>
      <c r="F1519" s="43" t="s">
        <v>3492</v>
      </c>
      <c r="G1519" s="37"/>
      <c r="H1519" s="46">
        <v>46246.0</v>
      </c>
      <c r="I1519" s="37" t="s">
        <v>3027</v>
      </c>
      <c r="J1519" s="17"/>
      <c r="K1519" s="17" t="s">
        <v>557</v>
      </c>
      <c r="L1519" s="37" t="s">
        <v>189</v>
      </c>
      <c r="M1519" s="37"/>
      <c r="N1519" s="17"/>
      <c r="O1519" s="1"/>
      <c r="P1519" s="15"/>
      <c r="Q1519" s="15"/>
      <c r="R1519" s="1"/>
      <c r="S1519" s="1"/>
    </row>
    <row r="1520">
      <c r="A1520" s="1"/>
      <c r="B1520" s="3">
        <f t="shared" si="3"/>
        <v>1516</v>
      </c>
      <c r="C1520" s="31" t="s">
        <v>3493</v>
      </c>
      <c r="D1520" s="37" t="s">
        <v>49</v>
      </c>
      <c r="E1520" s="37" t="s">
        <v>3123</v>
      </c>
      <c r="F1520" s="43" t="s">
        <v>3494</v>
      </c>
      <c r="G1520" s="37"/>
      <c r="H1520" s="46">
        <v>46246.0</v>
      </c>
      <c r="I1520" s="37" t="s">
        <v>3027</v>
      </c>
      <c r="J1520" s="17"/>
      <c r="K1520" s="17" t="s">
        <v>3495</v>
      </c>
      <c r="L1520" s="37" t="s">
        <v>58</v>
      </c>
      <c r="M1520" s="37"/>
      <c r="N1520" s="17"/>
      <c r="O1520" s="1"/>
      <c r="P1520" s="15"/>
      <c r="Q1520" s="15"/>
      <c r="R1520" s="1"/>
      <c r="S1520" s="1"/>
    </row>
    <row r="1521">
      <c r="A1521" s="1"/>
      <c r="B1521" s="3">
        <f t="shared" si="3"/>
        <v>1517</v>
      </c>
      <c r="C1521" s="31" t="s">
        <v>3496</v>
      </c>
      <c r="D1521" s="37" t="s">
        <v>83</v>
      </c>
      <c r="E1521" s="37" t="s">
        <v>1312</v>
      </c>
      <c r="F1521" s="43" t="s">
        <v>3497</v>
      </c>
      <c r="G1521" s="37"/>
      <c r="H1521" s="46">
        <v>46246.0</v>
      </c>
      <c r="I1521" s="37" t="s">
        <v>3027</v>
      </c>
      <c r="J1521" s="17" t="s">
        <v>3498</v>
      </c>
      <c r="K1521" s="17"/>
      <c r="L1521" s="37" t="s">
        <v>58</v>
      </c>
      <c r="M1521" s="37" t="s">
        <v>68</v>
      </c>
      <c r="N1521" s="17"/>
      <c r="O1521" s="1"/>
      <c r="P1521" s="67" t="s">
        <v>3499</v>
      </c>
      <c r="Q1521" s="15"/>
      <c r="R1521" s="1"/>
      <c r="S1521" s="1"/>
    </row>
    <row r="1522">
      <c r="A1522" s="1"/>
      <c r="B1522" s="3">
        <f t="shared" si="3"/>
        <v>1518</v>
      </c>
      <c r="C1522" s="151" t="s">
        <v>3500</v>
      </c>
      <c r="D1522" s="37" t="s">
        <v>83</v>
      </c>
      <c r="E1522" s="37" t="s">
        <v>1589</v>
      </c>
      <c r="F1522" s="43" t="s">
        <v>3501</v>
      </c>
      <c r="G1522" s="37"/>
      <c r="H1522" s="46">
        <v>46246.0</v>
      </c>
      <c r="I1522" s="37" t="s">
        <v>3027</v>
      </c>
      <c r="J1522" s="17"/>
      <c r="K1522" s="17" t="s">
        <v>571</v>
      </c>
      <c r="L1522" s="37" t="s">
        <v>58</v>
      </c>
      <c r="M1522" s="37"/>
      <c r="N1522" s="17"/>
      <c r="O1522" s="1"/>
      <c r="P1522" s="15"/>
      <c r="Q1522" s="15"/>
      <c r="R1522" s="1"/>
      <c r="S1522" s="1"/>
    </row>
    <row r="1523">
      <c r="A1523" s="1"/>
      <c r="B1523" s="3">
        <f t="shared" si="3"/>
        <v>1519</v>
      </c>
      <c r="C1523" s="150" t="s">
        <v>3502</v>
      </c>
      <c r="D1523" s="37" t="s">
        <v>116</v>
      </c>
      <c r="E1523" s="37" t="s">
        <v>1285</v>
      </c>
      <c r="F1523" s="43" t="s">
        <v>3503</v>
      </c>
      <c r="G1523" s="37"/>
      <c r="H1523" s="46">
        <v>46246.0</v>
      </c>
      <c r="I1523" s="37" t="s">
        <v>3027</v>
      </c>
      <c r="J1523" s="17"/>
      <c r="K1523" s="17" t="s">
        <v>2231</v>
      </c>
      <c r="L1523" s="37" t="s">
        <v>58</v>
      </c>
      <c r="M1523" s="37"/>
      <c r="N1523" s="17"/>
      <c r="O1523" s="1"/>
      <c r="P1523" s="15"/>
      <c r="Q1523" s="15"/>
      <c r="R1523" s="1"/>
      <c r="S1523" s="1"/>
    </row>
    <row r="1524">
      <c r="A1524" s="1"/>
      <c r="B1524" s="3">
        <f t="shared" si="3"/>
        <v>1520</v>
      </c>
      <c r="C1524" s="31" t="s">
        <v>3504</v>
      </c>
      <c r="D1524" s="37" t="s">
        <v>49</v>
      </c>
      <c r="E1524" s="37" t="s">
        <v>2070</v>
      </c>
      <c r="F1524" s="43" t="s">
        <v>3505</v>
      </c>
      <c r="G1524" s="37"/>
      <c r="H1524" s="46">
        <v>46246.0</v>
      </c>
      <c r="I1524" s="37" t="s">
        <v>3027</v>
      </c>
      <c r="J1524" s="17"/>
      <c r="K1524" s="17"/>
      <c r="L1524" s="37" t="s">
        <v>189</v>
      </c>
      <c r="M1524" s="37"/>
      <c r="N1524" s="17"/>
      <c r="O1524" s="1"/>
      <c r="P1524" s="15"/>
      <c r="Q1524" s="15"/>
      <c r="R1524" s="1"/>
      <c r="S1524" s="1"/>
    </row>
    <row r="1525">
      <c r="A1525" s="1"/>
      <c r="B1525" s="3">
        <f t="shared" si="3"/>
        <v>1521</v>
      </c>
      <c r="C1525" s="31" t="s">
        <v>3506</v>
      </c>
      <c r="D1525" s="37" t="s">
        <v>112</v>
      </c>
      <c r="E1525" s="37" t="s">
        <v>3507</v>
      </c>
      <c r="F1525" s="43" t="s">
        <v>3508</v>
      </c>
      <c r="G1525" s="37"/>
      <c r="H1525" s="46">
        <v>46246.0</v>
      </c>
      <c r="I1525" s="37" t="s">
        <v>3027</v>
      </c>
      <c r="J1525" s="17"/>
      <c r="K1525" s="17" t="s">
        <v>3509</v>
      </c>
      <c r="L1525" s="37" t="s">
        <v>189</v>
      </c>
      <c r="M1525" s="37"/>
      <c r="N1525" s="17"/>
      <c r="O1525" s="1"/>
      <c r="P1525" s="15"/>
      <c r="Q1525" s="15"/>
      <c r="R1525" s="1"/>
      <c r="S1525" s="1"/>
    </row>
    <row r="1526">
      <c r="A1526" s="1"/>
      <c r="B1526" s="3">
        <f t="shared" si="3"/>
        <v>1522</v>
      </c>
      <c r="C1526" s="31" t="s">
        <v>3510</v>
      </c>
      <c r="D1526" s="37" t="s">
        <v>112</v>
      </c>
      <c r="E1526" s="37" t="s">
        <v>2465</v>
      </c>
      <c r="F1526" s="43" t="s">
        <v>3511</v>
      </c>
      <c r="G1526" s="37"/>
      <c r="H1526" s="46">
        <v>46246.0</v>
      </c>
      <c r="I1526" s="37" t="s">
        <v>3027</v>
      </c>
      <c r="J1526" s="17"/>
      <c r="K1526" s="17" t="s">
        <v>2231</v>
      </c>
      <c r="L1526" s="37" t="s">
        <v>189</v>
      </c>
      <c r="M1526" s="37"/>
      <c r="N1526" s="17"/>
      <c r="O1526" s="1"/>
      <c r="P1526" s="15"/>
      <c r="Q1526" s="15"/>
      <c r="R1526" s="1"/>
      <c r="S1526" s="1"/>
    </row>
    <row r="1527">
      <c r="A1527" s="1"/>
      <c r="B1527" s="3">
        <f t="shared" si="3"/>
        <v>1523</v>
      </c>
      <c r="C1527" s="31" t="s">
        <v>3512</v>
      </c>
      <c r="D1527" s="37" t="s">
        <v>103</v>
      </c>
      <c r="E1527" s="37" t="s">
        <v>1300</v>
      </c>
      <c r="F1527" s="43" t="s">
        <v>3513</v>
      </c>
      <c r="G1527" s="37"/>
      <c r="H1527" s="46">
        <v>46246.0</v>
      </c>
      <c r="I1527" s="37" t="s">
        <v>3027</v>
      </c>
      <c r="J1527" s="17"/>
      <c r="K1527" s="17"/>
      <c r="L1527" s="37" t="s">
        <v>58</v>
      </c>
      <c r="M1527" s="37"/>
      <c r="N1527" s="17"/>
      <c r="O1527" s="1"/>
      <c r="P1527" s="15"/>
      <c r="Q1527" s="15"/>
      <c r="R1527" s="1"/>
      <c r="S1527" s="1"/>
    </row>
    <row r="1528">
      <c r="A1528" s="1"/>
      <c r="B1528" s="3">
        <f t="shared" si="3"/>
        <v>1524</v>
      </c>
      <c r="C1528" s="31" t="s">
        <v>3514</v>
      </c>
      <c r="D1528" s="37" t="s">
        <v>49</v>
      </c>
      <c r="E1528" s="37" t="s">
        <v>3515</v>
      </c>
      <c r="F1528" s="43" t="s">
        <v>3516</v>
      </c>
      <c r="G1528" s="37"/>
      <c r="H1528" s="46">
        <v>46246.0</v>
      </c>
      <c r="I1528" s="37" t="s">
        <v>3027</v>
      </c>
      <c r="J1528" s="17"/>
      <c r="K1528" s="17" t="s">
        <v>1256</v>
      </c>
      <c r="L1528" s="37" t="s">
        <v>58</v>
      </c>
      <c r="M1528" s="37" t="s">
        <v>53</v>
      </c>
      <c r="N1528" s="17"/>
      <c r="O1528" s="1"/>
      <c r="P1528" s="15"/>
      <c r="Q1528" s="15"/>
      <c r="R1528" s="1"/>
      <c r="S1528" s="1"/>
    </row>
    <row r="1529">
      <c r="A1529" s="1"/>
      <c r="B1529" s="3">
        <f t="shared" si="3"/>
        <v>1525</v>
      </c>
      <c r="C1529" s="31" t="s">
        <v>3517</v>
      </c>
      <c r="D1529" s="37" t="s">
        <v>96</v>
      </c>
      <c r="E1529" s="37" t="s">
        <v>1731</v>
      </c>
      <c r="F1529" s="43" t="s">
        <v>3518</v>
      </c>
      <c r="G1529" s="37"/>
      <c r="H1529" s="46">
        <v>46246.0</v>
      </c>
      <c r="I1529" s="37" t="s">
        <v>3027</v>
      </c>
      <c r="J1529" s="17"/>
      <c r="K1529" s="17" t="s">
        <v>533</v>
      </c>
      <c r="L1529" s="37" t="s">
        <v>58</v>
      </c>
      <c r="M1529" s="37" t="s">
        <v>60</v>
      </c>
      <c r="N1529" s="17"/>
      <c r="O1529" s="1"/>
      <c r="P1529" s="67" t="s">
        <v>3519</v>
      </c>
      <c r="Q1529" s="67" t="s">
        <v>3520</v>
      </c>
      <c r="R1529" s="1"/>
      <c r="S1529" s="1"/>
    </row>
    <row r="1530">
      <c r="A1530" s="1"/>
      <c r="B1530" s="3">
        <f t="shared" si="3"/>
        <v>1526</v>
      </c>
      <c r="C1530" s="31" t="s">
        <v>3521</v>
      </c>
      <c r="D1530" s="37" t="s">
        <v>96</v>
      </c>
      <c r="E1530" s="37" t="s">
        <v>2465</v>
      </c>
      <c r="F1530" s="43" t="s">
        <v>3522</v>
      </c>
      <c r="G1530" s="37"/>
      <c r="H1530" s="46">
        <v>46246.0</v>
      </c>
      <c r="I1530" s="37" t="s">
        <v>3027</v>
      </c>
      <c r="J1530" s="17">
        <v>900.0</v>
      </c>
      <c r="K1530" s="17"/>
      <c r="L1530" s="37" t="s">
        <v>58</v>
      </c>
      <c r="M1530" s="37" t="s">
        <v>45</v>
      </c>
      <c r="N1530" s="17"/>
      <c r="O1530" s="1"/>
      <c r="P1530" s="67" t="s">
        <v>3523</v>
      </c>
      <c r="Q1530" s="15"/>
      <c r="R1530" s="1"/>
      <c r="S1530" s="1"/>
    </row>
    <row r="1531">
      <c r="A1531" s="1"/>
      <c r="B1531" s="3">
        <f t="shared" si="3"/>
        <v>1527</v>
      </c>
      <c r="C1531" s="31" t="s">
        <v>3524</v>
      </c>
      <c r="D1531" s="37" t="s">
        <v>96</v>
      </c>
      <c r="E1531" s="37" t="s">
        <v>1646</v>
      </c>
      <c r="F1531" s="43" t="s">
        <v>3525</v>
      </c>
      <c r="G1531" s="37"/>
      <c r="H1531" s="46">
        <v>46246.0</v>
      </c>
      <c r="I1531" s="37" t="s">
        <v>3027</v>
      </c>
      <c r="J1531" s="17"/>
      <c r="K1531" s="17">
        <v>400.0</v>
      </c>
      <c r="L1531" s="37" t="s">
        <v>58</v>
      </c>
      <c r="M1531" s="37"/>
      <c r="N1531" s="17"/>
      <c r="O1531" s="1"/>
      <c r="P1531" s="67" t="s">
        <v>3526</v>
      </c>
      <c r="Q1531" s="15"/>
      <c r="R1531" s="1"/>
      <c r="S1531" s="1"/>
    </row>
    <row r="1532">
      <c r="A1532" s="1"/>
      <c r="B1532" s="3">
        <f t="shared" si="3"/>
        <v>1528</v>
      </c>
      <c r="C1532" s="31" t="s">
        <v>3527</v>
      </c>
      <c r="D1532" s="37" t="s">
        <v>44</v>
      </c>
      <c r="E1532" s="37" t="s">
        <v>1589</v>
      </c>
      <c r="F1532" s="43" t="s">
        <v>3528</v>
      </c>
      <c r="G1532" s="37"/>
      <c r="H1532" s="46">
        <v>46246.0</v>
      </c>
      <c r="I1532" s="37" t="s">
        <v>1206</v>
      </c>
      <c r="J1532" s="17"/>
      <c r="K1532" s="17">
        <v>300.0</v>
      </c>
      <c r="L1532" s="37" t="s">
        <v>58</v>
      </c>
      <c r="M1532" s="37"/>
      <c r="N1532" s="17"/>
      <c r="O1532" s="1"/>
      <c r="P1532" s="15"/>
      <c r="Q1532" s="15"/>
      <c r="R1532" s="1"/>
      <c r="S1532" s="1"/>
    </row>
    <row r="1533">
      <c r="A1533" s="1"/>
      <c r="B1533" s="3">
        <f t="shared" si="3"/>
        <v>1529</v>
      </c>
      <c r="C1533" s="31" t="s">
        <v>3529</v>
      </c>
      <c r="D1533" s="37" t="s">
        <v>56</v>
      </c>
      <c r="E1533" s="37" t="s">
        <v>1600</v>
      </c>
      <c r="F1533" s="43" t="s">
        <v>3530</v>
      </c>
      <c r="G1533" s="37"/>
      <c r="H1533" s="46">
        <v>46246.0</v>
      </c>
      <c r="I1533" s="37" t="s">
        <v>1206</v>
      </c>
      <c r="J1533" s="17"/>
      <c r="K1533" s="17" t="s">
        <v>3531</v>
      </c>
      <c r="L1533" s="37" t="s">
        <v>58</v>
      </c>
      <c r="M1533" s="37"/>
      <c r="N1533" s="17"/>
      <c r="O1533" s="1"/>
      <c r="P1533" s="15"/>
      <c r="Q1533" s="15"/>
      <c r="R1533" s="1"/>
      <c r="S1533" s="1"/>
    </row>
    <row r="1534">
      <c r="A1534" s="1"/>
      <c r="B1534" s="3">
        <f t="shared" si="3"/>
        <v>1530</v>
      </c>
      <c r="C1534" s="31" t="s">
        <v>3532</v>
      </c>
      <c r="D1534" s="37" t="s">
        <v>1505</v>
      </c>
      <c r="E1534" s="37" t="s">
        <v>1535</v>
      </c>
      <c r="F1534" s="43" t="s">
        <v>3533</v>
      </c>
      <c r="G1534" s="37"/>
      <c r="H1534" s="46">
        <v>46246.0</v>
      </c>
      <c r="I1534" s="37" t="s">
        <v>1206</v>
      </c>
      <c r="J1534" s="17"/>
      <c r="K1534" s="17"/>
      <c r="L1534" s="37" t="s">
        <v>58</v>
      </c>
      <c r="M1534" s="37"/>
      <c r="N1534" s="17"/>
      <c r="O1534" s="1"/>
      <c r="P1534" s="67" t="s">
        <v>3534</v>
      </c>
      <c r="Q1534" s="15"/>
      <c r="R1534" s="1"/>
      <c r="S1534" s="1"/>
    </row>
    <row r="1535">
      <c r="A1535" s="1"/>
      <c r="B1535" s="3">
        <f t="shared" si="3"/>
        <v>1531</v>
      </c>
      <c r="C1535" s="31" t="s">
        <v>3535</v>
      </c>
      <c r="D1535" s="37" t="s">
        <v>44</v>
      </c>
      <c r="E1535" s="37" t="s">
        <v>3536</v>
      </c>
      <c r="F1535" s="43" t="s">
        <v>3537</v>
      </c>
      <c r="G1535" s="37"/>
      <c r="H1535" s="46">
        <v>46246.0</v>
      </c>
      <c r="I1535" s="37" t="s">
        <v>3027</v>
      </c>
      <c r="J1535" s="17"/>
      <c r="K1535" s="17" t="s">
        <v>2231</v>
      </c>
      <c r="L1535" s="37" t="s">
        <v>58</v>
      </c>
      <c r="M1535" s="37"/>
      <c r="N1535" s="17"/>
      <c r="O1535" s="1"/>
      <c r="P1535" s="67" t="s">
        <v>3538</v>
      </c>
      <c r="Q1535" s="15"/>
      <c r="R1535" s="1"/>
      <c r="S1535" s="1"/>
    </row>
    <row r="1536">
      <c r="A1536" s="1"/>
      <c r="B1536" s="3">
        <f t="shared" si="3"/>
        <v>1532</v>
      </c>
      <c r="C1536" s="31" t="s">
        <v>3539</v>
      </c>
      <c r="D1536" s="37" t="s">
        <v>44</v>
      </c>
      <c r="E1536" s="37" t="s">
        <v>3364</v>
      </c>
      <c r="F1536" s="43" t="s">
        <v>3540</v>
      </c>
      <c r="G1536" s="37"/>
      <c r="H1536" s="46">
        <v>46246.0</v>
      </c>
      <c r="I1536" s="37" t="s">
        <v>1206</v>
      </c>
      <c r="J1536" s="17"/>
      <c r="K1536" s="17"/>
      <c r="L1536" s="37" t="s">
        <v>58</v>
      </c>
      <c r="M1536" s="37" t="s">
        <v>74</v>
      </c>
      <c r="N1536" s="17"/>
      <c r="O1536" s="1"/>
      <c r="P1536" s="67" t="s">
        <v>3541</v>
      </c>
      <c r="Q1536" s="15"/>
      <c r="R1536" s="1"/>
      <c r="S1536" s="1"/>
    </row>
    <row r="1537">
      <c r="A1537" s="1"/>
      <c r="B1537" s="3">
        <f t="shared" si="3"/>
        <v>1533</v>
      </c>
      <c r="C1537" s="31" t="s">
        <v>3542</v>
      </c>
      <c r="D1537" s="37" t="s">
        <v>44</v>
      </c>
      <c r="E1537" s="37" t="s">
        <v>1959</v>
      </c>
      <c r="F1537" s="43" t="s">
        <v>3543</v>
      </c>
      <c r="G1537" s="37"/>
      <c r="H1537" s="46">
        <v>46246.0</v>
      </c>
      <c r="I1537" s="37" t="s">
        <v>3027</v>
      </c>
      <c r="J1537" s="17">
        <v>400.0</v>
      </c>
      <c r="K1537" s="17"/>
      <c r="L1537" s="37" t="s">
        <v>58</v>
      </c>
      <c r="M1537" s="37"/>
      <c r="N1537" s="17"/>
      <c r="O1537" s="1"/>
      <c r="P1537" s="15"/>
      <c r="Q1537" s="15"/>
      <c r="R1537" s="1"/>
      <c r="S1537" s="1"/>
    </row>
    <row r="1538">
      <c r="A1538" s="1"/>
      <c r="B1538" s="3">
        <f t="shared" si="3"/>
        <v>1534</v>
      </c>
      <c r="C1538" s="31" t="s">
        <v>3544</v>
      </c>
      <c r="D1538" s="37" t="s">
        <v>44</v>
      </c>
      <c r="E1538" s="37" t="s">
        <v>1343</v>
      </c>
      <c r="F1538" s="43" t="s">
        <v>3545</v>
      </c>
      <c r="G1538" s="37"/>
      <c r="H1538" s="46">
        <v>46246.0</v>
      </c>
      <c r="I1538" s="37" t="s">
        <v>3027</v>
      </c>
      <c r="J1538" s="17">
        <v>600.0</v>
      </c>
      <c r="K1538" s="17">
        <v>400.0</v>
      </c>
      <c r="L1538" s="37" t="s">
        <v>58</v>
      </c>
      <c r="M1538" s="37"/>
      <c r="N1538" s="17"/>
      <c r="O1538" s="1"/>
      <c r="P1538" s="15"/>
      <c r="Q1538" s="15"/>
      <c r="R1538" s="1"/>
      <c r="S1538" s="1"/>
    </row>
    <row r="1539">
      <c r="A1539" s="1"/>
      <c r="B1539" s="3">
        <f t="shared" si="3"/>
        <v>1535</v>
      </c>
      <c r="C1539" s="31" t="s">
        <v>3546</v>
      </c>
      <c r="D1539" s="37" t="s">
        <v>38</v>
      </c>
      <c r="E1539" s="37" t="s">
        <v>1646</v>
      </c>
      <c r="F1539" s="43" t="s">
        <v>3547</v>
      </c>
      <c r="G1539" s="37"/>
      <c r="H1539" s="46">
        <v>46246.0</v>
      </c>
      <c r="I1539" s="37" t="s">
        <v>3027</v>
      </c>
      <c r="J1539" s="17"/>
      <c r="K1539" s="17"/>
      <c r="L1539" s="37" t="s">
        <v>189</v>
      </c>
      <c r="M1539" s="37"/>
      <c r="N1539" s="17"/>
      <c r="O1539" s="1"/>
      <c r="P1539" s="15"/>
      <c r="Q1539" s="15"/>
      <c r="R1539" s="1"/>
      <c r="S1539" s="1"/>
    </row>
    <row r="1540">
      <c r="A1540" s="1"/>
      <c r="B1540" s="3">
        <f t="shared" si="3"/>
        <v>1536</v>
      </c>
      <c r="C1540" s="31" t="s">
        <v>3548</v>
      </c>
      <c r="D1540" s="37" t="s">
        <v>376</v>
      </c>
      <c r="E1540" s="37" t="s">
        <v>3549</v>
      </c>
      <c r="F1540" s="43" t="s">
        <v>3550</v>
      </c>
      <c r="G1540" s="37"/>
      <c r="H1540" s="46">
        <v>46246.0</v>
      </c>
      <c r="I1540" s="37" t="s">
        <v>3027</v>
      </c>
      <c r="J1540" s="17"/>
      <c r="K1540" s="17" t="s">
        <v>3551</v>
      </c>
      <c r="L1540" s="37" t="s">
        <v>58</v>
      </c>
      <c r="M1540" s="37"/>
      <c r="N1540" s="17"/>
      <c r="O1540" s="1"/>
      <c r="P1540" s="15"/>
      <c r="Q1540" s="15"/>
      <c r="R1540" s="1"/>
      <c r="S1540" s="1"/>
    </row>
    <row r="1541">
      <c r="A1541" s="1"/>
      <c r="B1541" s="3">
        <f t="shared" si="3"/>
        <v>1537</v>
      </c>
      <c r="C1541" s="31" t="s">
        <v>3552</v>
      </c>
      <c r="D1541" s="37"/>
      <c r="E1541" s="37" t="s">
        <v>1576</v>
      </c>
      <c r="F1541" s="43" t="s">
        <v>3553</v>
      </c>
      <c r="G1541" s="37"/>
      <c r="H1541" s="46">
        <v>46246.0</v>
      </c>
      <c r="I1541" s="37" t="s">
        <v>3027</v>
      </c>
      <c r="J1541" s="17"/>
      <c r="K1541" s="17">
        <v>300.0</v>
      </c>
      <c r="L1541" s="37" t="s">
        <v>58</v>
      </c>
      <c r="M1541" s="37"/>
      <c r="N1541" s="17"/>
      <c r="O1541" s="1"/>
      <c r="P1541" s="15"/>
      <c r="Q1541" s="15"/>
      <c r="R1541" s="1"/>
      <c r="S1541" s="1"/>
    </row>
    <row r="1542">
      <c r="A1542" s="1"/>
      <c r="B1542" s="3">
        <f t="shared" si="3"/>
        <v>1538</v>
      </c>
      <c r="C1542" s="31" t="s">
        <v>3554</v>
      </c>
      <c r="D1542" s="37" t="s">
        <v>112</v>
      </c>
      <c r="E1542" s="37" t="s">
        <v>1589</v>
      </c>
      <c r="F1542" s="43" t="s">
        <v>3555</v>
      </c>
      <c r="G1542" s="37"/>
      <c r="H1542" s="46">
        <v>46246.0</v>
      </c>
      <c r="I1542" s="37" t="s">
        <v>3027</v>
      </c>
      <c r="J1542" s="17"/>
      <c r="K1542" s="17">
        <v>240.0</v>
      </c>
      <c r="L1542" s="37" t="s">
        <v>189</v>
      </c>
      <c r="M1542" s="37"/>
      <c r="N1542" s="17"/>
      <c r="O1542" s="1"/>
      <c r="P1542" s="15"/>
      <c r="Q1542" s="15"/>
      <c r="R1542" s="1"/>
      <c r="S1542" s="1"/>
    </row>
    <row r="1543">
      <c r="A1543" s="1"/>
      <c r="B1543" s="3">
        <f t="shared" si="3"/>
        <v>1539</v>
      </c>
      <c r="C1543" s="31" t="s">
        <v>3556</v>
      </c>
      <c r="D1543" s="37" t="s">
        <v>83</v>
      </c>
      <c r="E1543" s="37" t="s">
        <v>1285</v>
      </c>
      <c r="F1543" s="43" t="s">
        <v>3557</v>
      </c>
      <c r="G1543" s="37"/>
      <c r="H1543" s="46">
        <v>46246.0</v>
      </c>
      <c r="I1543" s="37" t="s">
        <v>3027</v>
      </c>
      <c r="J1543" s="17"/>
      <c r="K1543" s="17" t="s">
        <v>3558</v>
      </c>
      <c r="L1543" s="37" t="s">
        <v>58</v>
      </c>
      <c r="M1543" s="37"/>
      <c r="N1543" s="17"/>
      <c r="O1543" s="1"/>
      <c r="P1543" s="15"/>
      <c r="Q1543" s="15"/>
      <c r="R1543" s="1"/>
      <c r="S1543" s="1"/>
    </row>
    <row r="1544">
      <c r="A1544" s="1"/>
      <c r="B1544" s="3">
        <f t="shared" si="3"/>
        <v>1540</v>
      </c>
      <c r="C1544" s="31" t="s">
        <v>3559</v>
      </c>
      <c r="D1544" s="37" t="s">
        <v>96</v>
      </c>
      <c r="E1544" s="37" t="s">
        <v>1285</v>
      </c>
      <c r="F1544" s="43" t="s">
        <v>3560</v>
      </c>
      <c r="G1544" s="37"/>
      <c r="H1544" s="46">
        <v>46246.0</v>
      </c>
      <c r="I1544" s="37" t="s">
        <v>3027</v>
      </c>
      <c r="J1544" s="17">
        <v>780.0</v>
      </c>
      <c r="K1544" s="17"/>
      <c r="L1544" s="37" t="s">
        <v>58</v>
      </c>
      <c r="M1544" s="37" t="s">
        <v>45</v>
      </c>
      <c r="N1544" s="17"/>
      <c r="O1544" s="1"/>
      <c r="P1544" s="67" t="s">
        <v>3561</v>
      </c>
      <c r="Q1544" s="15"/>
      <c r="R1544" s="1"/>
      <c r="S1544" s="1"/>
    </row>
    <row r="1545">
      <c r="A1545" s="1"/>
      <c r="B1545" s="3">
        <f t="shared" si="3"/>
        <v>1541</v>
      </c>
      <c r="C1545" s="31" t="s">
        <v>3562</v>
      </c>
      <c r="D1545" s="37" t="s">
        <v>83</v>
      </c>
      <c r="E1545" s="37" t="s">
        <v>3563</v>
      </c>
      <c r="F1545" s="43" t="s">
        <v>3564</v>
      </c>
      <c r="G1545" s="37"/>
      <c r="H1545" s="46">
        <v>46246.0</v>
      </c>
      <c r="I1545" s="37" t="s">
        <v>3027</v>
      </c>
      <c r="J1545" s="17"/>
      <c r="K1545" s="17" t="s">
        <v>571</v>
      </c>
      <c r="L1545" s="37" t="s">
        <v>189</v>
      </c>
      <c r="M1545" s="37"/>
      <c r="N1545" s="17"/>
      <c r="O1545" s="1"/>
      <c r="P1545" s="15"/>
      <c r="Q1545" s="15"/>
      <c r="R1545" s="1"/>
      <c r="S1545" s="1"/>
    </row>
    <row r="1546">
      <c r="A1546" s="1"/>
      <c r="B1546" s="3">
        <f t="shared" si="3"/>
        <v>1542</v>
      </c>
      <c r="C1546" s="31" t="s">
        <v>3565</v>
      </c>
      <c r="D1546" s="37" t="s">
        <v>96</v>
      </c>
      <c r="E1546" s="37" t="s">
        <v>1285</v>
      </c>
      <c r="F1546" s="43" t="s">
        <v>3566</v>
      </c>
      <c r="G1546" s="37"/>
      <c r="H1546" s="46">
        <v>46246.0</v>
      </c>
      <c r="I1546" s="37" t="s">
        <v>3027</v>
      </c>
      <c r="J1546" s="17"/>
      <c r="K1546" s="17" t="s">
        <v>2231</v>
      </c>
      <c r="L1546" s="37" t="s">
        <v>189</v>
      </c>
      <c r="M1546" s="37" t="s">
        <v>60</v>
      </c>
      <c r="N1546" s="17" t="s">
        <v>39</v>
      </c>
      <c r="O1546" s="1"/>
      <c r="P1546" s="67" t="s">
        <v>3567</v>
      </c>
      <c r="Q1546" s="67" t="s">
        <v>3568</v>
      </c>
      <c r="R1546" s="1"/>
      <c r="S1546" s="1"/>
    </row>
    <row r="1547">
      <c r="A1547" s="1"/>
      <c r="B1547" s="3">
        <f t="shared" si="3"/>
        <v>1543</v>
      </c>
      <c r="C1547" s="31" t="s">
        <v>3569</v>
      </c>
      <c r="D1547" s="37" t="s">
        <v>96</v>
      </c>
      <c r="E1547" s="37" t="s">
        <v>2465</v>
      </c>
      <c r="F1547" s="43" t="s">
        <v>3570</v>
      </c>
      <c r="G1547" s="37"/>
      <c r="H1547" s="46">
        <v>46246.0</v>
      </c>
      <c r="I1547" s="37" t="s">
        <v>3027</v>
      </c>
      <c r="J1547" s="17"/>
      <c r="K1547" s="17" t="s">
        <v>3571</v>
      </c>
      <c r="L1547" s="37" t="s">
        <v>189</v>
      </c>
      <c r="M1547" s="37"/>
      <c r="N1547" s="17"/>
      <c r="O1547" s="1"/>
      <c r="P1547" s="15"/>
      <c r="Q1547" s="15"/>
      <c r="R1547" s="1"/>
      <c r="S1547" s="1"/>
    </row>
    <row r="1548">
      <c r="A1548" s="1"/>
      <c r="B1548" s="3">
        <f t="shared" si="3"/>
        <v>1544</v>
      </c>
      <c r="C1548" s="31" t="s">
        <v>3572</v>
      </c>
      <c r="D1548" s="37" t="s">
        <v>116</v>
      </c>
      <c r="E1548" s="37" t="s">
        <v>1285</v>
      </c>
      <c r="F1548" s="43" t="s">
        <v>3573</v>
      </c>
      <c r="G1548" s="37"/>
      <c r="H1548" s="46">
        <v>46246.0</v>
      </c>
      <c r="I1548" s="37" t="s">
        <v>3027</v>
      </c>
      <c r="J1548" s="17"/>
      <c r="K1548" s="17" t="s">
        <v>2231</v>
      </c>
      <c r="L1548" s="37" t="s">
        <v>189</v>
      </c>
      <c r="M1548" s="37"/>
      <c r="N1548" s="17"/>
      <c r="O1548" s="1"/>
      <c r="P1548" s="15"/>
      <c r="Q1548" s="15"/>
      <c r="R1548" s="1"/>
      <c r="S1548" s="1"/>
    </row>
    <row r="1549">
      <c r="A1549" s="1"/>
      <c r="B1549" s="3">
        <f t="shared" si="3"/>
        <v>1545</v>
      </c>
      <c r="C1549" s="31" t="s">
        <v>3574</v>
      </c>
      <c r="D1549" s="37" t="s">
        <v>49</v>
      </c>
      <c r="E1549" s="37" t="s">
        <v>3575</v>
      </c>
      <c r="F1549" s="43" t="s">
        <v>3576</v>
      </c>
      <c r="G1549" s="37"/>
      <c r="H1549" s="46">
        <v>46253.0</v>
      </c>
      <c r="I1549" s="37" t="s">
        <v>3027</v>
      </c>
      <c r="J1549" s="17"/>
      <c r="K1549" s="17" t="s">
        <v>2551</v>
      </c>
      <c r="L1549" s="37" t="s">
        <v>58</v>
      </c>
      <c r="M1549" s="37"/>
      <c r="N1549" s="17"/>
      <c r="O1549" s="1"/>
      <c r="P1549" s="67" t="s">
        <v>3577</v>
      </c>
      <c r="Q1549" s="15"/>
      <c r="R1549" s="1"/>
      <c r="S1549" s="1"/>
    </row>
    <row r="1550">
      <c r="A1550" s="1"/>
      <c r="B1550" s="3">
        <f t="shared" si="3"/>
        <v>1546</v>
      </c>
      <c r="C1550" s="31" t="s">
        <v>3578</v>
      </c>
      <c r="D1550" s="37"/>
      <c r="E1550" s="37" t="s">
        <v>2465</v>
      </c>
      <c r="F1550" s="43" t="s">
        <v>3579</v>
      </c>
      <c r="G1550" s="37"/>
      <c r="H1550" s="46">
        <v>46253.0</v>
      </c>
      <c r="I1550" s="37" t="s">
        <v>3027</v>
      </c>
      <c r="J1550" s="17"/>
      <c r="K1550" s="17" t="s">
        <v>3580</v>
      </c>
      <c r="L1550" s="37" t="s">
        <v>189</v>
      </c>
      <c r="M1550" s="37"/>
      <c r="N1550" s="17"/>
      <c r="O1550" s="1"/>
      <c r="P1550" s="67" t="s">
        <v>3581</v>
      </c>
      <c r="Q1550" s="15"/>
      <c r="R1550" s="1"/>
      <c r="S1550" s="1"/>
    </row>
    <row r="1551">
      <c r="A1551" s="1"/>
      <c r="B1551" s="3">
        <f t="shared" si="3"/>
        <v>1547</v>
      </c>
      <c r="C1551" s="31" t="s">
        <v>3582</v>
      </c>
      <c r="D1551" s="37" t="s">
        <v>116</v>
      </c>
      <c r="E1551" s="37" t="s">
        <v>1533</v>
      </c>
      <c r="F1551" s="43" t="s">
        <v>3583</v>
      </c>
      <c r="G1551" s="37"/>
      <c r="H1551" s="46">
        <v>46253.0</v>
      </c>
      <c r="I1551" s="37" t="s">
        <v>3027</v>
      </c>
      <c r="J1551" s="17"/>
      <c r="K1551" s="17">
        <v>600.0</v>
      </c>
      <c r="L1551" s="37" t="s">
        <v>58</v>
      </c>
      <c r="M1551" s="37" t="s">
        <v>57</v>
      </c>
      <c r="N1551" s="17"/>
      <c r="O1551" s="1"/>
      <c r="P1551" s="15"/>
      <c r="Q1551" s="15"/>
      <c r="R1551" s="1"/>
      <c r="S1551" s="1"/>
    </row>
    <row r="1552">
      <c r="A1552" s="1"/>
      <c r="B1552" s="3">
        <f t="shared" si="3"/>
        <v>1548</v>
      </c>
      <c r="C1552" s="31" t="s">
        <v>3584</v>
      </c>
      <c r="D1552" s="37" t="s">
        <v>56</v>
      </c>
      <c r="E1552" s="37" t="s">
        <v>3585</v>
      </c>
      <c r="F1552" s="43" t="s">
        <v>3586</v>
      </c>
      <c r="G1552" s="37"/>
      <c r="H1552" s="46">
        <v>46253.0</v>
      </c>
      <c r="I1552" s="37" t="s">
        <v>3027</v>
      </c>
      <c r="J1552" s="17"/>
      <c r="K1552" s="17" t="s">
        <v>3531</v>
      </c>
      <c r="L1552" s="37" t="s">
        <v>58</v>
      </c>
      <c r="M1552" s="37" t="s">
        <v>63</v>
      </c>
      <c r="N1552" s="17" t="s">
        <v>28</v>
      </c>
      <c r="O1552" s="1"/>
      <c r="P1552" s="67"/>
      <c r="Q1552" s="15"/>
      <c r="R1552" s="1"/>
      <c r="S1552" s="1"/>
    </row>
    <row r="1553">
      <c r="A1553" s="1"/>
      <c r="B1553" s="3">
        <f t="shared" si="3"/>
        <v>1549</v>
      </c>
      <c r="C1553" s="31" t="s">
        <v>3587</v>
      </c>
      <c r="D1553" s="37" t="s">
        <v>116</v>
      </c>
      <c r="E1553" s="37" t="s">
        <v>1578</v>
      </c>
      <c r="F1553" s="43" t="s">
        <v>3588</v>
      </c>
      <c r="G1553" s="37"/>
      <c r="H1553" s="46">
        <v>46253.0</v>
      </c>
      <c r="I1553" s="37" t="s">
        <v>3027</v>
      </c>
      <c r="J1553" s="17" t="s">
        <v>3589</v>
      </c>
      <c r="K1553" s="17"/>
      <c r="L1553" s="37" t="s">
        <v>58</v>
      </c>
      <c r="M1553" s="37" t="s">
        <v>57</v>
      </c>
      <c r="N1553" s="17"/>
      <c r="O1553" s="1"/>
      <c r="P1553" s="15"/>
      <c r="Q1553" s="15"/>
      <c r="R1553" s="1"/>
      <c r="S1553" s="1"/>
    </row>
    <row r="1554">
      <c r="A1554" s="1"/>
      <c r="B1554" s="3">
        <f t="shared" si="3"/>
        <v>1550</v>
      </c>
      <c r="C1554" s="31" t="s">
        <v>3590</v>
      </c>
      <c r="D1554" s="37" t="s">
        <v>96</v>
      </c>
      <c r="E1554" s="37" t="s">
        <v>3591</v>
      </c>
      <c r="F1554" s="43" t="s">
        <v>3592</v>
      </c>
      <c r="G1554" s="37"/>
      <c r="H1554" s="46">
        <v>46253.0</v>
      </c>
      <c r="I1554" s="37" t="s">
        <v>3027</v>
      </c>
      <c r="J1554" s="17"/>
      <c r="K1554" s="17" t="s">
        <v>3509</v>
      </c>
      <c r="L1554" s="37" t="s">
        <v>58</v>
      </c>
      <c r="M1554" s="37"/>
      <c r="N1554" s="17"/>
      <c r="O1554" s="1"/>
      <c r="P1554" s="67" t="s">
        <v>3593</v>
      </c>
      <c r="Q1554" s="15"/>
      <c r="R1554" s="1"/>
      <c r="S1554" s="1"/>
    </row>
    <row r="1555">
      <c r="A1555" s="1"/>
      <c r="B1555" s="3">
        <f t="shared" si="3"/>
        <v>1551</v>
      </c>
      <c r="C1555" s="31" t="s">
        <v>3594</v>
      </c>
      <c r="D1555" s="37" t="s">
        <v>96</v>
      </c>
      <c r="E1555" s="37" t="s">
        <v>1692</v>
      </c>
      <c r="F1555" s="43" t="s">
        <v>3595</v>
      </c>
      <c r="G1555" s="37"/>
      <c r="H1555" s="46">
        <v>46253.0</v>
      </c>
      <c r="I1555" s="37" t="s">
        <v>3027</v>
      </c>
      <c r="J1555" s="17">
        <v>380.0</v>
      </c>
      <c r="K1555" s="17"/>
      <c r="L1555" s="37" t="s">
        <v>58</v>
      </c>
      <c r="M1555" s="37" t="s">
        <v>60</v>
      </c>
      <c r="N1555" s="17" t="s">
        <v>28</v>
      </c>
      <c r="O1555" s="1"/>
      <c r="P1555" s="67" t="s">
        <v>3596</v>
      </c>
      <c r="Q1555" s="15"/>
      <c r="R1555" s="1"/>
      <c r="S1555" s="1"/>
    </row>
    <row r="1556">
      <c r="A1556" s="1"/>
      <c r="B1556" s="3">
        <f t="shared" si="3"/>
        <v>1552</v>
      </c>
      <c r="C1556" s="31" t="s">
        <v>3597</v>
      </c>
      <c r="D1556" s="37" t="s">
        <v>96</v>
      </c>
      <c r="E1556" s="37" t="s">
        <v>3598</v>
      </c>
      <c r="F1556" s="43" t="s">
        <v>3599</v>
      </c>
      <c r="G1556" s="37"/>
      <c r="H1556" s="17" t="s">
        <v>3600</v>
      </c>
      <c r="I1556" s="37" t="s">
        <v>3027</v>
      </c>
      <c r="J1556" s="17"/>
      <c r="K1556" s="17" t="s">
        <v>2231</v>
      </c>
      <c r="L1556" s="37" t="s">
        <v>58</v>
      </c>
      <c r="M1556" s="37" t="s">
        <v>57</v>
      </c>
      <c r="N1556" s="17" t="s">
        <v>28</v>
      </c>
      <c r="O1556" s="1"/>
      <c r="P1556" s="67" t="s">
        <v>3601</v>
      </c>
      <c r="Q1556" s="15"/>
      <c r="R1556" s="1"/>
      <c r="S1556" s="1"/>
    </row>
    <row r="1557">
      <c r="A1557" s="1"/>
      <c r="B1557" s="3">
        <f t="shared" si="3"/>
        <v>1553</v>
      </c>
      <c r="C1557" s="31" t="s">
        <v>3602</v>
      </c>
      <c r="D1557" s="37" t="s">
        <v>83</v>
      </c>
      <c r="E1557" s="37" t="s">
        <v>600</v>
      </c>
      <c r="F1557" s="43" t="s">
        <v>3603</v>
      </c>
      <c r="G1557" s="37"/>
      <c r="H1557" s="17" t="s">
        <v>3600</v>
      </c>
      <c r="I1557" s="37" t="s">
        <v>413</v>
      </c>
      <c r="J1557" s="17"/>
      <c r="K1557" s="17" t="s">
        <v>2292</v>
      </c>
      <c r="L1557" s="37" t="s">
        <v>58</v>
      </c>
      <c r="M1557" s="37" t="s">
        <v>130</v>
      </c>
      <c r="N1557" s="17"/>
      <c r="O1557" s="1"/>
      <c r="P1557" s="67" t="s">
        <v>3393</v>
      </c>
      <c r="Q1557" s="15"/>
      <c r="R1557" s="1"/>
      <c r="S1557" s="1"/>
    </row>
    <row r="1558">
      <c r="A1558" s="1"/>
      <c r="B1558" s="3">
        <f t="shared" si="3"/>
        <v>1554</v>
      </c>
      <c r="C1558" s="31" t="s">
        <v>3604</v>
      </c>
      <c r="D1558" s="37" t="s">
        <v>497</v>
      </c>
      <c r="E1558" s="37" t="s">
        <v>1285</v>
      </c>
      <c r="F1558" s="43" t="s">
        <v>3605</v>
      </c>
      <c r="G1558" s="37"/>
      <c r="H1558" s="17" t="s">
        <v>3600</v>
      </c>
      <c r="I1558" s="37" t="s">
        <v>413</v>
      </c>
      <c r="J1558" s="17"/>
      <c r="K1558" s="17" t="s">
        <v>3606</v>
      </c>
      <c r="L1558" s="37" t="s">
        <v>58</v>
      </c>
      <c r="M1558" s="37"/>
      <c r="N1558" s="17"/>
      <c r="O1558" s="1"/>
      <c r="P1558" s="67"/>
      <c r="Q1558" s="15"/>
      <c r="R1558" s="1"/>
      <c r="S1558" s="1"/>
    </row>
    <row r="1559">
      <c r="A1559" s="1"/>
      <c r="B1559" s="3">
        <f t="shared" si="3"/>
        <v>1555</v>
      </c>
      <c r="C1559" s="31" t="s">
        <v>3607</v>
      </c>
      <c r="D1559" s="37" t="s">
        <v>301</v>
      </c>
      <c r="E1559" s="37" t="s">
        <v>3608</v>
      </c>
      <c r="F1559" s="43" t="s">
        <v>3609</v>
      </c>
      <c r="G1559" s="37"/>
      <c r="H1559" s="17" t="s">
        <v>3600</v>
      </c>
      <c r="I1559" s="37" t="s">
        <v>413</v>
      </c>
      <c r="J1559" s="17">
        <v>1500.0</v>
      </c>
      <c r="K1559" s="17" t="s">
        <v>3610</v>
      </c>
      <c r="L1559" s="37" t="s">
        <v>189</v>
      </c>
      <c r="M1559" s="37"/>
      <c r="N1559" s="17"/>
      <c r="O1559" s="1"/>
      <c r="P1559" s="15"/>
      <c r="Q1559" s="15"/>
      <c r="R1559" s="1"/>
      <c r="S1559" s="1"/>
    </row>
    <row r="1560">
      <c r="A1560" s="1"/>
      <c r="B1560" s="3">
        <f t="shared" si="3"/>
        <v>1556</v>
      </c>
      <c r="C1560" s="31" t="s">
        <v>3611</v>
      </c>
      <c r="D1560" s="37" t="s">
        <v>56</v>
      </c>
      <c r="E1560" s="37" t="s">
        <v>600</v>
      </c>
      <c r="F1560" s="43" t="s">
        <v>3612</v>
      </c>
      <c r="G1560" s="37"/>
      <c r="H1560" s="17" t="s">
        <v>3600</v>
      </c>
      <c r="I1560" s="37" t="s">
        <v>413</v>
      </c>
      <c r="J1560" s="17"/>
      <c r="K1560" s="17" t="s">
        <v>3613</v>
      </c>
      <c r="L1560" s="37" t="s">
        <v>58</v>
      </c>
      <c r="M1560" s="37" t="s">
        <v>68</v>
      </c>
      <c r="N1560" s="17" t="s">
        <v>28</v>
      </c>
      <c r="O1560" s="1"/>
      <c r="P1560" s="67" t="s">
        <v>3614</v>
      </c>
      <c r="Q1560" s="67" t="s">
        <v>3234</v>
      </c>
      <c r="R1560" s="1"/>
      <c r="S1560" s="1"/>
    </row>
    <row r="1561">
      <c r="A1561" s="1"/>
      <c r="B1561" s="3">
        <f t="shared" si="3"/>
        <v>1557</v>
      </c>
      <c r="C1561" s="31" t="s">
        <v>3615</v>
      </c>
      <c r="D1561" s="37" t="s">
        <v>38</v>
      </c>
      <c r="E1561" s="37" t="s">
        <v>3616</v>
      </c>
      <c r="F1561" s="43" t="s">
        <v>3617</v>
      </c>
      <c r="G1561" s="37"/>
      <c r="H1561" s="17" t="s">
        <v>3600</v>
      </c>
      <c r="I1561" s="37" t="s">
        <v>3027</v>
      </c>
      <c r="J1561" s="17"/>
      <c r="K1561" s="17" t="s">
        <v>2231</v>
      </c>
      <c r="L1561" s="37" t="s">
        <v>58</v>
      </c>
      <c r="M1561" s="37" t="s">
        <v>70</v>
      </c>
      <c r="N1561" s="17" t="s">
        <v>28</v>
      </c>
      <c r="O1561" s="1"/>
      <c r="P1561" s="67" t="s">
        <v>3618</v>
      </c>
      <c r="Q1561" s="15"/>
      <c r="R1561" s="1"/>
      <c r="S1561" s="1"/>
    </row>
    <row r="1562">
      <c r="A1562" s="1"/>
      <c r="B1562" s="3">
        <f t="shared" si="3"/>
        <v>1558</v>
      </c>
      <c r="C1562" s="31" t="s">
        <v>3619</v>
      </c>
      <c r="D1562" s="37" t="s">
        <v>83</v>
      </c>
      <c r="E1562" s="37" t="s">
        <v>1390</v>
      </c>
      <c r="F1562" s="43" t="s">
        <v>3620</v>
      </c>
      <c r="G1562" s="37"/>
      <c r="H1562" s="17" t="s">
        <v>3600</v>
      </c>
      <c r="I1562" s="37" t="s">
        <v>413</v>
      </c>
      <c r="J1562" s="17"/>
      <c r="K1562" s="17" t="s">
        <v>3446</v>
      </c>
      <c r="L1562" s="37" t="s">
        <v>58</v>
      </c>
      <c r="M1562" s="37"/>
      <c r="N1562" s="17"/>
      <c r="O1562" s="1"/>
      <c r="P1562" s="15"/>
      <c r="Q1562" s="15"/>
      <c r="R1562" s="1"/>
      <c r="S1562" s="1"/>
    </row>
    <row r="1563">
      <c r="A1563" s="1"/>
      <c r="B1563" s="3">
        <f t="shared" si="3"/>
        <v>1559</v>
      </c>
      <c r="C1563" s="31" t="s">
        <v>3621</v>
      </c>
      <c r="D1563" s="37" t="s">
        <v>96</v>
      </c>
      <c r="E1563" s="37" t="s">
        <v>1500</v>
      </c>
      <c r="F1563" s="43" t="s">
        <v>3622</v>
      </c>
      <c r="G1563" s="37"/>
      <c r="H1563" s="17" t="s">
        <v>3600</v>
      </c>
      <c r="I1563" s="37" t="s">
        <v>413</v>
      </c>
      <c r="J1563" s="17"/>
      <c r="K1563" s="17" t="s">
        <v>2297</v>
      </c>
      <c r="L1563" s="37" t="s">
        <v>58</v>
      </c>
      <c r="M1563" s="37" t="s">
        <v>63</v>
      </c>
      <c r="N1563" s="17" t="s">
        <v>28</v>
      </c>
      <c r="O1563" s="1"/>
      <c r="P1563" s="67" t="s">
        <v>3623</v>
      </c>
      <c r="Q1563" s="15"/>
      <c r="R1563" s="1"/>
      <c r="S1563" s="1"/>
    </row>
    <row r="1564">
      <c r="A1564" s="1"/>
      <c r="B1564" s="3">
        <f t="shared" si="3"/>
        <v>1560</v>
      </c>
      <c r="C1564" s="31" t="s">
        <v>3624</v>
      </c>
      <c r="D1564" s="37" t="s">
        <v>116</v>
      </c>
      <c r="E1564" s="37" t="s">
        <v>2085</v>
      </c>
      <c r="F1564" s="43" t="s">
        <v>3625</v>
      </c>
      <c r="G1564" s="37"/>
      <c r="H1564" s="17" t="s">
        <v>3600</v>
      </c>
      <c r="I1564" s="37" t="s">
        <v>413</v>
      </c>
      <c r="J1564" s="17"/>
      <c r="K1564" s="17">
        <v>350.0</v>
      </c>
      <c r="L1564" s="37" t="s">
        <v>58</v>
      </c>
      <c r="M1564" s="37" t="s">
        <v>57</v>
      </c>
      <c r="N1564" s="17"/>
      <c r="O1564" s="1"/>
      <c r="P1564" s="15"/>
      <c r="Q1564" s="15"/>
      <c r="R1564" s="1"/>
      <c r="S1564" s="1"/>
    </row>
    <row r="1565">
      <c r="A1565" s="1"/>
      <c r="B1565" s="3">
        <f t="shared" si="3"/>
        <v>1561</v>
      </c>
      <c r="C1565" s="31" t="s">
        <v>3626</v>
      </c>
      <c r="D1565" s="37" t="s">
        <v>47</v>
      </c>
      <c r="E1565" s="37" t="s">
        <v>2520</v>
      </c>
      <c r="F1565" s="43" t="s">
        <v>3627</v>
      </c>
      <c r="G1565" s="37"/>
      <c r="H1565" s="17" t="s">
        <v>3600</v>
      </c>
      <c r="I1565" s="37" t="s">
        <v>413</v>
      </c>
      <c r="J1565" s="17"/>
      <c r="K1565" s="17" t="s">
        <v>3551</v>
      </c>
      <c r="L1565" s="37" t="s">
        <v>58</v>
      </c>
      <c r="M1565" s="37"/>
      <c r="N1565" s="17"/>
      <c r="O1565" s="1"/>
      <c r="P1565" s="67" t="s">
        <v>3628</v>
      </c>
      <c r="Q1565" s="15"/>
      <c r="R1565" s="1"/>
      <c r="S1565" s="1"/>
    </row>
    <row r="1566">
      <c r="A1566" s="1"/>
      <c r="B1566" s="3">
        <f t="shared" si="3"/>
        <v>1562</v>
      </c>
      <c r="C1566" s="31" t="s">
        <v>3629</v>
      </c>
      <c r="D1566" s="37" t="s">
        <v>497</v>
      </c>
      <c r="E1566" s="37" t="s">
        <v>2520</v>
      </c>
      <c r="F1566" s="43" t="s">
        <v>3630</v>
      </c>
      <c r="G1566" s="37"/>
      <c r="H1566" s="17" t="s">
        <v>3600</v>
      </c>
      <c r="I1566" s="37" t="s">
        <v>413</v>
      </c>
      <c r="J1566" s="17"/>
      <c r="K1566" s="17" t="s">
        <v>3631</v>
      </c>
      <c r="L1566" s="37" t="s">
        <v>58</v>
      </c>
      <c r="M1566" s="37"/>
      <c r="N1566" s="17"/>
      <c r="O1566" s="1"/>
      <c r="P1566" s="15"/>
      <c r="Q1566" s="15"/>
      <c r="R1566" s="1"/>
      <c r="S1566" s="1"/>
    </row>
    <row r="1567">
      <c r="A1567" s="1"/>
      <c r="B1567" s="3">
        <f t="shared" si="3"/>
        <v>1563</v>
      </c>
      <c r="C1567" s="31" t="s">
        <v>3632</v>
      </c>
      <c r="D1567" s="37" t="s">
        <v>116</v>
      </c>
      <c r="E1567" s="37" t="s">
        <v>3633</v>
      </c>
      <c r="F1567" s="43" t="s">
        <v>3634</v>
      </c>
      <c r="G1567" s="37"/>
      <c r="H1567" s="17" t="s">
        <v>3600</v>
      </c>
      <c r="I1567" s="37" t="s">
        <v>413</v>
      </c>
      <c r="J1567" s="17"/>
      <c r="K1567" s="17" t="s">
        <v>2297</v>
      </c>
      <c r="L1567" s="37" t="s">
        <v>58</v>
      </c>
      <c r="M1567" s="37" t="s">
        <v>57</v>
      </c>
      <c r="N1567" s="17"/>
      <c r="O1567" s="1"/>
      <c r="P1567" s="67" t="s">
        <v>3635</v>
      </c>
      <c r="Q1567" s="15"/>
      <c r="R1567" s="1"/>
      <c r="S1567" s="1"/>
    </row>
    <row r="1568">
      <c r="A1568" s="1"/>
      <c r="B1568" s="3">
        <f t="shared" si="3"/>
        <v>1564</v>
      </c>
      <c r="C1568" s="31" t="s">
        <v>3636</v>
      </c>
      <c r="D1568" s="37" t="s">
        <v>159</v>
      </c>
      <c r="E1568" s="37" t="s">
        <v>2539</v>
      </c>
      <c r="F1568" s="43" t="s">
        <v>3637</v>
      </c>
      <c r="G1568" s="37"/>
      <c r="H1568" s="17" t="s">
        <v>3600</v>
      </c>
      <c r="I1568" s="37" t="s">
        <v>413</v>
      </c>
      <c r="J1568" s="17"/>
      <c r="K1568" s="17">
        <v>300.0</v>
      </c>
      <c r="L1568" s="37" t="s">
        <v>58</v>
      </c>
      <c r="M1568" s="37"/>
      <c r="N1568" s="17"/>
      <c r="O1568" s="1"/>
      <c r="P1568" s="15"/>
      <c r="Q1568" s="15"/>
      <c r="R1568" s="1"/>
      <c r="S1568" s="1"/>
    </row>
    <row r="1569">
      <c r="A1569" s="1"/>
      <c r="B1569" s="3">
        <f t="shared" si="3"/>
        <v>1565</v>
      </c>
      <c r="C1569" s="31" t="s">
        <v>3638</v>
      </c>
      <c r="D1569" s="37" t="s">
        <v>83</v>
      </c>
      <c r="E1569" s="37" t="s">
        <v>1285</v>
      </c>
      <c r="F1569" s="43" t="s">
        <v>3639</v>
      </c>
      <c r="G1569" s="37"/>
      <c r="H1569" s="17" t="s">
        <v>3600</v>
      </c>
      <c r="I1569" s="37" t="s">
        <v>413</v>
      </c>
      <c r="J1569" s="17"/>
      <c r="K1569" s="17" t="s">
        <v>3640</v>
      </c>
      <c r="L1569" s="37" t="s">
        <v>58</v>
      </c>
      <c r="M1569" s="37"/>
      <c r="N1569" s="17"/>
      <c r="O1569" s="1"/>
      <c r="P1569" s="15"/>
      <c r="Q1569" s="15"/>
      <c r="R1569" s="1"/>
      <c r="S1569" s="1"/>
    </row>
    <row r="1570">
      <c r="A1570" s="1"/>
      <c r="B1570" s="3">
        <f t="shared" si="3"/>
        <v>1566</v>
      </c>
      <c r="C1570" s="31" t="s">
        <v>3641</v>
      </c>
      <c r="D1570" s="37" t="s">
        <v>103</v>
      </c>
      <c r="E1570" s="37" t="s">
        <v>600</v>
      </c>
      <c r="F1570" s="43" t="s">
        <v>3642</v>
      </c>
      <c r="G1570" s="37"/>
      <c r="H1570" s="17" t="s">
        <v>3600</v>
      </c>
      <c r="I1570" s="37" t="s">
        <v>413</v>
      </c>
      <c r="J1570" s="17"/>
      <c r="K1570" s="17" t="s">
        <v>3643</v>
      </c>
      <c r="L1570" s="37" t="s">
        <v>58</v>
      </c>
      <c r="M1570" s="37"/>
      <c r="N1570" s="17"/>
      <c r="O1570" s="1"/>
      <c r="P1570" s="15"/>
      <c r="Q1570" s="15"/>
      <c r="R1570" s="1"/>
      <c r="S1570" s="1"/>
    </row>
    <row r="1571">
      <c r="A1571" s="1"/>
      <c r="B1571" s="3">
        <f t="shared" si="3"/>
        <v>1567</v>
      </c>
      <c r="C1571" s="31" t="s">
        <v>3644</v>
      </c>
      <c r="D1571" s="37" t="s">
        <v>56</v>
      </c>
      <c r="E1571" s="37" t="s">
        <v>1366</v>
      </c>
      <c r="F1571" s="43" t="s">
        <v>3645</v>
      </c>
      <c r="G1571" s="37"/>
      <c r="H1571" s="17" t="s">
        <v>3600</v>
      </c>
      <c r="I1571" s="37" t="s">
        <v>413</v>
      </c>
      <c r="J1571" s="17"/>
      <c r="K1571" s="17" t="s">
        <v>3531</v>
      </c>
      <c r="L1571" s="37" t="s">
        <v>58</v>
      </c>
      <c r="M1571" s="37"/>
      <c r="N1571" s="17"/>
      <c r="O1571" s="1"/>
      <c r="P1571" s="15"/>
      <c r="Q1571" s="15"/>
      <c r="R1571" s="1"/>
      <c r="S1571" s="1"/>
    </row>
    <row r="1572">
      <c r="A1572" s="1"/>
      <c r="B1572" s="3">
        <f t="shared" si="3"/>
        <v>1568</v>
      </c>
      <c r="C1572" s="31" t="s">
        <v>3646</v>
      </c>
      <c r="D1572" s="37" t="s">
        <v>159</v>
      </c>
      <c r="E1572" s="37" t="s">
        <v>3647</v>
      </c>
      <c r="F1572" s="43" t="s">
        <v>3648</v>
      </c>
      <c r="G1572" s="37"/>
      <c r="H1572" s="17" t="s">
        <v>3600</v>
      </c>
      <c r="I1572" s="37" t="s">
        <v>413</v>
      </c>
      <c r="J1572" s="17">
        <v>600.0</v>
      </c>
      <c r="K1572" s="17" t="s">
        <v>3649</v>
      </c>
      <c r="L1572" s="37" t="s">
        <v>58</v>
      </c>
      <c r="M1572" s="37"/>
      <c r="N1572" s="17"/>
      <c r="O1572" s="1"/>
      <c r="P1572" s="15"/>
      <c r="Q1572" s="15"/>
      <c r="R1572" s="1"/>
      <c r="S1572" s="1"/>
    </row>
    <row r="1573">
      <c r="A1573" s="1"/>
      <c r="B1573" s="3">
        <f t="shared" si="3"/>
        <v>1569</v>
      </c>
      <c r="C1573" s="31" t="s">
        <v>3650</v>
      </c>
      <c r="D1573" s="37" t="s">
        <v>1505</v>
      </c>
      <c r="E1573" s="37" t="s">
        <v>3651</v>
      </c>
      <c r="F1573" s="43" t="s">
        <v>3652</v>
      </c>
      <c r="G1573" s="37"/>
      <c r="H1573" s="17" t="s">
        <v>3600</v>
      </c>
      <c r="I1573" s="37" t="s">
        <v>413</v>
      </c>
      <c r="J1573" s="17"/>
      <c r="K1573" s="17">
        <v>600.0</v>
      </c>
      <c r="L1573" s="37" t="s">
        <v>189</v>
      </c>
      <c r="M1573" s="37"/>
      <c r="N1573" s="17"/>
      <c r="O1573" s="1"/>
      <c r="P1573" s="15"/>
      <c r="Q1573" s="15"/>
      <c r="R1573" s="1"/>
      <c r="S1573" s="1"/>
    </row>
    <row r="1574">
      <c r="A1574" s="1"/>
      <c r="B1574" s="3">
        <f t="shared" si="3"/>
        <v>1570</v>
      </c>
      <c r="C1574" s="31" t="s">
        <v>3653</v>
      </c>
      <c r="D1574" s="37" t="s">
        <v>116</v>
      </c>
      <c r="E1574" s="37" t="s">
        <v>2492</v>
      </c>
      <c r="F1574" s="43" t="s">
        <v>3654</v>
      </c>
      <c r="G1574" s="37"/>
      <c r="H1574" s="17" t="s">
        <v>3600</v>
      </c>
      <c r="I1574" s="37" t="s">
        <v>413</v>
      </c>
      <c r="J1574" s="17"/>
      <c r="K1574" s="17" t="s">
        <v>3655</v>
      </c>
      <c r="L1574" s="37" t="s">
        <v>58</v>
      </c>
      <c r="M1574" s="37" t="s">
        <v>57</v>
      </c>
      <c r="N1574" s="17"/>
      <c r="O1574" s="1"/>
      <c r="P1574" s="15"/>
      <c r="Q1574" s="15"/>
      <c r="R1574" s="1"/>
      <c r="S1574" s="1"/>
    </row>
    <row r="1575">
      <c r="A1575" s="1"/>
      <c r="B1575" s="3">
        <f t="shared" si="3"/>
        <v>1571</v>
      </c>
      <c r="C1575" s="31" t="s">
        <v>3656</v>
      </c>
      <c r="D1575" s="37" t="s">
        <v>112</v>
      </c>
      <c r="E1575" s="37" t="s">
        <v>3608</v>
      </c>
      <c r="F1575" s="43" t="s">
        <v>3657</v>
      </c>
      <c r="G1575" s="37"/>
      <c r="H1575" s="17" t="s">
        <v>3600</v>
      </c>
      <c r="I1575" s="37" t="s">
        <v>413</v>
      </c>
      <c r="J1575" s="17">
        <v>250.0</v>
      </c>
      <c r="K1575" s="17"/>
      <c r="L1575" s="37" t="s">
        <v>189</v>
      </c>
      <c r="M1575" s="37"/>
      <c r="N1575" s="17"/>
      <c r="O1575" s="1"/>
      <c r="P1575" s="67" t="s">
        <v>3658</v>
      </c>
      <c r="Q1575" s="67" t="s">
        <v>3659</v>
      </c>
      <c r="R1575" s="1"/>
      <c r="S1575" s="1"/>
    </row>
    <row r="1576">
      <c r="A1576" s="1"/>
      <c r="B1576" s="3">
        <f t="shared" si="3"/>
        <v>1572</v>
      </c>
      <c r="C1576" s="31" t="s">
        <v>3660</v>
      </c>
      <c r="D1576" s="37" t="s">
        <v>1505</v>
      </c>
      <c r="E1576" s="37" t="s">
        <v>600</v>
      </c>
      <c r="F1576" s="43" t="s">
        <v>3661</v>
      </c>
      <c r="G1576" s="37"/>
      <c r="H1576" s="17" t="s">
        <v>3600</v>
      </c>
      <c r="I1576" s="37" t="s">
        <v>413</v>
      </c>
      <c r="J1576" s="17"/>
      <c r="K1576" s="17">
        <v>300.0</v>
      </c>
      <c r="L1576" s="37" t="s">
        <v>189</v>
      </c>
      <c r="M1576" s="37"/>
      <c r="N1576" s="17"/>
      <c r="O1576" s="1"/>
      <c r="P1576" s="15"/>
      <c r="Q1576" s="15"/>
      <c r="R1576" s="1"/>
      <c r="S1576" s="1"/>
    </row>
    <row r="1577">
      <c r="A1577" s="1"/>
      <c r="B1577" s="3">
        <f t="shared" si="3"/>
        <v>1573</v>
      </c>
      <c r="C1577" s="31" t="s">
        <v>3662</v>
      </c>
      <c r="D1577" s="37" t="s">
        <v>1505</v>
      </c>
      <c r="E1577" s="37" t="s">
        <v>600</v>
      </c>
      <c r="F1577" s="43" t="s">
        <v>3663</v>
      </c>
      <c r="G1577" s="37"/>
      <c r="H1577" s="17" t="s">
        <v>3600</v>
      </c>
      <c r="I1577" s="37" t="s">
        <v>413</v>
      </c>
      <c r="J1577" s="17"/>
      <c r="K1577" s="17">
        <v>300.0</v>
      </c>
      <c r="L1577" s="37" t="s">
        <v>58</v>
      </c>
      <c r="M1577" s="37"/>
      <c r="N1577" s="17"/>
      <c r="O1577" s="1"/>
      <c r="P1577" s="15"/>
      <c r="Q1577" s="15"/>
      <c r="R1577" s="1"/>
      <c r="S1577" s="1"/>
    </row>
    <row r="1578">
      <c r="A1578" s="1"/>
      <c r="B1578" s="3">
        <f t="shared" si="3"/>
        <v>1574</v>
      </c>
      <c r="C1578" s="31" t="s">
        <v>3664</v>
      </c>
      <c r="D1578" s="37" t="s">
        <v>49</v>
      </c>
      <c r="E1578" s="37" t="s">
        <v>1285</v>
      </c>
      <c r="F1578" s="43" t="s">
        <v>3665</v>
      </c>
      <c r="G1578" s="37"/>
      <c r="H1578" s="17" t="s">
        <v>3600</v>
      </c>
      <c r="I1578" s="37" t="s">
        <v>3027</v>
      </c>
      <c r="J1578" s="17"/>
      <c r="K1578" s="17">
        <v>350.0</v>
      </c>
      <c r="L1578" s="37" t="s">
        <v>58</v>
      </c>
      <c r="M1578" s="37"/>
      <c r="N1578" s="17"/>
      <c r="O1578" s="1"/>
      <c r="P1578" s="15"/>
      <c r="Q1578" s="15"/>
      <c r="R1578" s="1"/>
      <c r="S1578" s="1"/>
    </row>
    <row r="1579">
      <c r="A1579" s="1"/>
      <c r="B1579" s="3">
        <f t="shared" si="3"/>
        <v>1575</v>
      </c>
      <c r="C1579" s="31" t="s">
        <v>3666</v>
      </c>
      <c r="D1579" s="37" t="s">
        <v>96</v>
      </c>
      <c r="E1579" s="37" t="s">
        <v>1527</v>
      </c>
      <c r="F1579" s="43" t="s">
        <v>3667</v>
      </c>
      <c r="G1579" s="37"/>
      <c r="H1579" s="17" t="s">
        <v>3600</v>
      </c>
      <c r="I1579" s="37" t="s">
        <v>3027</v>
      </c>
      <c r="J1579" s="17"/>
      <c r="K1579" s="17" t="s">
        <v>2231</v>
      </c>
      <c r="L1579" s="37" t="s">
        <v>58</v>
      </c>
      <c r="M1579" s="37"/>
      <c r="N1579" s="17"/>
      <c r="O1579" s="1"/>
      <c r="P1579" s="67" t="s">
        <v>3668</v>
      </c>
      <c r="Q1579" s="15"/>
      <c r="R1579" s="1"/>
      <c r="S1579" s="1"/>
    </row>
    <row r="1580">
      <c r="A1580" s="1"/>
      <c r="B1580" s="3">
        <f t="shared" si="3"/>
        <v>1576</v>
      </c>
      <c r="C1580" s="31" t="s">
        <v>3669</v>
      </c>
      <c r="D1580" s="37" t="s">
        <v>49</v>
      </c>
      <c r="E1580" s="37" t="s">
        <v>3670</v>
      </c>
      <c r="F1580" s="43" t="s">
        <v>3671</v>
      </c>
      <c r="G1580" s="37"/>
      <c r="H1580" s="17" t="s">
        <v>3600</v>
      </c>
      <c r="I1580" s="37" t="s">
        <v>3027</v>
      </c>
      <c r="J1580" s="17">
        <v>200.0</v>
      </c>
      <c r="K1580" s="17"/>
      <c r="L1580" s="37" t="s">
        <v>189</v>
      </c>
      <c r="M1580" s="37"/>
      <c r="N1580" s="17"/>
      <c r="O1580" s="1"/>
      <c r="P1580" s="15"/>
      <c r="Q1580" s="15"/>
      <c r="R1580" s="1"/>
      <c r="S1580" s="1"/>
    </row>
    <row r="1581">
      <c r="A1581" s="1"/>
      <c r="B1581" s="3">
        <f t="shared" si="3"/>
        <v>1577</v>
      </c>
      <c r="C1581" s="31" t="s">
        <v>3672</v>
      </c>
      <c r="D1581" s="37" t="s">
        <v>96</v>
      </c>
      <c r="E1581" s="37" t="s">
        <v>3673</v>
      </c>
      <c r="F1581" s="43" t="s">
        <v>3674</v>
      </c>
      <c r="G1581" s="37"/>
      <c r="H1581" s="17" t="s">
        <v>3600</v>
      </c>
      <c r="I1581" s="37" t="s">
        <v>3027</v>
      </c>
      <c r="J1581" s="17"/>
      <c r="K1581" s="17" t="s">
        <v>3551</v>
      </c>
      <c r="L1581" s="37" t="s">
        <v>189</v>
      </c>
      <c r="M1581" s="37"/>
      <c r="N1581" s="17"/>
      <c r="O1581" s="1"/>
      <c r="P1581" s="67" t="s">
        <v>3675</v>
      </c>
      <c r="Q1581" s="67" t="s">
        <v>3676</v>
      </c>
      <c r="R1581" s="1"/>
      <c r="S1581" s="1"/>
    </row>
    <row r="1582">
      <c r="A1582" s="1"/>
      <c r="B1582" s="3">
        <f t="shared" si="3"/>
        <v>1578</v>
      </c>
      <c r="C1582" s="31" t="s">
        <v>3677</v>
      </c>
      <c r="D1582" s="37" t="s">
        <v>44</v>
      </c>
      <c r="E1582" s="37" t="s">
        <v>1937</v>
      </c>
      <c r="F1582" s="43" t="s">
        <v>3678</v>
      </c>
      <c r="G1582" s="37"/>
      <c r="H1582" s="17" t="s">
        <v>3600</v>
      </c>
      <c r="I1582" s="37" t="s">
        <v>3027</v>
      </c>
      <c r="J1582" s="17"/>
      <c r="K1582" s="17" t="s">
        <v>2297</v>
      </c>
      <c r="L1582" s="37" t="s">
        <v>58</v>
      </c>
      <c r="M1582" s="37"/>
      <c r="N1582" s="17"/>
      <c r="O1582" s="1"/>
      <c r="P1582" s="15"/>
      <c r="Q1582" s="15"/>
      <c r="R1582" s="1"/>
      <c r="S1582" s="1"/>
    </row>
    <row r="1583">
      <c r="A1583" s="1"/>
      <c r="B1583" s="3">
        <f t="shared" si="3"/>
        <v>1579</v>
      </c>
      <c r="C1583" s="31" t="s">
        <v>3679</v>
      </c>
      <c r="D1583" s="37" t="s">
        <v>96</v>
      </c>
      <c r="E1583" s="37" t="s">
        <v>3296</v>
      </c>
      <c r="F1583" s="43" t="s">
        <v>3680</v>
      </c>
      <c r="G1583" s="37"/>
      <c r="H1583" s="17" t="s">
        <v>3600</v>
      </c>
      <c r="I1583" s="37" t="s">
        <v>3027</v>
      </c>
      <c r="J1583" s="17"/>
      <c r="K1583" s="17">
        <v>500.0</v>
      </c>
      <c r="L1583" s="37" t="s">
        <v>189</v>
      </c>
      <c r="M1583" s="37"/>
      <c r="N1583" s="17"/>
      <c r="O1583" s="1"/>
      <c r="P1583" s="67" t="s">
        <v>3681</v>
      </c>
      <c r="Q1583" s="15"/>
      <c r="R1583" s="1"/>
      <c r="S1583" s="1"/>
    </row>
    <row r="1584">
      <c r="A1584" s="1"/>
      <c r="B1584" s="3">
        <f t="shared" si="3"/>
        <v>1580</v>
      </c>
      <c r="C1584" s="31" t="s">
        <v>3682</v>
      </c>
      <c r="D1584" s="37" t="s">
        <v>159</v>
      </c>
      <c r="E1584" s="37" t="s">
        <v>2539</v>
      </c>
      <c r="F1584" s="43" t="s">
        <v>3683</v>
      </c>
      <c r="G1584" s="37"/>
      <c r="H1584" s="17" t="s">
        <v>3600</v>
      </c>
      <c r="I1584" s="37" t="s">
        <v>3027</v>
      </c>
      <c r="J1584" s="17"/>
      <c r="K1584" s="17">
        <v>500.0</v>
      </c>
      <c r="L1584" s="37" t="s">
        <v>189</v>
      </c>
      <c r="M1584" s="37"/>
      <c r="N1584" s="17"/>
      <c r="O1584" s="1"/>
      <c r="P1584" s="15"/>
      <c r="Q1584" s="15"/>
      <c r="R1584" s="1"/>
      <c r="S1584" s="1"/>
    </row>
    <row r="1585">
      <c r="A1585" s="1"/>
      <c r="B1585" s="3">
        <f t="shared" si="3"/>
        <v>1581</v>
      </c>
      <c r="C1585" s="31" t="s">
        <v>3684</v>
      </c>
      <c r="D1585" s="37" t="s">
        <v>96</v>
      </c>
      <c r="E1585" s="37" t="s">
        <v>1535</v>
      </c>
      <c r="F1585" s="43" t="s">
        <v>3685</v>
      </c>
      <c r="G1585" s="37"/>
      <c r="H1585" s="17" t="s">
        <v>3600</v>
      </c>
      <c r="I1585" s="37" t="s">
        <v>3027</v>
      </c>
      <c r="J1585" s="17"/>
      <c r="K1585" s="17">
        <v>350.0</v>
      </c>
      <c r="L1585" s="37" t="s">
        <v>58</v>
      </c>
      <c r="M1585" s="37"/>
      <c r="N1585" s="17"/>
      <c r="O1585" s="1"/>
      <c r="P1585" s="67" t="s">
        <v>3675</v>
      </c>
      <c r="Q1585" s="15"/>
      <c r="R1585" s="1"/>
      <c r="S1585" s="1"/>
    </row>
    <row r="1586">
      <c r="A1586" s="1"/>
      <c r="B1586" s="3">
        <f t="shared" si="3"/>
        <v>1582</v>
      </c>
      <c r="C1586" s="31" t="s">
        <v>1920</v>
      </c>
      <c r="D1586" s="37" t="s">
        <v>49</v>
      </c>
      <c r="E1586" s="37" t="s">
        <v>3515</v>
      </c>
      <c r="F1586" s="43" t="s">
        <v>3686</v>
      </c>
      <c r="G1586" s="37"/>
      <c r="H1586" s="17" t="s">
        <v>3600</v>
      </c>
      <c r="I1586" s="37" t="s">
        <v>3027</v>
      </c>
      <c r="J1586" s="17"/>
      <c r="K1586" s="17">
        <v>400.0</v>
      </c>
      <c r="L1586" s="37" t="s">
        <v>58</v>
      </c>
      <c r="M1586" s="37"/>
      <c r="N1586" s="17"/>
      <c r="O1586" s="1"/>
      <c r="P1586" s="15"/>
      <c r="Q1586" s="15"/>
      <c r="R1586" s="1"/>
      <c r="S1586" s="1"/>
    </row>
    <row r="1587">
      <c r="A1587" s="1"/>
      <c r="B1587" s="3">
        <f t="shared" si="3"/>
        <v>1583</v>
      </c>
      <c r="C1587" s="31" t="s">
        <v>3687</v>
      </c>
      <c r="D1587" s="37" t="s">
        <v>49</v>
      </c>
      <c r="E1587" s="37" t="s">
        <v>1837</v>
      </c>
      <c r="F1587" s="43" t="s">
        <v>3688</v>
      </c>
      <c r="G1587" s="37"/>
      <c r="H1587" s="17" t="s">
        <v>3600</v>
      </c>
      <c r="I1587" s="37" t="s">
        <v>3027</v>
      </c>
      <c r="J1587" s="17"/>
      <c r="K1587" s="17" t="s">
        <v>2297</v>
      </c>
      <c r="L1587" s="37" t="s">
        <v>58</v>
      </c>
      <c r="M1587" s="37"/>
      <c r="N1587" s="17"/>
      <c r="O1587" s="1"/>
      <c r="P1587" s="15"/>
      <c r="Q1587" s="15"/>
      <c r="R1587" s="1"/>
      <c r="S1587" s="1"/>
    </row>
    <row r="1588">
      <c r="A1588" s="1"/>
      <c r="B1588" s="3">
        <f t="shared" si="3"/>
        <v>1584</v>
      </c>
      <c r="C1588" s="31" t="s">
        <v>3689</v>
      </c>
      <c r="D1588" s="37" t="s">
        <v>112</v>
      </c>
      <c r="E1588" s="37" t="s">
        <v>1535</v>
      </c>
      <c r="F1588" s="43" t="s">
        <v>3690</v>
      </c>
      <c r="G1588" s="37"/>
      <c r="H1588" s="17" t="s">
        <v>3600</v>
      </c>
      <c r="I1588" s="37" t="s">
        <v>3027</v>
      </c>
      <c r="J1588" s="17"/>
      <c r="K1588" s="17">
        <v>380.0</v>
      </c>
      <c r="L1588" s="37" t="s">
        <v>58</v>
      </c>
      <c r="M1588" s="37"/>
      <c r="N1588" s="17"/>
      <c r="O1588" s="1"/>
      <c r="P1588" s="15"/>
      <c r="Q1588" s="15"/>
      <c r="R1588" s="1"/>
      <c r="S1588" s="1"/>
    </row>
    <row r="1589">
      <c r="A1589" s="1"/>
      <c r="B1589" s="3">
        <f t="shared" si="3"/>
        <v>1585</v>
      </c>
      <c r="C1589" s="31" t="s">
        <v>3691</v>
      </c>
      <c r="D1589" s="37" t="s">
        <v>96</v>
      </c>
      <c r="E1589" s="37" t="s">
        <v>1578</v>
      </c>
      <c r="F1589" s="43" t="s">
        <v>3692</v>
      </c>
      <c r="G1589" s="37"/>
      <c r="H1589" s="17" t="s">
        <v>3600</v>
      </c>
      <c r="I1589" s="37" t="s">
        <v>3027</v>
      </c>
      <c r="J1589" s="17"/>
      <c r="K1589" s="17">
        <v>600.0</v>
      </c>
      <c r="L1589" s="37" t="s">
        <v>189</v>
      </c>
      <c r="M1589" s="37"/>
      <c r="N1589" s="17"/>
      <c r="O1589" s="1"/>
      <c r="P1589" s="15"/>
      <c r="Q1589" s="15"/>
      <c r="R1589" s="1"/>
      <c r="S1589" s="1"/>
    </row>
    <row r="1590">
      <c r="A1590" s="1"/>
      <c r="B1590" s="3">
        <f t="shared" si="3"/>
        <v>1586</v>
      </c>
      <c r="C1590" s="31" t="s">
        <v>3693</v>
      </c>
      <c r="D1590" s="37" t="s">
        <v>44</v>
      </c>
      <c r="E1590" s="37" t="s">
        <v>2465</v>
      </c>
      <c r="F1590" s="43" t="s">
        <v>3694</v>
      </c>
      <c r="G1590" s="37"/>
      <c r="H1590" s="17" t="s">
        <v>3600</v>
      </c>
      <c r="I1590" s="37" t="s">
        <v>3027</v>
      </c>
      <c r="J1590" s="17"/>
      <c r="K1590" s="17" t="s">
        <v>3695</v>
      </c>
      <c r="L1590" s="37" t="s">
        <v>189</v>
      </c>
      <c r="M1590" s="37" t="s">
        <v>57</v>
      </c>
      <c r="N1590" s="17" t="s">
        <v>39</v>
      </c>
      <c r="O1590" s="1"/>
      <c r="P1590" s="67" t="s">
        <v>3696</v>
      </c>
      <c r="Q1590" s="15"/>
      <c r="R1590" s="1"/>
      <c r="S1590" s="1"/>
    </row>
    <row r="1591">
      <c r="A1591" s="1"/>
      <c r="B1591" s="3">
        <f t="shared" si="3"/>
        <v>1587</v>
      </c>
      <c r="C1591" s="31" t="s">
        <v>3697</v>
      </c>
      <c r="D1591" s="37" t="s">
        <v>96</v>
      </c>
      <c r="E1591" s="37" t="s">
        <v>1589</v>
      </c>
      <c r="F1591" s="43" t="s">
        <v>3698</v>
      </c>
      <c r="G1591" s="37"/>
      <c r="H1591" s="17" t="s">
        <v>3600</v>
      </c>
      <c r="I1591" s="37" t="s">
        <v>3027</v>
      </c>
      <c r="J1591" s="17"/>
      <c r="K1591" s="17">
        <v>400.0</v>
      </c>
      <c r="L1591" s="37" t="s">
        <v>189</v>
      </c>
      <c r="M1591" s="37" t="s">
        <v>57</v>
      </c>
      <c r="N1591" s="17" t="s">
        <v>28</v>
      </c>
      <c r="O1591" s="1"/>
      <c r="P1591" s="67" t="s">
        <v>3675</v>
      </c>
      <c r="Q1591" s="67" t="s">
        <v>3699</v>
      </c>
      <c r="R1591" s="1"/>
      <c r="S1591" s="1"/>
    </row>
    <row r="1592">
      <c r="A1592" s="1"/>
      <c r="B1592" s="3">
        <f t="shared" si="3"/>
        <v>1588</v>
      </c>
      <c r="C1592" s="31" t="s">
        <v>3700</v>
      </c>
      <c r="D1592" s="37" t="s">
        <v>56</v>
      </c>
      <c r="E1592" s="37" t="s">
        <v>1848</v>
      </c>
      <c r="F1592" s="43" t="s">
        <v>3701</v>
      </c>
      <c r="G1592" s="37"/>
      <c r="H1592" s="17" t="s">
        <v>3600</v>
      </c>
      <c r="I1592" s="37" t="s">
        <v>3027</v>
      </c>
      <c r="J1592" s="17"/>
      <c r="K1592" s="17" t="s">
        <v>2231</v>
      </c>
      <c r="L1592" s="37" t="s">
        <v>189</v>
      </c>
      <c r="M1592" s="37"/>
      <c r="N1592" s="17"/>
      <c r="O1592" s="1"/>
      <c r="P1592" s="67" t="s">
        <v>3702</v>
      </c>
      <c r="Q1592" s="15"/>
      <c r="R1592" s="1"/>
      <c r="S1592" s="1"/>
    </row>
    <row r="1593">
      <c r="A1593" s="1"/>
      <c r="B1593" s="3">
        <f t="shared" si="3"/>
        <v>1589</v>
      </c>
      <c r="C1593" s="31" t="s">
        <v>3703</v>
      </c>
      <c r="D1593" s="37" t="s">
        <v>38</v>
      </c>
      <c r="E1593" s="37" t="s">
        <v>3704</v>
      </c>
      <c r="F1593" s="43" t="s">
        <v>3705</v>
      </c>
      <c r="G1593" s="37"/>
      <c r="H1593" s="17" t="s">
        <v>3600</v>
      </c>
      <c r="I1593" s="37" t="s">
        <v>3027</v>
      </c>
      <c r="J1593" s="17">
        <v>250.0</v>
      </c>
      <c r="K1593" s="17" t="s">
        <v>1256</v>
      </c>
      <c r="L1593" s="37" t="s">
        <v>58</v>
      </c>
      <c r="M1593" s="37"/>
      <c r="N1593" s="17"/>
      <c r="O1593" s="1"/>
      <c r="P1593" s="15"/>
      <c r="Q1593" s="15"/>
      <c r="R1593" s="1"/>
      <c r="S1593" s="1"/>
    </row>
    <row r="1594">
      <c r="A1594" s="1"/>
      <c r="B1594" s="3">
        <f t="shared" si="3"/>
        <v>1590</v>
      </c>
      <c r="C1594" s="31" t="s">
        <v>3706</v>
      </c>
      <c r="D1594" s="37" t="s">
        <v>497</v>
      </c>
      <c r="E1594" s="37" t="s">
        <v>3707</v>
      </c>
      <c r="F1594" s="43" t="s">
        <v>3708</v>
      </c>
      <c r="G1594" s="37"/>
      <c r="H1594" s="17" t="s">
        <v>3600</v>
      </c>
      <c r="I1594" s="37" t="s">
        <v>3027</v>
      </c>
      <c r="J1594" s="17">
        <v>190.0</v>
      </c>
      <c r="K1594" s="17"/>
      <c r="L1594" s="37" t="s">
        <v>58</v>
      </c>
      <c r="M1594" s="37"/>
      <c r="N1594" s="17"/>
      <c r="O1594" s="1"/>
      <c r="P1594" s="67" t="s">
        <v>3709</v>
      </c>
      <c r="Q1594" s="15"/>
      <c r="R1594" s="1"/>
      <c r="S1594" s="1"/>
    </row>
    <row r="1595">
      <c r="A1595" s="1"/>
      <c r="B1595" s="3">
        <f t="shared" si="3"/>
        <v>1591</v>
      </c>
      <c r="C1595" s="31" t="s">
        <v>3710</v>
      </c>
      <c r="D1595" s="37" t="s">
        <v>104</v>
      </c>
      <c r="E1595" s="37" t="s">
        <v>3711</v>
      </c>
      <c r="F1595" s="43" t="s">
        <v>3712</v>
      </c>
      <c r="G1595" s="37"/>
      <c r="H1595" s="17" t="s">
        <v>3600</v>
      </c>
      <c r="I1595" s="37" t="s">
        <v>3027</v>
      </c>
      <c r="J1595" s="17"/>
      <c r="K1595" s="17"/>
      <c r="L1595" s="37" t="s">
        <v>189</v>
      </c>
      <c r="M1595" s="37"/>
      <c r="N1595" s="17"/>
      <c r="O1595" s="1"/>
      <c r="P1595" s="67"/>
      <c r="Q1595" s="15"/>
      <c r="R1595" s="1"/>
      <c r="S1595" s="1"/>
    </row>
    <row r="1596">
      <c r="A1596" s="1"/>
      <c r="B1596" s="3">
        <f t="shared" si="3"/>
        <v>1592</v>
      </c>
      <c r="C1596" s="31" t="s">
        <v>3713</v>
      </c>
      <c r="D1596" s="37" t="s">
        <v>497</v>
      </c>
      <c r="E1596" s="37" t="s">
        <v>2370</v>
      </c>
      <c r="F1596" s="43" t="s">
        <v>3714</v>
      </c>
      <c r="G1596" s="37"/>
      <c r="H1596" s="17" t="s">
        <v>3600</v>
      </c>
      <c r="I1596" s="37" t="s">
        <v>3027</v>
      </c>
      <c r="J1596" s="17">
        <v>390.0</v>
      </c>
      <c r="K1596" s="17"/>
      <c r="L1596" s="37" t="s">
        <v>58</v>
      </c>
      <c r="M1596" s="37"/>
      <c r="N1596" s="17"/>
      <c r="O1596" s="1"/>
      <c r="P1596" s="15"/>
      <c r="Q1596" s="15"/>
      <c r="R1596" s="1"/>
      <c r="S1596" s="1"/>
    </row>
    <row r="1597">
      <c r="A1597" s="1"/>
      <c r="B1597" s="3">
        <f t="shared" si="3"/>
        <v>1593</v>
      </c>
      <c r="C1597" s="31" t="s">
        <v>3715</v>
      </c>
      <c r="D1597" s="37" t="s">
        <v>38</v>
      </c>
      <c r="E1597" s="37" t="s">
        <v>3224</v>
      </c>
      <c r="F1597" s="43" t="s">
        <v>3716</v>
      </c>
      <c r="G1597" s="37"/>
      <c r="H1597" s="17" t="s">
        <v>3600</v>
      </c>
      <c r="I1597" s="37" t="s">
        <v>3027</v>
      </c>
      <c r="J1597" s="17"/>
      <c r="K1597" s="17" t="s">
        <v>3717</v>
      </c>
      <c r="L1597" s="37" t="s">
        <v>58</v>
      </c>
      <c r="M1597" s="37"/>
      <c r="N1597" s="17"/>
      <c r="O1597" s="1"/>
      <c r="P1597" s="15"/>
      <c r="Q1597" s="15"/>
      <c r="R1597" s="1"/>
      <c r="S1597" s="1"/>
    </row>
    <row r="1598">
      <c r="A1598" s="1"/>
      <c r="B1598" s="3">
        <f t="shared" si="3"/>
        <v>1594</v>
      </c>
      <c r="C1598" s="31" t="s">
        <v>3718</v>
      </c>
      <c r="D1598" s="37" t="s">
        <v>96</v>
      </c>
      <c r="E1598" s="37" t="s">
        <v>1589</v>
      </c>
      <c r="F1598" s="43" t="s">
        <v>3719</v>
      </c>
      <c r="G1598" s="37"/>
      <c r="H1598" s="17" t="s">
        <v>3600</v>
      </c>
      <c r="I1598" s="37" t="s">
        <v>3027</v>
      </c>
      <c r="J1598" s="17"/>
      <c r="K1598" s="17" t="s">
        <v>3720</v>
      </c>
      <c r="L1598" s="37" t="s">
        <v>58</v>
      </c>
      <c r="M1598" s="37"/>
      <c r="N1598" s="17"/>
      <c r="O1598" s="1"/>
      <c r="P1598" s="67" t="s">
        <v>3675</v>
      </c>
      <c r="Q1598" s="15"/>
      <c r="R1598" s="1"/>
      <c r="S1598" s="1"/>
    </row>
    <row r="1599">
      <c r="A1599" s="1"/>
      <c r="B1599" s="3">
        <f t="shared" si="3"/>
        <v>1595</v>
      </c>
      <c r="C1599" s="31" t="s">
        <v>3721</v>
      </c>
      <c r="D1599" s="37" t="s">
        <v>83</v>
      </c>
      <c r="E1599" s="37" t="s">
        <v>1959</v>
      </c>
      <c r="F1599" s="43" t="s">
        <v>3722</v>
      </c>
      <c r="G1599" s="37"/>
      <c r="H1599" s="17" t="s">
        <v>3600</v>
      </c>
      <c r="I1599" s="37" t="s">
        <v>3027</v>
      </c>
      <c r="J1599" s="17"/>
      <c r="K1599" s="17">
        <v>400.0</v>
      </c>
      <c r="L1599" s="37" t="s">
        <v>58</v>
      </c>
      <c r="M1599" s="37"/>
      <c r="N1599" s="17"/>
      <c r="O1599" s="1"/>
      <c r="P1599" s="67" t="s">
        <v>3723</v>
      </c>
      <c r="Q1599" s="15"/>
      <c r="R1599" s="1"/>
      <c r="S1599" s="1"/>
    </row>
    <row r="1600">
      <c r="A1600" s="1"/>
      <c r="B1600" s="3">
        <f t="shared" si="3"/>
        <v>1596</v>
      </c>
      <c r="C1600" s="31" t="s">
        <v>3724</v>
      </c>
      <c r="D1600" s="37" t="s">
        <v>116</v>
      </c>
      <c r="E1600" s="37" t="s">
        <v>3725</v>
      </c>
      <c r="F1600" s="43" t="s">
        <v>3726</v>
      </c>
      <c r="G1600" s="37"/>
      <c r="H1600" s="17" t="s">
        <v>3600</v>
      </c>
      <c r="I1600" s="37" t="s">
        <v>3027</v>
      </c>
      <c r="J1600" s="17"/>
      <c r="K1600" s="17"/>
      <c r="L1600" s="37" t="s">
        <v>58</v>
      </c>
      <c r="M1600" s="37" t="s">
        <v>57</v>
      </c>
      <c r="N1600" s="17"/>
      <c r="O1600" s="1"/>
      <c r="P1600" s="15"/>
      <c r="Q1600" s="15"/>
      <c r="R1600" s="1"/>
      <c r="S1600" s="1"/>
    </row>
    <row r="1601">
      <c r="A1601" s="1"/>
      <c r="B1601" s="3">
        <f t="shared" si="3"/>
        <v>1597</v>
      </c>
      <c r="C1601" s="31" t="s">
        <v>3727</v>
      </c>
      <c r="D1601" s="37" t="s">
        <v>96</v>
      </c>
      <c r="E1601" s="37" t="s">
        <v>1589</v>
      </c>
      <c r="F1601" s="43" t="s">
        <v>3728</v>
      </c>
      <c r="G1601" s="37"/>
      <c r="H1601" s="17" t="s">
        <v>3600</v>
      </c>
      <c r="I1601" s="37" t="s">
        <v>3027</v>
      </c>
      <c r="J1601" s="17" t="s">
        <v>3729</v>
      </c>
      <c r="K1601" s="17"/>
      <c r="L1601" s="37" t="s">
        <v>58</v>
      </c>
      <c r="M1601" s="37"/>
      <c r="N1601" s="17"/>
      <c r="O1601" s="1"/>
      <c r="P1601" s="67" t="s">
        <v>3730</v>
      </c>
      <c r="Q1601" s="15"/>
      <c r="R1601" s="1"/>
      <c r="S1601" s="1"/>
    </row>
    <row r="1602">
      <c r="A1602" s="1"/>
      <c r="B1602" s="3">
        <f t="shared" si="3"/>
        <v>1598</v>
      </c>
      <c r="C1602" s="31" t="s">
        <v>3731</v>
      </c>
      <c r="D1602" s="37" t="s">
        <v>116</v>
      </c>
      <c r="E1602" s="37" t="s">
        <v>1583</v>
      </c>
      <c r="F1602" s="1"/>
      <c r="G1602" s="37"/>
      <c r="H1602" s="17" t="s">
        <v>3600</v>
      </c>
      <c r="I1602" s="37" t="s">
        <v>3027</v>
      </c>
      <c r="J1602" s="17"/>
      <c r="K1602" s="17"/>
      <c r="L1602" s="37" t="s">
        <v>58</v>
      </c>
      <c r="M1602" s="37" t="s">
        <v>57</v>
      </c>
      <c r="N1602" s="17"/>
      <c r="O1602" s="1"/>
      <c r="P1602" s="15"/>
      <c r="Q1602" s="15"/>
      <c r="R1602" s="1"/>
      <c r="S1602" s="1"/>
    </row>
    <row r="1603">
      <c r="A1603" s="1"/>
      <c r="B1603" s="3">
        <f t="shared" si="3"/>
        <v>1599</v>
      </c>
      <c r="C1603" s="31" t="s">
        <v>3732</v>
      </c>
      <c r="D1603" s="37" t="s">
        <v>159</v>
      </c>
      <c r="E1603" s="37" t="s">
        <v>1320</v>
      </c>
      <c r="F1603" s="43" t="s">
        <v>3733</v>
      </c>
      <c r="G1603" s="37"/>
      <c r="H1603" s="46">
        <v>46260.0</v>
      </c>
      <c r="I1603" s="37" t="s">
        <v>3027</v>
      </c>
      <c r="J1603" s="17"/>
      <c r="K1603" s="17" t="s">
        <v>3734</v>
      </c>
      <c r="L1603" s="37" t="s">
        <v>58</v>
      </c>
      <c r="M1603" s="37"/>
      <c r="N1603" s="17"/>
      <c r="O1603" s="1"/>
      <c r="P1603" s="15"/>
      <c r="Q1603" s="15"/>
      <c r="R1603" s="1"/>
      <c r="S1603" s="1"/>
    </row>
    <row r="1604">
      <c r="A1604" s="1"/>
      <c r="B1604" s="3">
        <f t="shared" si="3"/>
        <v>1600</v>
      </c>
      <c r="C1604" s="31" t="s">
        <v>3735</v>
      </c>
      <c r="D1604" s="37" t="s">
        <v>56</v>
      </c>
      <c r="E1604" s="37" t="s">
        <v>1595</v>
      </c>
      <c r="F1604" s="43" t="s">
        <v>3736</v>
      </c>
      <c r="G1604" s="37"/>
      <c r="H1604" s="46">
        <v>46260.0</v>
      </c>
      <c r="I1604" s="37" t="s">
        <v>3027</v>
      </c>
      <c r="J1604" s="17"/>
      <c r="K1604" s="17">
        <v>240.0</v>
      </c>
      <c r="L1604" s="37" t="s">
        <v>58</v>
      </c>
      <c r="M1604" s="37"/>
      <c r="N1604" s="17"/>
      <c r="O1604" s="1"/>
      <c r="P1604" s="15"/>
      <c r="Q1604" s="15"/>
      <c r="R1604" s="1"/>
      <c r="S1604" s="1"/>
    </row>
    <row r="1605">
      <c r="A1605" s="1"/>
      <c r="B1605" s="3">
        <f t="shared" si="3"/>
        <v>1601</v>
      </c>
      <c r="C1605" s="31" t="s">
        <v>3737</v>
      </c>
      <c r="D1605" s="37" t="s">
        <v>44</v>
      </c>
      <c r="E1605" s="37" t="s">
        <v>1285</v>
      </c>
      <c r="F1605" s="43" t="s">
        <v>3738</v>
      </c>
      <c r="G1605" s="37"/>
      <c r="H1605" s="46">
        <v>46260.0</v>
      </c>
      <c r="I1605" s="37" t="s">
        <v>3027</v>
      </c>
      <c r="J1605" s="17"/>
      <c r="K1605" s="17" t="s">
        <v>3739</v>
      </c>
      <c r="L1605" s="37" t="s">
        <v>58</v>
      </c>
      <c r="M1605" s="37"/>
      <c r="N1605" s="17"/>
      <c r="O1605" s="1"/>
      <c r="P1605" s="15"/>
      <c r="Q1605" s="15"/>
      <c r="R1605" s="1"/>
      <c r="S1605" s="1"/>
    </row>
    <row r="1606">
      <c r="A1606" s="1"/>
      <c r="B1606" s="3">
        <f t="shared" si="3"/>
        <v>1602</v>
      </c>
      <c r="C1606" s="31" t="s">
        <v>3740</v>
      </c>
      <c r="D1606" s="37" t="s">
        <v>56</v>
      </c>
      <c r="E1606" s="37" t="s">
        <v>1535</v>
      </c>
      <c r="F1606" s="43" t="s">
        <v>3741</v>
      </c>
      <c r="G1606" s="37"/>
      <c r="H1606" s="46">
        <v>46260.0</v>
      </c>
      <c r="I1606" s="37" t="s">
        <v>3027</v>
      </c>
      <c r="J1606" s="17"/>
      <c r="K1606" s="17" t="s">
        <v>1256</v>
      </c>
      <c r="L1606" s="37" t="s">
        <v>58</v>
      </c>
      <c r="M1606" s="37"/>
      <c r="N1606" s="17"/>
      <c r="O1606" s="1"/>
      <c r="P1606" s="15"/>
      <c r="Q1606" s="15"/>
      <c r="R1606" s="1"/>
      <c r="S1606" s="1"/>
    </row>
    <row r="1607">
      <c r="A1607" s="1"/>
      <c r="B1607" s="3">
        <f t="shared" si="3"/>
        <v>1603</v>
      </c>
      <c r="C1607" s="31" t="s">
        <v>3742</v>
      </c>
      <c r="D1607" s="37" t="s">
        <v>116</v>
      </c>
      <c r="E1607" s="37" t="s">
        <v>1589</v>
      </c>
      <c r="F1607" s="43" t="s">
        <v>3743</v>
      </c>
      <c r="G1607" s="37"/>
      <c r="H1607" s="46">
        <v>46260.0</v>
      </c>
      <c r="I1607" s="37" t="s">
        <v>3027</v>
      </c>
      <c r="J1607" s="17"/>
      <c r="K1607" s="17"/>
      <c r="L1607" s="37" t="s">
        <v>58</v>
      </c>
      <c r="M1607" s="37" t="s">
        <v>57</v>
      </c>
      <c r="N1607" s="17"/>
      <c r="O1607" s="1"/>
      <c r="P1607" s="15"/>
      <c r="Q1607" s="15"/>
      <c r="R1607" s="1"/>
      <c r="S1607" s="1"/>
    </row>
    <row r="1608">
      <c r="A1608" s="1"/>
      <c r="B1608" s="3">
        <f t="shared" si="3"/>
        <v>1604</v>
      </c>
      <c r="C1608" s="31" t="s">
        <v>3744</v>
      </c>
      <c r="D1608" s="37" t="s">
        <v>44</v>
      </c>
      <c r="E1608" s="37" t="s">
        <v>600</v>
      </c>
      <c r="F1608" s="43" t="s">
        <v>3745</v>
      </c>
      <c r="G1608" s="37"/>
      <c r="H1608" s="46">
        <v>46260.0</v>
      </c>
      <c r="I1608" s="37" t="s">
        <v>3027</v>
      </c>
      <c r="J1608" s="17"/>
      <c r="K1608" s="17" t="s">
        <v>1256</v>
      </c>
      <c r="L1608" s="37" t="s">
        <v>58</v>
      </c>
      <c r="M1608" s="37" t="s">
        <v>68</v>
      </c>
      <c r="N1608" s="17"/>
      <c r="O1608" s="1"/>
      <c r="P1608" s="15"/>
      <c r="Q1608" s="15"/>
      <c r="R1608" s="1"/>
      <c r="S1608" s="1"/>
    </row>
    <row r="1609">
      <c r="A1609" s="1"/>
      <c r="B1609" s="3">
        <f t="shared" si="3"/>
        <v>1605</v>
      </c>
      <c r="C1609" s="31" t="s">
        <v>3746</v>
      </c>
      <c r="D1609" s="37" t="s">
        <v>49</v>
      </c>
      <c r="E1609" s="37" t="s">
        <v>1285</v>
      </c>
      <c r="F1609" s="43" t="s">
        <v>3747</v>
      </c>
      <c r="G1609" s="37"/>
      <c r="H1609" s="46">
        <v>46260.0</v>
      </c>
      <c r="I1609" s="37" t="s">
        <v>3027</v>
      </c>
      <c r="J1609" s="17"/>
      <c r="K1609" s="17" t="s">
        <v>3748</v>
      </c>
      <c r="L1609" s="37" t="s">
        <v>58</v>
      </c>
      <c r="M1609" s="37"/>
      <c r="N1609" s="17"/>
      <c r="O1609" s="1"/>
      <c r="P1609" s="15"/>
      <c r="Q1609" s="15"/>
      <c r="R1609" s="1"/>
      <c r="S1609" s="1"/>
    </row>
    <row r="1610">
      <c r="A1610" s="1"/>
      <c r="B1610" s="3">
        <f t="shared" si="3"/>
        <v>1606</v>
      </c>
      <c r="C1610" s="31" t="s">
        <v>3749</v>
      </c>
      <c r="D1610" s="37" t="s">
        <v>83</v>
      </c>
      <c r="E1610" s="37" t="s">
        <v>2951</v>
      </c>
      <c r="F1610" s="43" t="s">
        <v>3750</v>
      </c>
      <c r="G1610" s="37"/>
      <c r="H1610" s="46">
        <v>46260.0</v>
      </c>
      <c r="I1610" s="37" t="s">
        <v>3027</v>
      </c>
      <c r="J1610" s="17"/>
      <c r="K1610" s="17" t="s">
        <v>2297</v>
      </c>
      <c r="L1610" s="37" t="s">
        <v>189</v>
      </c>
      <c r="M1610" s="37"/>
      <c r="N1610" s="17"/>
      <c r="O1610" s="1"/>
      <c r="P1610" s="15"/>
      <c r="Q1610" s="15"/>
      <c r="R1610" s="1"/>
      <c r="S1610" s="1"/>
    </row>
    <row r="1611">
      <c r="A1611" s="1"/>
      <c r="B1611" s="3">
        <f t="shared" si="3"/>
        <v>1607</v>
      </c>
      <c r="C1611" s="31" t="s">
        <v>3751</v>
      </c>
      <c r="D1611" s="37" t="s">
        <v>49</v>
      </c>
      <c r="E1611" s="37" t="s">
        <v>1285</v>
      </c>
      <c r="F1611" s="43" t="s">
        <v>3752</v>
      </c>
      <c r="G1611" s="37"/>
      <c r="H1611" s="46">
        <v>46260.0</v>
      </c>
      <c r="I1611" s="37" t="s">
        <v>3027</v>
      </c>
      <c r="J1611" s="17"/>
      <c r="K1611" s="17">
        <v>400.0</v>
      </c>
      <c r="L1611" s="37" t="s">
        <v>58</v>
      </c>
      <c r="M1611" s="37"/>
      <c r="N1611" s="17"/>
      <c r="O1611" s="1"/>
      <c r="P1611" s="67" t="s">
        <v>3753</v>
      </c>
      <c r="Q1611" s="15"/>
      <c r="R1611" s="1"/>
      <c r="S1611" s="1"/>
    </row>
    <row r="1612">
      <c r="A1612" s="1"/>
      <c r="B1612" s="3">
        <f t="shared" si="3"/>
        <v>1608</v>
      </c>
      <c r="C1612" s="31" t="s">
        <v>3754</v>
      </c>
      <c r="D1612" s="37" t="s">
        <v>83</v>
      </c>
      <c r="E1612" s="37" t="s">
        <v>1398</v>
      </c>
      <c r="F1612" s="43" t="s">
        <v>3755</v>
      </c>
      <c r="G1612" s="37"/>
      <c r="H1612" s="46">
        <v>46260.0</v>
      </c>
      <c r="I1612" s="37" t="s">
        <v>3027</v>
      </c>
      <c r="J1612" s="17"/>
      <c r="K1612" s="17" t="s">
        <v>3756</v>
      </c>
      <c r="L1612" s="37" t="s">
        <v>58</v>
      </c>
      <c r="M1612" s="37"/>
      <c r="N1612" s="17"/>
      <c r="O1612" s="1"/>
      <c r="P1612" s="15"/>
      <c r="Q1612" s="15"/>
      <c r="R1612" s="1"/>
      <c r="S1612" s="1"/>
    </row>
    <row r="1613">
      <c r="A1613" s="1"/>
      <c r="B1613" s="3">
        <f t="shared" si="3"/>
        <v>1609</v>
      </c>
      <c r="C1613" s="31" t="s">
        <v>3757</v>
      </c>
      <c r="D1613" s="37" t="s">
        <v>497</v>
      </c>
      <c r="E1613" s="37" t="s">
        <v>2000</v>
      </c>
      <c r="F1613" s="43" t="s">
        <v>3758</v>
      </c>
      <c r="G1613" s="37"/>
      <c r="H1613" s="46">
        <v>46260.0</v>
      </c>
      <c r="I1613" s="37" t="s">
        <v>3027</v>
      </c>
      <c r="J1613" s="17" t="s">
        <v>3759</v>
      </c>
      <c r="K1613" s="17"/>
      <c r="L1613" s="37" t="s">
        <v>58</v>
      </c>
      <c r="M1613" s="37" t="s">
        <v>57</v>
      </c>
      <c r="N1613" s="17" t="s">
        <v>28</v>
      </c>
      <c r="O1613" s="153">
        <v>46261.0</v>
      </c>
      <c r="P1613" s="15"/>
      <c r="Q1613" s="15"/>
      <c r="R1613" s="1"/>
      <c r="S1613" s="1"/>
    </row>
    <row r="1614">
      <c r="A1614" s="1"/>
      <c r="B1614" s="3">
        <f t="shared" si="3"/>
        <v>1610</v>
      </c>
      <c r="C1614" s="31" t="s">
        <v>3760</v>
      </c>
      <c r="D1614" s="37" t="s">
        <v>38</v>
      </c>
      <c r="E1614" s="37" t="s">
        <v>2431</v>
      </c>
      <c r="F1614" s="43" t="s">
        <v>3761</v>
      </c>
      <c r="G1614" s="37"/>
      <c r="H1614" s="46">
        <v>46260.0</v>
      </c>
      <c r="I1614" s="37" t="s">
        <v>3027</v>
      </c>
      <c r="J1614" s="17"/>
      <c r="K1614" s="17" t="s">
        <v>2342</v>
      </c>
      <c r="L1614" s="37" t="s">
        <v>189</v>
      </c>
      <c r="M1614" s="37"/>
      <c r="N1614" s="17"/>
      <c r="O1614" s="1"/>
      <c r="P1614" s="15"/>
      <c r="Q1614" s="15"/>
      <c r="R1614" s="1"/>
      <c r="S1614" s="1"/>
    </row>
    <row r="1615">
      <c r="A1615" s="1"/>
      <c r="B1615" s="3">
        <f t="shared" si="3"/>
        <v>1611</v>
      </c>
      <c r="C1615" s="31" t="s">
        <v>3762</v>
      </c>
      <c r="D1615" s="37" t="s">
        <v>47</v>
      </c>
      <c r="E1615" s="37" t="s">
        <v>1535</v>
      </c>
      <c r="F1615" s="43" t="s">
        <v>3763</v>
      </c>
      <c r="G1615" s="37"/>
      <c r="H1615" s="46">
        <v>46260.0</v>
      </c>
      <c r="I1615" s="37" t="s">
        <v>3027</v>
      </c>
      <c r="J1615" s="17"/>
      <c r="K1615" s="17" t="s">
        <v>3764</v>
      </c>
      <c r="L1615" s="37" t="s">
        <v>58</v>
      </c>
      <c r="M1615" s="37"/>
      <c r="N1615" s="17"/>
      <c r="O1615" s="1"/>
      <c r="P1615" s="15"/>
      <c r="Q1615" s="15"/>
      <c r="R1615" s="1"/>
      <c r="S1615" s="1"/>
    </row>
    <row r="1616">
      <c r="A1616" s="1"/>
      <c r="B1616" s="3">
        <f t="shared" si="3"/>
        <v>1612</v>
      </c>
      <c r="C1616" s="31" t="s">
        <v>3275</v>
      </c>
      <c r="D1616" s="37" t="s">
        <v>116</v>
      </c>
      <c r="E1616" s="37" t="s">
        <v>3575</v>
      </c>
      <c r="F1616" s="43" t="s">
        <v>3765</v>
      </c>
      <c r="G1616" s="37"/>
      <c r="H1616" s="46">
        <v>46260.0</v>
      </c>
      <c r="I1616" s="37" t="s">
        <v>3027</v>
      </c>
      <c r="J1616" s="17"/>
      <c r="K1616" s="17"/>
      <c r="L1616" s="37" t="s">
        <v>58</v>
      </c>
      <c r="M1616" s="37" t="s">
        <v>57</v>
      </c>
      <c r="N1616" s="17"/>
      <c r="O1616" s="37"/>
      <c r="P1616" s="67" t="s">
        <v>3766</v>
      </c>
      <c r="Q1616" s="15"/>
      <c r="R1616" s="1"/>
      <c r="S1616" s="1"/>
    </row>
    <row r="1617">
      <c r="A1617" s="1"/>
      <c r="B1617" s="3">
        <f t="shared" si="3"/>
        <v>1613</v>
      </c>
      <c r="C1617" s="31" t="s">
        <v>3767</v>
      </c>
      <c r="D1617" s="37" t="s">
        <v>1505</v>
      </c>
      <c r="E1617" s="37" t="s">
        <v>1576</v>
      </c>
      <c r="F1617" s="43" t="s">
        <v>3768</v>
      </c>
      <c r="G1617" s="37"/>
      <c r="H1617" s="46">
        <v>46260.0</v>
      </c>
      <c r="I1617" s="37" t="s">
        <v>3027</v>
      </c>
      <c r="J1617" s="17"/>
      <c r="K1617" s="17">
        <v>300.0</v>
      </c>
      <c r="L1617" s="37" t="s">
        <v>58</v>
      </c>
      <c r="M1617" s="37"/>
      <c r="N1617" s="17"/>
      <c r="O1617" s="37"/>
      <c r="P1617" s="67" t="s">
        <v>3769</v>
      </c>
      <c r="Q1617" s="15"/>
      <c r="R1617" s="1"/>
      <c r="S1617" s="1"/>
    </row>
    <row r="1618">
      <c r="A1618" s="1"/>
      <c r="B1618" s="3">
        <f t="shared" si="3"/>
        <v>1614</v>
      </c>
      <c r="C1618" s="31" t="s">
        <v>3770</v>
      </c>
      <c r="D1618" s="37" t="s">
        <v>159</v>
      </c>
      <c r="E1618" s="37" t="s">
        <v>2846</v>
      </c>
      <c r="F1618" s="43" t="s">
        <v>3771</v>
      </c>
      <c r="G1618" s="37"/>
      <c r="H1618" s="46">
        <v>46260.0</v>
      </c>
      <c r="I1618" s="37" t="s">
        <v>3027</v>
      </c>
      <c r="J1618" s="17"/>
      <c r="K1618" s="17">
        <v>600.0</v>
      </c>
      <c r="L1618" s="37" t="s">
        <v>58</v>
      </c>
      <c r="M1618" s="37"/>
      <c r="N1618" s="17"/>
      <c r="O1618" s="1"/>
      <c r="P1618" s="15"/>
      <c r="Q1618" s="15"/>
      <c r="R1618" s="1"/>
      <c r="S1618" s="1"/>
    </row>
    <row r="1619">
      <c r="A1619" s="1"/>
      <c r="B1619" s="3">
        <f t="shared" si="3"/>
        <v>1615</v>
      </c>
      <c r="C1619" s="31" t="s">
        <v>3772</v>
      </c>
      <c r="D1619" s="37" t="s">
        <v>38</v>
      </c>
      <c r="E1619" s="37" t="s">
        <v>3773</v>
      </c>
      <c r="F1619" s="43" t="s">
        <v>3774</v>
      </c>
      <c r="G1619" s="37"/>
      <c r="H1619" s="46">
        <v>46260.0</v>
      </c>
      <c r="I1619" s="37" t="s">
        <v>3027</v>
      </c>
      <c r="J1619" s="17"/>
      <c r="K1619" s="17" t="s">
        <v>3775</v>
      </c>
      <c r="L1619" s="37" t="s">
        <v>189</v>
      </c>
      <c r="M1619" s="37"/>
      <c r="N1619" s="17"/>
      <c r="O1619" s="1"/>
      <c r="P1619" s="15"/>
      <c r="Q1619" s="15"/>
      <c r="R1619" s="1"/>
      <c r="S1619" s="1"/>
    </row>
    <row r="1620">
      <c r="A1620" s="1"/>
      <c r="B1620" s="3">
        <f t="shared" si="3"/>
        <v>1616</v>
      </c>
      <c r="C1620" s="31" t="s">
        <v>3776</v>
      </c>
      <c r="D1620" s="37" t="s">
        <v>96</v>
      </c>
      <c r="E1620" s="37" t="s">
        <v>1398</v>
      </c>
      <c r="F1620" s="43" t="s">
        <v>3777</v>
      </c>
      <c r="G1620" s="37"/>
      <c r="H1620" s="46">
        <v>46260.0</v>
      </c>
      <c r="I1620" s="37" t="s">
        <v>3027</v>
      </c>
      <c r="J1620" s="17"/>
      <c r="K1620" s="17">
        <v>400.0</v>
      </c>
      <c r="L1620" s="37" t="s">
        <v>58</v>
      </c>
      <c r="M1620" s="37" t="s">
        <v>57</v>
      </c>
      <c r="N1620" s="17"/>
      <c r="O1620" s="153">
        <v>46261.0</v>
      </c>
      <c r="P1620" s="15"/>
      <c r="Q1620" s="15"/>
      <c r="R1620" s="1"/>
      <c r="S1620" s="1"/>
    </row>
    <row r="1621">
      <c r="A1621" s="1"/>
      <c r="B1621" s="3">
        <f t="shared" si="3"/>
        <v>1617</v>
      </c>
      <c r="C1621" s="31" t="s">
        <v>3778</v>
      </c>
      <c r="D1621" s="37" t="s">
        <v>38</v>
      </c>
      <c r="E1621" s="37" t="s">
        <v>3779</v>
      </c>
      <c r="F1621" s="43" t="s">
        <v>3778</v>
      </c>
      <c r="G1621" s="37"/>
      <c r="H1621" s="46">
        <v>46260.0</v>
      </c>
      <c r="I1621" s="37" t="s">
        <v>3027</v>
      </c>
      <c r="J1621" s="17"/>
      <c r="K1621" s="17">
        <v>200.0</v>
      </c>
      <c r="L1621" s="37" t="s">
        <v>58</v>
      </c>
      <c r="M1621" s="37" t="s">
        <v>45</v>
      </c>
      <c r="N1621" s="17"/>
      <c r="O1621" s="153">
        <v>46261.0</v>
      </c>
      <c r="P1621" s="15"/>
      <c r="Q1621" s="15"/>
      <c r="R1621" s="1"/>
      <c r="S1621" s="1"/>
    </row>
    <row r="1622">
      <c r="A1622" s="1"/>
      <c r="B1622" s="3">
        <f t="shared" si="3"/>
        <v>1618</v>
      </c>
      <c r="C1622" s="31" t="s">
        <v>3780</v>
      </c>
      <c r="D1622" s="37" t="s">
        <v>96</v>
      </c>
      <c r="E1622" s="37" t="s">
        <v>1646</v>
      </c>
      <c r="F1622" s="43" t="s">
        <v>3780</v>
      </c>
      <c r="G1622" s="37"/>
      <c r="H1622" s="46">
        <v>46260.0</v>
      </c>
      <c r="I1622" s="37" t="s">
        <v>3027</v>
      </c>
      <c r="J1622" s="17"/>
      <c r="K1622" s="17" t="s">
        <v>2231</v>
      </c>
      <c r="L1622" s="37" t="s">
        <v>189</v>
      </c>
      <c r="M1622" s="37"/>
      <c r="N1622" s="17"/>
      <c r="O1622" s="1"/>
      <c r="P1622" s="15"/>
      <c r="Q1622" s="15"/>
      <c r="R1622" s="1"/>
      <c r="S1622" s="1"/>
    </row>
    <row r="1623">
      <c r="A1623" s="1"/>
      <c r="B1623" s="3">
        <f t="shared" si="3"/>
        <v>1619</v>
      </c>
      <c r="C1623" s="31" t="s">
        <v>3781</v>
      </c>
      <c r="D1623" s="37" t="s">
        <v>497</v>
      </c>
      <c r="E1623" s="37" t="s">
        <v>3782</v>
      </c>
      <c r="F1623" s="43" t="s">
        <v>3783</v>
      </c>
      <c r="G1623" s="37"/>
      <c r="H1623" s="46">
        <v>46260.0</v>
      </c>
      <c r="I1623" s="37" t="s">
        <v>413</v>
      </c>
      <c r="J1623" s="17"/>
      <c r="K1623" s="17">
        <v>300.0</v>
      </c>
      <c r="L1623" s="37" t="s">
        <v>58</v>
      </c>
      <c r="M1623" s="37"/>
      <c r="N1623" s="17"/>
      <c r="O1623" s="1"/>
      <c r="P1623" s="67" t="s">
        <v>3784</v>
      </c>
      <c r="Q1623" s="15"/>
      <c r="R1623" s="1"/>
      <c r="S1623" s="1"/>
    </row>
    <row r="1624">
      <c r="A1624" s="1"/>
      <c r="B1624" s="3">
        <f t="shared" si="3"/>
        <v>1620</v>
      </c>
      <c r="C1624" s="31" t="s">
        <v>3785</v>
      </c>
      <c r="D1624" s="37" t="s">
        <v>83</v>
      </c>
      <c r="E1624" s="37" t="s">
        <v>3782</v>
      </c>
      <c r="F1624" s="43" t="s">
        <v>3786</v>
      </c>
      <c r="G1624" s="37"/>
      <c r="H1624" s="46">
        <v>46260.0</v>
      </c>
      <c r="I1624" s="37" t="s">
        <v>413</v>
      </c>
      <c r="J1624" s="17"/>
      <c r="K1624" s="17" t="s">
        <v>2292</v>
      </c>
      <c r="L1624" s="37" t="s">
        <v>58</v>
      </c>
      <c r="M1624" s="37"/>
      <c r="N1624" s="17"/>
      <c r="O1624" s="1"/>
      <c r="P1624" s="15"/>
      <c r="Q1624" s="15"/>
      <c r="R1624" s="1"/>
      <c r="S1624" s="1"/>
    </row>
    <row r="1625">
      <c r="A1625" s="1"/>
      <c r="B1625" s="3">
        <f t="shared" si="3"/>
        <v>1621</v>
      </c>
      <c r="C1625" s="31" t="s">
        <v>3787</v>
      </c>
      <c r="D1625" s="37" t="s">
        <v>83</v>
      </c>
      <c r="E1625" s="37" t="s">
        <v>3788</v>
      </c>
      <c r="F1625" s="43" t="s">
        <v>3789</v>
      </c>
      <c r="G1625" s="37"/>
      <c r="H1625" s="46">
        <v>46260.0</v>
      </c>
      <c r="I1625" s="37" t="s">
        <v>413</v>
      </c>
      <c r="J1625" s="17"/>
      <c r="K1625" s="17">
        <v>350.0</v>
      </c>
      <c r="L1625" s="37" t="s">
        <v>58</v>
      </c>
      <c r="M1625" s="37" t="s">
        <v>45</v>
      </c>
      <c r="N1625" s="17" t="s">
        <v>28</v>
      </c>
      <c r="O1625" s="1"/>
      <c r="P1625" s="67" t="s">
        <v>3790</v>
      </c>
      <c r="Q1625" s="15"/>
      <c r="R1625" s="1"/>
      <c r="S1625" s="1"/>
    </row>
    <row r="1626">
      <c r="A1626" s="1"/>
      <c r="B1626" s="3">
        <f t="shared" si="3"/>
        <v>1622</v>
      </c>
      <c r="C1626" s="31" t="s">
        <v>3791</v>
      </c>
      <c r="D1626" s="37" t="s">
        <v>44</v>
      </c>
      <c r="E1626" s="37" t="s">
        <v>600</v>
      </c>
      <c r="F1626" s="43" t="s">
        <v>3792</v>
      </c>
      <c r="G1626" s="37"/>
      <c r="H1626" s="46">
        <v>46260.0</v>
      </c>
      <c r="I1626" s="37" t="s">
        <v>413</v>
      </c>
      <c r="J1626" s="17"/>
      <c r="K1626" s="17" t="s">
        <v>3793</v>
      </c>
      <c r="L1626" s="37" t="s">
        <v>189</v>
      </c>
      <c r="M1626" s="37"/>
      <c r="N1626" s="17"/>
      <c r="O1626" s="1"/>
      <c r="P1626" s="67" t="s">
        <v>3794</v>
      </c>
      <c r="Q1626" s="15"/>
      <c r="R1626" s="1"/>
      <c r="S1626" s="1"/>
    </row>
    <row r="1627">
      <c r="A1627" s="1"/>
      <c r="B1627" s="17">
        <v>1623.0</v>
      </c>
      <c r="C1627" s="31" t="s">
        <v>3795</v>
      </c>
      <c r="D1627" s="37" t="s">
        <v>44</v>
      </c>
      <c r="E1627" s="37" t="s">
        <v>600</v>
      </c>
      <c r="F1627" s="43" t="s">
        <v>3796</v>
      </c>
      <c r="G1627" s="37"/>
      <c r="H1627" s="46">
        <v>46260.0</v>
      </c>
      <c r="I1627" s="37" t="s">
        <v>413</v>
      </c>
      <c r="J1627" s="17"/>
      <c r="K1627" s="17">
        <v>400.0</v>
      </c>
      <c r="L1627" s="37" t="s">
        <v>58</v>
      </c>
      <c r="M1627" s="37"/>
      <c r="N1627" s="17"/>
      <c r="O1627" s="1"/>
      <c r="P1627" s="15"/>
      <c r="Q1627" s="15"/>
      <c r="R1627" s="1"/>
      <c r="S1627" s="1"/>
    </row>
    <row r="1628">
      <c r="A1628" s="1"/>
      <c r="B1628" s="17">
        <v>1624.0</v>
      </c>
      <c r="C1628" s="31" t="s">
        <v>3797</v>
      </c>
      <c r="D1628" s="37" t="s">
        <v>497</v>
      </c>
      <c r="E1628" s="37" t="s">
        <v>1366</v>
      </c>
      <c r="F1628" s="43" t="s">
        <v>3798</v>
      </c>
      <c r="G1628" s="37"/>
      <c r="H1628" s="46">
        <v>46260.0</v>
      </c>
      <c r="I1628" s="37" t="s">
        <v>413</v>
      </c>
      <c r="J1628" s="17"/>
      <c r="K1628" s="17" t="s">
        <v>3799</v>
      </c>
      <c r="L1628" s="37" t="s">
        <v>58</v>
      </c>
      <c r="M1628" s="37"/>
      <c r="N1628" s="17"/>
      <c r="O1628" s="1"/>
      <c r="P1628" s="15"/>
      <c r="Q1628" s="15"/>
      <c r="R1628" s="1"/>
      <c r="S1628" s="1"/>
    </row>
    <row r="1629">
      <c r="A1629" s="1"/>
      <c r="B1629" s="3">
        <f t="shared" ref="B1629:B1698" si="4">IF(C1629&gt;"",B1628+1,"")</f>
        <v>1625</v>
      </c>
      <c r="C1629" s="31" t="s">
        <v>3800</v>
      </c>
      <c r="D1629" s="37" t="s">
        <v>44</v>
      </c>
      <c r="E1629" s="37" t="s">
        <v>3321</v>
      </c>
      <c r="F1629" s="43" t="s">
        <v>3801</v>
      </c>
      <c r="G1629" s="37"/>
      <c r="H1629" s="46">
        <v>46260.0</v>
      </c>
      <c r="I1629" s="37" t="s">
        <v>413</v>
      </c>
      <c r="J1629" s="17"/>
      <c r="K1629" s="17">
        <v>400.0</v>
      </c>
      <c r="L1629" s="37" t="s">
        <v>58</v>
      </c>
      <c r="M1629" s="37"/>
      <c r="N1629" s="17"/>
      <c r="O1629" s="1"/>
      <c r="P1629" s="67" t="s">
        <v>3802</v>
      </c>
      <c r="Q1629" s="15"/>
      <c r="R1629" s="1"/>
      <c r="S1629" s="1"/>
    </row>
    <row r="1630">
      <c r="A1630" s="1"/>
      <c r="B1630" s="3">
        <f t="shared" si="4"/>
        <v>1626</v>
      </c>
      <c r="C1630" s="31" t="s">
        <v>3803</v>
      </c>
      <c r="D1630" s="37" t="s">
        <v>3804</v>
      </c>
      <c r="E1630" s="37" t="s">
        <v>600</v>
      </c>
      <c r="F1630" s="43" t="s">
        <v>3805</v>
      </c>
      <c r="G1630" s="37"/>
      <c r="H1630" s="46">
        <v>46260.0</v>
      </c>
      <c r="I1630" s="37" t="s">
        <v>413</v>
      </c>
      <c r="J1630" s="17"/>
      <c r="K1630" s="17">
        <v>150.0</v>
      </c>
      <c r="L1630" s="37" t="s">
        <v>58</v>
      </c>
      <c r="M1630" s="37"/>
      <c r="N1630" s="17"/>
      <c r="O1630" s="1"/>
      <c r="P1630" s="67" t="s">
        <v>3806</v>
      </c>
      <c r="Q1630" s="15"/>
      <c r="R1630" s="1"/>
      <c r="S1630" s="1"/>
    </row>
    <row r="1631">
      <c r="A1631" s="1"/>
      <c r="B1631" s="3">
        <f t="shared" si="4"/>
        <v>1627</v>
      </c>
      <c r="C1631" s="31" t="s">
        <v>3807</v>
      </c>
      <c r="D1631" s="37" t="s">
        <v>96</v>
      </c>
      <c r="E1631" s="37" t="s">
        <v>3808</v>
      </c>
      <c r="F1631" s="43" t="s">
        <v>3809</v>
      </c>
      <c r="G1631" s="37"/>
      <c r="H1631" s="46">
        <v>46260.0</v>
      </c>
      <c r="I1631" s="37" t="s">
        <v>413</v>
      </c>
      <c r="J1631" s="17"/>
      <c r="K1631" s="17">
        <v>600.0</v>
      </c>
      <c r="L1631" s="37" t="s">
        <v>189</v>
      </c>
      <c r="M1631" s="37"/>
      <c r="N1631" s="17"/>
      <c r="O1631" s="1"/>
      <c r="P1631" s="67" t="s">
        <v>3810</v>
      </c>
      <c r="Q1631" s="15"/>
      <c r="R1631" s="1"/>
      <c r="S1631" s="1"/>
    </row>
    <row r="1632">
      <c r="A1632" s="1"/>
      <c r="B1632" s="3">
        <f t="shared" si="4"/>
        <v>1628</v>
      </c>
      <c r="C1632" s="31" t="s">
        <v>3811</v>
      </c>
      <c r="D1632" s="37" t="s">
        <v>83</v>
      </c>
      <c r="E1632" s="37" t="s">
        <v>1366</v>
      </c>
      <c r="F1632" s="43" t="s">
        <v>3812</v>
      </c>
      <c r="G1632" s="37"/>
      <c r="H1632" s="46">
        <v>46260.0</v>
      </c>
      <c r="I1632" s="37" t="s">
        <v>413</v>
      </c>
      <c r="J1632" s="17">
        <v>220.0</v>
      </c>
      <c r="K1632" s="17" t="s">
        <v>3813</v>
      </c>
      <c r="L1632" s="37" t="s">
        <v>58</v>
      </c>
      <c r="M1632" s="37" t="s">
        <v>57</v>
      </c>
      <c r="N1632" s="17" t="s">
        <v>28</v>
      </c>
      <c r="O1632" s="125">
        <v>46261.0</v>
      </c>
      <c r="P1632" s="67" t="s">
        <v>3814</v>
      </c>
      <c r="Q1632" s="15"/>
      <c r="R1632" s="1"/>
      <c r="S1632" s="1"/>
    </row>
    <row r="1633">
      <c r="A1633" s="1"/>
      <c r="B1633" s="3">
        <f t="shared" si="4"/>
        <v>1629</v>
      </c>
      <c r="C1633" s="31" t="s">
        <v>3815</v>
      </c>
      <c r="D1633" s="37" t="s">
        <v>103</v>
      </c>
      <c r="E1633" s="37" t="s">
        <v>1493</v>
      </c>
      <c r="F1633" s="43" t="s">
        <v>3816</v>
      </c>
      <c r="G1633" s="37"/>
      <c r="H1633" s="46">
        <v>46260.0</v>
      </c>
      <c r="I1633" s="37" t="s">
        <v>413</v>
      </c>
      <c r="J1633" s="17"/>
      <c r="K1633" s="17" t="s">
        <v>3643</v>
      </c>
      <c r="L1633" s="37" t="s">
        <v>58</v>
      </c>
      <c r="M1633" s="37"/>
      <c r="N1633" s="17"/>
      <c r="O1633" s="1"/>
      <c r="P1633" s="67" t="s">
        <v>3817</v>
      </c>
      <c r="Q1633" s="15"/>
      <c r="R1633" s="1"/>
      <c r="S1633" s="1"/>
    </row>
    <row r="1634">
      <c r="A1634" s="1"/>
      <c r="B1634" s="3">
        <f t="shared" si="4"/>
        <v>1630</v>
      </c>
      <c r="C1634" s="31" t="s">
        <v>3818</v>
      </c>
      <c r="D1634" s="37" t="s">
        <v>112</v>
      </c>
      <c r="E1634" s="37" t="s">
        <v>3296</v>
      </c>
      <c r="F1634" s="43" t="s">
        <v>3819</v>
      </c>
      <c r="G1634" s="37"/>
      <c r="H1634" s="46">
        <v>46260.0</v>
      </c>
      <c r="I1634" s="37" t="s">
        <v>413</v>
      </c>
      <c r="J1634" s="17"/>
      <c r="K1634" s="17" t="s">
        <v>3446</v>
      </c>
      <c r="L1634" s="37" t="s">
        <v>189</v>
      </c>
      <c r="M1634" s="37"/>
      <c r="N1634" s="17"/>
      <c r="O1634" s="1"/>
      <c r="P1634" s="67" t="s">
        <v>3820</v>
      </c>
      <c r="Q1634" s="15"/>
      <c r="R1634" s="1"/>
      <c r="S1634" s="1"/>
    </row>
    <row r="1635">
      <c r="A1635" s="1"/>
      <c r="B1635" s="3">
        <f t="shared" si="4"/>
        <v>1631</v>
      </c>
      <c r="C1635" s="31" t="s">
        <v>3821</v>
      </c>
      <c r="D1635" s="37" t="s">
        <v>44</v>
      </c>
      <c r="E1635" s="37" t="s">
        <v>1589</v>
      </c>
      <c r="F1635" s="43" t="s">
        <v>3822</v>
      </c>
      <c r="G1635" s="37"/>
      <c r="H1635" s="46">
        <v>46267.0</v>
      </c>
      <c r="I1635" s="37" t="s">
        <v>3027</v>
      </c>
      <c r="J1635" s="17"/>
      <c r="K1635" s="17"/>
      <c r="L1635" s="37" t="s">
        <v>189</v>
      </c>
      <c r="M1635" s="37"/>
      <c r="N1635" s="17"/>
      <c r="O1635" s="1"/>
      <c r="P1635" s="15"/>
      <c r="Q1635" s="15"/>
      <c r="R1635" s="1"/>
      <c r="S1635" s="1"/>
    </row>
    <row r="1636">
      <c r="A1636" s="1"/>
      <c r="B1636" s="3">
        <f t="shared" si="4"/>
        <v>1632</v>
      </c>
      <c r="C1636" s="31" t="s">
        <v>1858</v>
      </c>
      <c r="D1636" s="37" t="s">
        <v>49</v>
      </c>
      <c r="E1636" s="37" t="s">
        <v>3823</v>
      </c>
      <c r="F1636" s="43" t="s">
        <v>3824</v>
      </c>
      <c r="G1636" s="37"/>
      <c r="H1636" s="46">
        <v>46267.0</v>
      </c>
      <c r="I1636" s="37" t="s">
        <v>3027</v>
      </c>
      <c r="J1636" s="17" t="s">
        <v>3825</v>
      </c>
      <c r="K1636" s="17"/>
      <c r="L1636" s="37" t="s">
        <v>58</v>
      </c>
      <c r="M1636" s="37"/>
      <c r="N1636" s="17"/>
      <c r="O1636" s="1"/>
      <c r="P1636" s="15"/>
      <c r="Q1636" s="15"/>
      <c r="R1636" s="1"/>
      <c r="S1636" s="1"/>
    </row>
    <row r="1637">
      <c r="A1637" s="1"/>
      <c r="B1637" s="3">
        <f t="shared" si="4"/>
        <v>1633</v>
      </c>
      <c r="C1637" s="31" t="s">
        <v>3826</v>
      </c>
      <c r="D1637" s="37" t="s">
        <v>112</v>
      </c>
      <c r="E1637" s="37" t="s">
        <v>2851</v>
      </c>
      <c r="F1637" s="43" t="s">
        <v>3827</v>
      </c>
      <c r="G1637" s="37"/>
      <c r="H1637" s="46">
        <v>46267.0</v>
      </c>
      <c r="I1637" s="37" t="s">
        <v>3027</v>
      </c>
      <c r="J1637" s="17"/>
      <c r="K1637" s="17">
        <v>400.0</v>
      </c>
      <c r="L1637" s="37" t="s">
        <v>189</v>
      </c>
      <c r="M1637" s="37"/>
      <c r="N1637" s="17"/>
      <c r="O1637" s="1"/>
      <c r="P1637" s="15"/>
      <c r="Q1637" s="15"/>
      <c r="R1637" s="1"/>
      <c r="S1637" s="1"/>
    </row>
    <row r="1638">
      <c r="A1638" s="1"/>
      <c r="B1638" s="3">
        <f t="shared" si="4"/>
        <v>1634</v>
      </c>
      <c r="C1638" s="31" t="s">
        <v>3828</v>
      </c>
      <c r="D1638" s="37" t="s">
        <v>83</v>
      </c>
      <c r="E1638" s="37" t="s">
        <v>1320</v>
      </c>
      <c r="F1638" s="43" t="s">
        <v>3829</v>
      </c>
      <c r="G1638" s="37"/>
      <c r="H1638" s="46">
        <v>46267.0</v>
      </c>
      <c r="I1638" s="37" t="s">
        <v>3027</v>
      </c>
      <c r="J1638" s="17"/>
      <c r="K1638" s="17" t="s">
        <v>3551</v>
      </c>
      <c r="L1638" s="37" t="s">
        <v>189</v>
      </c>
      <c r="M1638" s="37"/>
      <c r="N1638" s="17"/>
      <c r="O1638" s="1"/>
      <c r="P1638" s="15"/>
      <c r="Q1638" s="15"/>
      <c r="R1638" s="1"/>
      <c r="S1638" s="1"/>
    </row>
    <row r="1639">
      <c r="A1639" s="1"/>
      <c r="B1639" s="3">
        <f t="shared" si="4"/>
        <v>1635</v>
      </c>
      <c r="C1639" s="31" t="s">
        <v>3830</v>
      </c>
      <c r="D1639" s="37" t="s">
        <v>44</v>
      </c>
      <c r="E1639" s="37" t="s">
        <v>3831</v>
      </c>
      <c r="F1639" s="43" t="s">
        <v>3832</v>
      </c>
      <c r="G1639" s="37"/>
      <c r="H1639" s="46">
        <v>46267.0</v>
      </c>
      <c r="I1639" s="37" t="s">
        <v>3027</v>
      </c>
      <c r="J1639" s="17" t="s">
        <v>2816</v>
      </c>
      <c r="K1639" s="17"/>
      <c r="L1639" s="37" t="s">
        <v>58</v>
      </c>
      <c r="M1639" s="37"/>
      <c r="N1639" s="17"/>
      <c r="O1639" s="1"/>
      <c r="P1639" s="15"/>
      <c r="Q1639" s="15"/>
      <c r="R1639" s="1"/>
      <c r="S1639" s="1"/>
    </row>
    <row r="1640">
      <c r="A1640" s="1"/>
      <c r="B1640" s="3">
        <f t="shared" si="4"/>
        <v>1636</v>
      </c>
      <c r="C1640" s="31" t="s">
        <v>3833</v>
      </c>
      <c r="D1640" s="37" t="s">
        <v>83</v>
      </c>
      <c r="E1640" s="37" t="s">
        <v>3834</v>
      </c>
      <c r="F1640" s="43" t="s">
        <v>3835</v>
      </c>
      <c r="G1640" s="37"/>
      <c r="H1640" s="46">
        <v>46267.0</v>
      </c>
      <c r="I1640" s="37" t="s">
        <v>3027</v>
      </c>
      <c r="J1640" s="17"/>
      <c r="K1640" s="17">
        <v>240.0</v>
      </c>
      <c r="L1640" s="37" t="s">
        <v>189</v>
      </c>
      <c r="M1640" s="37"/>
      <c r="N1640" s="17"/>
      <c r="O1640" s="1"/>
      <c r="P1640" s="15"/>
      <c r="Q1640" s="15"/>
      <c r="R1640" s="1"/>
      <c r="S1640" s="1"/>
    </row>
    <row r="1641">
      <c r="A1641" s="1"/>
      <c r="B1641" s="3">
        <f t="shared" si="4"/>
        <v>1637</v>
      </c>
      <c r="C1641" s="31" t="s">
        <v>3836</v>
      </c>
      <c r="D1641" s="37" t="s">
        <v>49</v>
      </c>
      <c r="E1641" s="37" t="s">
        <v>3837</v>
      </c>
      <c r="F1641" s="43" t="s">
        <v>3838</v>
      </c>
      <c r="G1641" s="37"/>
      <c r="H1641" s="46">
        <v>46267.0</v>
      </c>
      <c r="I1641" s="37" t="s">
        <v>3027</v>
      </c>
      <c r="J1641" s="17"/>
      <c r="K1641" s="17"/>
      <c r="L1641" s="37" t="s">
        <v>189</v>
      </c>
      <c r="M1641" s="37"/>
      <c r="N1641" s="17"/>
      <c r="O1641" s="1"/>
      <c r="P1641" s="15"/>
      <c r="Q1641" s="15"/>
      <c r="R1641" s="1"/>
      <c r="S1641" s="1"/>
    </row>
    <row r="1642">
      <c r="A1642" s="1"/>
      <c r="B1642" s="3">
        <f t="shared" si="4"/>
        <v>1638</v>
      </c>
      <c r="C1642" s="31" t="s">
        <v>3839</v>
      </c>
      <c r="D1642" s="37" t="s">
        <v>44</v>
      </c>
      <c r="E1642" s="37" t="s">
        <v>1285</v>
      </c>
      <c r="F1642" s="43" t="s">
        <v>3840</v>
      </c>
      <c r="G1642" s="37"/>
      <c r="H1642" s="46">
        <v>46267.0</v>
      </c>
      <c r="I1642" s="37" t="s">
        <v>3027</v>
      </c>
      <c r="J1642" s="17"/>
      <c r="K1642" s="17">
        <v>430.0</v>
      </c>
      <c r="L1642" s="37" t="s">
        <v>189</v>
      </c>
      <c r="M1642" s="37"/>
      <c r="N1642" s="17"/>
      <c r="O1642" s="1"/>
      <c r="P1642" s="15"/>
      <c r="Q1642" s="15"/>
      <c r="R1642" s="1"/>
      <c r="S1642" s="1"/>
    </row>
    <row r="1643">
      <c r="A1643" s="1"/>
      <c r="B1643" s="3">
        <f t="shared" si="4"/>
        <v>1639</v>
      </c>
      <c r="C1643" s="31" t="s">
        <v>3841</v>
      </c>
      <c r="D1643" s="37" t="s">
        <v>1505</v>
      </c>
      <c r="E1643" s="37" t="s">
        <v>1595</v>
      </c>
      <c r="F1643" s="43" t="s">
        <v>3842</v>
      </c>
      <c r="G1643" s="37"/>
      <c r="H1643" s="46">
        <v>46267.0</v>
      </c>
      <c r="I1643" s="37" t="s">
        <v>3027</v>
      </c>
      <c r="J1643" s="17"/>
      <c r="K1643" s="17">
        <v>300.0</v>
      </c>
      <c r="L1643" s="37" t="s">
        <v>58</v>
      </c>
      <c r="M1643" s="37"/>
      <c r="N1643" s="17"/>
      <c r="O1643" s="1"/>
      <c r="P1643" s="15"/>
      <c r="Q1643" s="15"/>
      <c r="R1643" s="1"/>
      <c r="S1643" s="1"/>
    </row>
    <row r="1644">
      <c r="A1644" s="1"/>
      <c r="B1644" s="3">
        <f t="shared" si="4"/>
        <v>1640</v>
      </c>
      <c r="C1644" s="31" t="s">
        <v>3843</v>
      </c>
      <c r="D1644" s="37" t="s">
        <v>38</v>
      </c>
      <c r="E1644" s="37" t="s">
        <v>1285</v>
      </c>
      <c r="F1644" s="43" t="s">
        <v>3844</v>
      </c>
      <c r="G1644" s="37"/>
      <c r="H1644" s="46">
        <v>46267.0</v>
      </c>
      <c r="I1644" s="37" t="s">
        <v>3027</v>
      </c>
      <c r="J1644" s="17"/>
      <c r="K1644" s="17" t="s">
        <v>1256</v>
      </c>
      <c r="L1644" s="37" t="s">
        <v>189</v>
      </c>
      <c r="M1644" s="37"/>
      <c r="N1644" s="17"/>
      <c r="O1644" s="1"/>
      <c r="P1644" s="15"/>
      <c r="Q1644" s="15"/>
      <c r="R1644" s="1"/>
      <c r="S1644" s="1"/>
    </row>
    <row r="1645">
      <c r="A1645" s="1"/>
      <c r="B1645" s="3">
        <f t="shared" si="4"/>
        <v>1641</v>
      </c>
      <c r="C1645" s="31" t="s">
        <v>3845</v>
      </c>
      <c r="D1645" s="37" t="s">
        <v>121</v>
      </c>
      <c r="E1645" s="37" t="s">
        <v>2142</v>
      </c>
      <c r="F1645" s="43" t="s">
        <v>3846</v>
      </c>
      <c r="G1645" s="37"/>
      <c r="H1645" s="46">
        <v>46267.0</v>
      </c>
      <c r="I1645" s="37" t="s">
        <v>3027</v>
      </c>
      <c r="J1645" s="17"/>
      <c r="K1645" s="17" t="s">
        <v>3847</v>
      </c>
      <c r="L1645" s="37" t="s">
        <v>58</v>
      </c>
      <c r="M1645" s="37"/>
      <c r="N1645" s="17"/>
      <c r="O1645" s="1"/>
      <c r="P1645" s="15"/>
      <c r="Q1645" s="15"/>
      <c r="R1645" s="1"/>
      <c r="S1645" s="1"/>
    </row>
    <row r="1646">
      <c r="A1646" s="1"/>
      <c r="B1646" s="3">
        <f t="shared" si="4"/>
        <v>1642</v>
      </c>
      <c r="C1646" s="31" t="s">
        <v>3848</v>
      </c>
      <c r="D1646" s="37" t="s">
        <v>56</v>
      </c>
      <c r="E1646" s="37" t="s">
        <v>1672</v>
      </c>
      <c r="F1646" s="43" t="s">
        <v>3849</v>
      </c>
      <c r="G1646" s="37"/>
      <c r="H1646" s="46">
        <v>46267.0</v>
      </c>
      <c r="I1646" s="37" t="s">
        <v>3027</v>
      </c>
      <c r="J1646" s="17"/>
      <c r="K1646" s="17" t="s">
        <v>2342</v>
      </c>
      <c r="L1646" s="37" t="s">
        <v>189</v>
      </c>
      <c r="M1646" s="37"/>
      <c r="N1646" s="17"/>
      <c r="O1646" s="1"/>
      <c r="P1646" s="15"/>
      <c r="Q1646" s="15"/>
      <c r="R1646" s="1"/>
      <c r="S1646" s="1"/>
    </row>
    <row r="1647">
      <c r="A1647" s="1"/>
      <c r="B1647" s="3">
        <f t="shared" si="4"/>
        <v>1643</v>
      </c>
      <c r="C1647" s="31" t="s">
        <v>3850</v>
      </c>
      <c r="D1647" s="37" t="s">
        <v>96</v>
      </c>
      <c r="E1647" s="37" t="s">
        <v>1285</v>
      </c>
      <c r="F1647" s="43" t="s">
        <v>3851</v>
      </c>
      <c r="G1647" s="37"/>
      <c r="H1647" s="46">
        <v>46267.0</v>
      </c>
      <c r="I1647" s="37" t="s">
        <v>3027</v>
      </c>
      <c r="J1647" s="17"/>
      <c r="K1647" s="17" t="s">
        <v>3509</v>
      </c>
      <c r="L1647" s="37" t="s">
        <v>189</v>
      </c>
      <c r="M1647" s="37"/>
      <c r="N1647" s="17"/>
      <c r="O1647" s="1"/>
      <c r="P1647" s="15"/>
      <c r="Q1647" s="15"/>
      <c r="R1647" s="1"/>
      <c r="S1647" s="1"/>
    </row>
    <row r="1648">
      <c r="A1648" s="1"/>
      <c r="B1648" s="3">
        <f t="shared" si="4"/>
        <v>1644</v>
      </c>
      <c r="C1648" s="31" t="s">
        <v>3852</v>
      </c>
      <c r="D1648" s="37" t="s">
        <v>96</v>
      </c>
      <c r="E1648" s="37" t="s">
        <v>1692</v>
      </c>
      <c r="F1648" s="43" t="s">
        <v>3853</v>
      </c>
      <c r="G1648" s="37"/>
      <c r="H1648" s="46">
        <v>46267.0</v>
      </c>
      <c r="I1648" s="37" t="s">
        <v>3027</v>
      </c>
      <c r="J1648" s="17" t="s">
        <v>3854</v>
      </c>
      <c r="K1648" s="17"/>
      <c r="L1648" s="37" t="s">
        <v>189</v>
      </c>
      <c r="M1648" s="37"/>
      <c r="N1648" s="17"/>
      <c r="O1648" s="1"/>
      <c r="P1648" s="15"/>
      <c r="Q1648" s="15"/>
      <c r="R1648" s="1"/>
      <c r="S1648" s="1"/>
    </row>
    <row r="1649">
      <c r="A1649" s="1"/>
      <c r="B1649" s="3">
        <f t="shared" si="4"/>
        <v>1645</v>
      </c>
      <c r="C1649" s="31" t="s">
        <v>3855</v>
      </c>
      <c r="D1649" s="37" t="s">
        <v>96</v>
      </c>
      <c r="E1649" s="37" t="s">
        <v>2465</v>
      </c>
      <c r="F1649" s="43" t="s">
        <v>3856</v>
      </c>
      <c r="G1649" s="37"/>
      <c r="H1649" s="46">
        <v>46267.0</v>
      </c>
      <c r="I1649" s="37" t="s">
        <v>3027</v>
      </c>
      <c r="J1649" s="17"/>
      <c r="K1649" s="17">
        <v>600.0</v>
      </c>
      <c r="L1649" s="37" t="s">
        <v>189</v>
      </c>
      <c r="M1649" s="37"/>
      <c r="N1649" s="17"/>
      <c r="O1649" s="1"/>
      <c r="P1649" s="15"/>
      <c r="Q1649" s="15"/>
      <c r="R1649" s="1"/>
      <c r="S1649" s="1"/>
    </row>
    <row r="1650">
      <c r="A1650" s="1"/>
      <c r="B1650" s="3">
        <f t="shared" si="4"/>
        <v>1646</v>
      </c>
      <c r="C1650" s="31" t="s">
        <v>3857</v>
      </c>
      <c r="D1650" s="37" t="s">
        <v>1505</v>
      </c>
      <c r="E1650" s="37" t="s">
        <v>1578</v>
      </c>
      <c r="F1650" s="43" t="s">
        <v>3858</v>
      </c>
      <c r="G1650" s="37"/>
      <c r="H1650" s="46">
        <v>46267.0</v>
      </c>
      <c r="I1650" s="37" t="s">
        <v>3027</v>
      </c>
      <c r="J1650" s="17"/>
      <c r="K1650" s="17">
        <v>300.0</v>
      </c>
      <c r="L1650" s="37" t="s">
        <v>189</v>
      </c>
      <c r="M1650" s="37"/>
      <c r="N1650" s="17"/>
      <c r="O1650" s="1"/>
      <c r="P1650" s="15"/>
      <c r="Q1650" s="15"/>
      <c r="R1650" s="1"/>
      <c r="S1650" s="1"/>
    </row>
    <row r="1651">
      <c r="A1651" s="1"/>
      <c r="B1651" s="3">
        <f t="shared" si="4"/>
        <v>1647</v>
      </c>
      <c r="C1651" s="31" t="s">
        <v>3859</v>
      </c>
      <c r="D1651" s="37" t="s">
        <v>301</v>
      </c>
      <c r="E1651" s="37" t="s">
        <v>1285</v>
      </c>
      <c r="F1651" s="43" t="s">
        <v>3860</v>
      </c>
      <c r="G1651" s="37"/>
      <c r="H1651" s="46">
        <v>46267.0</v>
      </c>
      <c r="I1651" s="37" t="s">
        <v>3027</v>
      </c>
      <c r="J1651" s="17"/>
      <c r="K1651" s="17" t="s">
        <v>3509</v>
      </c>
      <c r="L1651" s="37" t="s">
        <v>58</v>
      </c>
      <c r="M1651" s="37"/>
      <c r="N1651" s="17"/>
      <c r="O1651" s="1"/>
      <c r="P1651" s="15"/>
      <c r="Q1651" s="15"/>
      <c r="R1651" s="1"/>
      <c r="S1651" s="1"/>
    </row>
    <row r="1652">
      <c r="A1652" s="1"/>
      <c r="B1652" s="3">
        <f t="shared" si="4"/>
        <v>1648</v>
      </c>
      <c r="C1652" s="31" t="s">
        <v>3861</v>
      </c>
      <c r="D1652" s="37" t="s">
        <v>56</v>
      </c>
      <c r="E1652" s="37" t="s">
        <v>1576</v>
      </c>
      <c r="F1652" s="43" t="s">
        <v>3862</v>
      </c>
      <c r="G1652" s="37"/>
      <c r="H1652" s="46">
        <v>46267.0</v>
      </c>
      <c r="I1652" s="37" t="s">
        <v>3027</v>
      </c>
      <c r="J1652" s="17"/>
      <c r="K1652" s="17">
        <v>250.0</v>
      </c>
      <c r="L1652" s="37" t="s">
        <v>58</v>
      </c>
      <c r="M1652" s="37"/>
      <c r="N1652" s="17"/>
      <c r="O1652" s="1"/>
      <c r="P1652" s="15"/>
      <c r="Q1652" s="15"/>
      <c r="R1652" s="1"/>
      <c r="S1652" s="1"/>
    </row>
    <row r="1653">
      <c r="A1653" s="1"/>
      <c r="B1653" s="3">
        <f t="shared" si="4"/>
        <v>1649</v>
      </c>
      <c r="C1653" s="31" t="s">
        <v>3863</v>
      </c>
      <c r="D1653" s="37" t="s">
        <v>38</v>
      </c>
      <c r="E1653" s="37" t="s">
        <v>3864</v>
      </c>
      <c r="F1653" s="43" t="s">
        <v>3865</v>
      </c>
      <c r="G1653" s="37"/>
      <c r="H1653" s="46">
        <v>46267.0</v>
      </c>
      <c r="I1653" s="37" t="s">
        <v>3027</v>
      </c>
      <c r="J1653" s="17"/>
      <c r="K1653" s="17">
        <v>250.0</v>
      </c>
      <c r="L1653" s="37" t="s">
        <v>58</v>
      </c>
      <c r="M1653" s="37"/>
      <c r="N1653" s="17"/>
      <c r="O1653" s="1"/>
      <c r="P1653" s="15"/>
      <c r="Q1653" s="15"/>
      <c r="R1653" s="1"/>
      <c r="S1653" s="1"/>
    </row>
    <row r="1654">
      <c r="A1654" s="1"/>
      <c r="B1654" s="3">
        <f t="shared" si="4"/>
        <v>1650</v>
      </c>
      <c r="C1654" s="31" t="s">
        <v>3866</v>
      </c>
      <c r="D1654" s="37" t="s">
        <v>112</v>
      </c>
      <c r="E1654" s="37" t="s">
        <v>3473</v>
      </c>
      <c r="F1654" s="43" t="s">
        <v>3867</v>
      </c>
      <c r="G1654" s="37"/>
      <c r="H1654" s="46">
        <v>46267.0</v>
      </c>
      <c r="I1654" s="37" t="s">
        <v>3027</v>
      </c>
      <c r="J1654" s="17"/>
      <c r="K1654" s="17">
        <v>250.0</v>
      </c>
      <c r="L1654" s="37" t="s">
        <v>189</v>
      </c>
      <c r="M1654" s="37"/>
      <c r="N1654" s="17"/>
      <c r="O1654" s="1"/>
      <c r="P1654" s="15"/>
      <c r="Q1654" s="15"/>
      <c r="R1654" s="1"/>
      <c r="S1654" s="1"/>
    </row>
    <row r="1655">
      <c r="A1655" s="1"/>
      <c r="B1655" s="3">
        <f t="shared" si="4"/>
        <v>1651</v>
      </c>
      <c r="C1655" s="31" t="s">
        <v>3868</v>
      </c>
      <c r="D1655" s="37" t="s">
        <v>44</v>
      </c>
      <c r="E1655" s="37" t="s">
        <v>1589</v>
      </c>
      <c r="F1655" s="43" t="s">
        <v>3869</v>
      </c>
      <c r="G1655" s="37"/>
      <c r="H1655" s="46">
        <v>46267.0</v>
      </c>
      <c r="I1655" s="37" t="s">
        <v>3027</v>
      </c>
      <c r="J1655" s="17"/>
      <c r="K1655" s="17" t="s">
        <v>1256</v>
      </c>
      <c r="L1655" s="37" t="s">
        <v>58</v>
      </c>
      <c r="M1655" s="37"/>
      <c r="N1655" s="17"/>
      <c r="O1655" s="1"/>
      <c r="P1655" s="15"/>
      <c r="Q1655" s="15"/>
      <c r="R1655" s="1"/>
      <c r="S1655" s="1"/>
    </row>
    <row r="1656">
      <c r="A1656" s="1"/>
      <c r="B1656" s="3">
        <f t="shared" si="4"/>
        <v>1652</v>
      </c>
      <c r="C1656" s="31" t="s">
        <v>3870</v>
      </c>
      <c r="D1656" s="37" t="s">
        <v>44</v>
      </c>
      <c r="E1656" s="37" t="s">
        <v>1285</v>
      </c>
      <c r="F1656" s="43" t="s">
        <v>3871</v>
      </c>
      <c r="G1656" s="37"/>
      <c r="H1656" s="46">
        <v>46267.0</v>
      </c>
      <c r="I1656" s="37" t="s">
        <v>3027</v>
      </c>
      <c r="J1656" s="17"/>
      <c r="K1656" s="17">
        <v>300.0</v>
      </c>
      <c r="L1656" s="37" t="s">
        <v>58</v>
      </c>
      <c r="M1656" s="37"/>
      <c r="N1656" s="17"/>
      <c r="O1656" s="1"/>
      <c r="P1656" s="15"/>
      <c r="Q1656" s="15"/>
      <c r="R1656" s="1"/>
      <c r="S1656" s="1"/>
    </row>
    <row r="1657">
      <c r="A1657" s="1"/>
      <c r="B1657" s="3">
        <f t="shared" si="4"/>
        <v>1653</v>
      </c>
      <c r="C1657" s="31" t="s">
        <v>3872</v>
      </c>
      <c r="D1657" s="37" t="s">
        <v>38</v>
      </c>
      <c r="E1657" s="37" t="s">
        <v>1595</v>
      </c>
      <c r="F1657" s="43" t="s">
        <v>3873</v>
      </c>
      <c r="G1657" s="37"/>
      <c r="H1657" s="46">
        <v>46267.0</v>
      </c>
      <c r="I1657" s="37" t="s">
        <v>3027</v>
      </c>
      <c r="J1657" s="17"/>
      <c r="K1657" s="17" t="s">
        <v>3874</v>
      </c>
      <c r="L1657" s="37" t="s">
        <v>189</v>
      </c>
      <c r="M1657" s="37" t="s">
        <v>65</v>
      </c>
      <c r="N1657" s="17" t="s">
        <v>39</v>
      </c>
      <c r="O1657" s="1"/>
      <c r="P1657" s="15"/>
      <c r="Q1657" s="15"/>
      <c r="R1657" s="1"/>
      <c r="S1657" s="1"/>
    </row>
    <row r="1658">
      <c r="A1658" s="1"/>
      <c r="B1658" s="3">
        <f t="shared" si="4"/>
        <v>1654</v>
      </c>
      <c r="C1658" s="31" t="s">
        <v>3875</v>
      </c>
      <c r="D1658" s="37" t="s">
        <v>83</v>
      </c>
      <c r="E1658" s="37" t="s">
        <v>1646</v>
      </c>
      <c r="F1658" s="43" t="s">
        <v>3876</v>
      </c>
      <c r="G1658" s="37"/>
      <c r="H1658" s="46">
        <v>46267.0</v>
      </c>
      <c r="I1658" s="37" t="s">
        <v>3027</v>
      </c>
      <c r="J1658" s="17"/>
      <c r="K1658" s="17">
        <v>380.0</v>
      </c>
      <c r="L1658" s="37" t="s">
        <v>58</v>
      </c>
      <c r="M1658" s="37"/>
      <c r="N1658" s="17"/>
      <c r="O1658" s="1"/>
      <c r="P1658" s="15"/>
      <c r="Q1658" s="15"/>
      <c r="R1658" s="1"/>
      <c r="S1658" s="1"/>
    </row>
    <row r="1659">
      <c r="A1659" s="1"/>
      <c r="B1659" s="3">
        <f t="shared" si="4"/>
        <v>1655</v>
      </c>
      <c r="C1659" s="31" t="s">
        <v>3877</v>
      </c>
      <c r="D1659" s="37" t="s">
        <v>44</v>
      </c>
      <c r="E1659" s="37" t="s">
        <v>1285</v>
      </c>
      <c r="F1659" s="43" t="s">
        <v>3878</v>
      </c>
      <c r="G1659" s="37"/>
      <c r="H1659" s="46">
        <v>46267.0</v>
      </c>
      <c r="I1659" s="37" t="s">
        <v>3027</v>
      </c>
      <c r="J1659" s="17"/>
      <c r="K1659" s="17" t="s">
        <v>3734</v>
      </c>
      <c r="L1659" s="37" t="s">
        <v>58</v>
      </c>
      <c r="M1659" s="37"/>
      <c r="N1659" s="17"/>
      <c r="O1659" s="1"/>
      <c r="P1659" s="15"/>
      <c r="Q1659" s="15"/>
      <c r="R1659" s="1"/>
      <c r="S1659" s="1"/>
    </row>
    <row r="1660">
      <c r="A1660" s="1"/>
      <c r="B1660" s="3">
        <f t="shared" si="4"/>
        <v>1656</v>
      </c>
      <c r="C1660" s="31" t="s">
        <v>3879</v>
      </c>
      <c r="D1660" s="37" t="s">
        <v>116</v>
      </c>
      <c r="E1660" s="37" t="s">
        <v>1646</v>
      </c>
      <c r="F1660" s="43" t="s">
        <v>3880</v>
      </c>
      <c r="G1660" s="37"/>
      <c r="H1660" s="46">
        <v>46267.0</v>
      </c>
      <c r="I1660" s="37" t="s">
        <v>3027</v>
      </c>
      <c r="J1660" s="17"/>
      <c r="K1660" s="17" t="s">
        <v>3606</v>
      </c>
      <c r="L1660" s="37" t="s">
        <v>58</v>
      </c>
      <c r="M1660" s="37"/>
      <c r="N1660" s="17"/>
      <c r="O1660" s="1"/>
      <c r="P1660" s="15"/>
      <c r="Q1660" s="15"/>
      <c r="R1660" s="1"/>
      <c r="S1660" s="1"/>
    </row>
    <row r="1661">
      <c r="A1661" s="1"/>
      <c r="B1661" s="3">
        <f t="shared" si="4"/>
        <v>1657</v>
      </c>
      <c r="C1661" s="31" t="s">
        <v>3881</v>
      </c>
      <c r="D1661" s="37" t="s">
        <v>301</v>
      </c>
      <c r="E1661" s="37" t="s">
        <v>3296</v>
      </c>
      <c r="F1661" s="43" t="s">
        <v>3882</v>
      </c>
      <c r="G1661" s="37"/>
      <c r="H1661" s="46">
        <v>46267.0</v>
      </c>
      <c r="I1661" s="37" t="s">
        <v>3027</v>
      </c>
      <c r="J1661" s="17"/>
      <c r="K1661" s="17"/>
      <c r="L1661" s="37" t="s">
        <v>58</v>
      </c>
      <c r="M1661" s="37"/>
      <c r="N1661" s="17"/>
      <c r="O1661" s="1"/>
      <c r="P1661" s="15"/>
      <c r="Q1661" s="15"/>
      <c r="R1661" s="1"/>
      <c r="S1661" s="1"/>
    </row>
    <row r="1662">
      <c r="A1662" s="1"/>
      <c r="B1662" s="3">
        <f t="shared" si="4"/>
        <v>1658</v>
      </c>
      <c r="C1662" s="31" t="s">
        <v>3883</v>
      </c>
      <c r="D1662" s="37" t="s">
        <v>44</v>
      </c>
      <c r="E1662" s="37" t="s">
        <v>3507</v>
      </c>
      <c r="F1662" s="43" t="s">
        <v>3884</v>
      </c>
      <c r="G1662" s="37"/>
      <c r="H1662" s="46">
        <v>46267.0</v>
      </c>
      <c r="I1662" s="37" t="s">
        <v>3027</v>
      </c>
      <c r="J1662" s="17"/>
      <c r="K1662" s="17">
        <v>350.0</v>
      </c>
      <c r="L1662" s="37" t="s">
        <v>58</v>
      </c>
      <c r="M1662" s="37"/>
      <c r="N1662" s="17"/>
      <c r="O1662" s="1"/>
      <c r="P1662" s="15"/>
      <c r="Q1662" s="15"/>
      <c r="R1662" s="1"/>
      <c r="S1662" s="1"/>
    </row>
    <row r="1663">
      <c r="A1663" s="1"/>
      <c r="B1663" s="3">
        <f t="shared" si="4"/>
        <v>1659</v>
      </c>
      <c r="C1663" s="31" t="s">
        <v>3885</v>
      </c>
      <c r="D1663" s="37" t="s">
        <v>497</v>
      </c>
      <c r="E1663" s="37" t="s">
        <v>1895</v>
      </c>
      <c r="F1663" s="43" t="s">
        <v>3886</v>
      </c>
      <c r="G1663" s="37"/>
      <c r="H1663" s="46">
        <v>46267.0</v>
      </c>
      <c r="I1663" s="37" t="s">
        <v>3027</v>
      </c>
      <c r="J1663" s="17" t="s">
        <v>3756</v>
      </c>
      <c r="K1663" s="17"/>
      <c r="L1663" s="37" t="s">
        <v>189</v>
      </c>
      <c r="M1663" s="37"/>
      <c r="N1663" s="17"/>
      <c r="O1663" s="1"/>
      <c r="P1663" s="15"/>
      <c r="Q1663" s="15"/>
      <c r="R1663" s="1"/>
      <c r="S1663" s="1"/>
    </row>
    <row r="1664">
      <c r="A1664" s="1"/>
      <c r="B1664" s="3">
        <f t="shared" si="4"/>
        <v>1660</v>
      </c>
      <c r="C1664" s="31" t="s">
        <v>3887</v>
      </c>
      <c r="D1664" s="37" t="s">
        <v>83</v>
      </c>
      <c r="E1664" s="37" t="s">
        <v>1589</v>
      </c>
      <c r="F1664" s="43" t="s">
        <v>3888</v>
      </c>
      <c r="G1664" s="37"/>
      <c r="H1664" s="46">
        <v>46267.0</v>
      </c>
      <c r="I1664" s="37" t="s">
        <v>3027</v>
      </c>
      <c r="J1664" s="17"/>
      <c r="K1664" s="17" t="s">
        <v>3889</v>
      </c>
      <c r="L1664" s="37" t="s">
        <v>58</v>
      </c>
      <c r="M1664" s="37"/>
      <c r="N1664" s="17"/>
      <c r="O1664" s="1"/>
      <c r="P1664" s="15"/>
      <c r="Q1664" s="15"/>
      <c r="R1664" s="1"/>
      <c r="S1664" s="1"/>
    </row>
    <row r="1665">
      <c r="A1665" s="1"/>
      <c r="B1665" s="3">
        <f t="shared" si="4"/>
        <v>1661</v>
      </c>
      <c r="C1665" s="31" t="s">
        <v>3890</v>
      </c>
      <c r="D1665" s="37" t="s">
        <v>44</v>
      </c>
      <c r="E1665" s="37" t="s">
        <v>1578</v>
      </c>
      <c r="F1665" s="43" t="s">
        <v>3891</v>
      </c>
      <c r="G1665" s="37"/>
      <c r="H1665" s="46">
        <v>46267.0</v>
      </c>
      <c r="I1665" s="37" t="s">
        <v>3027</v>
      </c>
      <c r="J1665" s="17" t="s">
        <v>3756</v>
      </c>
      <c r="K1665" s="17"/>
      <c r="L1665" s="37" t="s">
        <v>58</v>
      </c>
      <c r="M1665" s="37"/>
      <c r="N1665" s="17"/>
      <c r="O1665" s="1"/>
      <c r="P1665" s="15"/>
      <c r="Q1665" s="15"/>
      <c r="R1665" s="1"/>
      <c r="S1665" s="1"/>
    </row>
    <row r="1666">
      <c r="A1666" s="1"/>
      <c r="B1666" s="3">
        <f t="shared" si="4"/>
        <v>1662</v>
      </c>
      <c r="C1666" s="31" t="s">
        <v>3892</v>
      </c>
      <c r="D1666" s="37" t="s">
        <v>44</v>
      </c>
      <c r="E1666" s="37" t="s">
        <v>3598</v>
      </c>
      <c r="F1666" s="43" t="s">
        <v>3893</v>
      </c>
      <c r="G1666" s="37"/>
      <c r="H1666" s="46">
        <v>46267.0</v>
      </c>
      <c r="I1666" s="37" t="s">
        <v>3027</v>
      </c>
      <c r="J1666" s="17"/>
      <c r="K1666" s="17" t="s">
        <v>3551</v>
      </c>
      <c r="L1666" s="37" t="s">
        <v>58</v>
      </c>
      <c r="M1666" s="37"/>
      <c r="N1666" s="17"/>
      <c r="O1666" s="1"/>
      <c r="P1666" s="15"/>
      <c r="Q1666" s="15"/>
      <c r="R1666" s="1"/>
      <c r="S1666" s="1"/>
    </row>
    <row r="1667">
      <c r="A1667" s="1"/>
      <c r="B1667" s="3">
        <f t="shared" si="4"/>
        <v>1663</v>
      </c>
      <c r="C1667" s="31" t="s">
        <v>3894</v>
      </c>
      <c r="D1667" s="37" t="s">
        <v>44</v>
      </c>
      <c r="E1667" s="37" t="s">
        <v>3123</v>
      </c>
      <c r="F1667" s="43" t="s">
        <v>3895</v>
      </c>
      <c r="G1667" s="37"/>
      <c r="H1667" s="46">
        <v>46267.0</v>
      </c>
      <c r="I1667" s="37" t="s">
        <v>3027</v>
      </c>
      <c r="J1667" s="17"/>
      <c r="K1667" s="17">
        <v>300.0</v>
      </c>
      <c r="L1667" s="37" t="s">
        <v>58</v>
      </c>
      <c r="M1667" s="37"/>
      <c r="N1667" s="17"/>
      <c r="O1667" s="1"/>
      <c r="P1667" s="15"/>
      <c r="Q1667" s="15"/>
      <c r="R1667" s="1"/>
      <c r="S1667" s="1"/>
    </row>
    <row r="1668">
      <c r="A1668" s="1"/>
      <c r="B1668" s="3">
        <f t="shared" si="4"/>
        <v>1664</v>
      </c>
      <c r="C1668" s="31" t="s">
        <v>3896</v>
      </c>
      <c r="D1668" s="37" t="s">
        <v>112</v>
      </c>
      <c r="E1668" s="37" t="s">
        <v>3563</v>
      </c>
      <c r="F1668" s="43" t="s">
        <v>3897</v>
      </c>
      <c r="G1668" s="37"/>
      <c r="H1668" s="46">
        <v>46267.0</v>
      </c>
      <c r="I1668" s="37" t="s">
        <v>3027</v>
      </c>
      <c r="J1668" s="17"/>
      <c r="K1668" s="17">
        <v>340.0</v>
      </c>
      <c r="L1668" s="37" t="s">
        <v>58</v>
      </c>
      <c r="M1668" s="37"/>
      <c r="N1668" s="17"/>
      <c r="O1668" s="1"/>
      <c r="P1668" s="15"/>
      <c r="Q1668" s="15"/>
      <c r="R1668" s="1"/>
      <c r="S1668" s="1"/>
    </row>
    <row r="1669">
      <c r="A1669" s="1"/>
      <c r="B1669" s="3">
        <f t="shared" si="4"/>
        <v>1665</v>
      </c>
      <c r="C1669" s="31" t="s">
        <v>3898</v>
      </c>
      <c r="D1669" s="37" t="s">
        <v>1505</v>
      </c>
      <c r="E1669" s="37" t="s">
        <v>1343</v>
      </c>
      <c r="F1669" s="43" t="s">
        <v>3899</v>
      </c>
      <c r="G1669" s="37"/>
      <c r="H1669" s="46">
        <v>46267.0</v>
      </c>
      <c r="I1669" s="37" t="s">
        <v>3027</v>
      </c>
      <c r="J1669" s="17"/>
      <c r="K1669" s="17" t="s">
        <v>2231</v>
      </c>
      <c r="L1669" s="37" t="s">
        <v>58</v>
      </c>
      <c r="M1669" s="37"/>
      <c r="N1669" s="17"/>
      <c r="O1669" s="1"/>
      <c r="P1669" s="15"/>
      <c r="Q1669" s="15"/>
      <c r="R1669" s="1"/>
      <c r="S1669" s="1"/>
    </row>
    <row r="1670">
      <c r="A1670" s="1"/>
      <c r="B1670" s="3">
        <f t="shared" si="4"/>
        <v>1666</v>
      </c>
      <c r="C1670" s="31" t="s">
        <v>3900</v>
      </c>
      <c r="D1670" s="37" t="s">
        <v>1505</v>
      </c>
      <c r="E1670" s="37" t="s">
        <v>3364</v>
      </c>
      <c r="F1670" s="43" t="s">
        <v>3901</v>
      </c>
      <c r="G1670" s="37"/>
      <c r="H1670" s="46">
        <v>46267.0</v>
      </c>
      <c r="I1670" s="37" t="s">
        <v>3027</v>
      </c>
      <c r="J1670" s="17"/>
      <c r="K1670" s="17">
        <v>250.0</v>
      </c>
      <c r="L1670" s="37" t="s">
        <v>189</v>
      </c>
      <c r="M1670" s="37"/>
      <c r="N1670" s="17"/>
      <c r="O1670" s="1"/>
      <c r="P1670" s="15"/>
      <c r="Q1670" s="15"/>
      <c r="R1670" s="1"/>
      <c r="S1670" s="1"/>
    </row>
    <row r="1671">
      <c r="A1671" s="1"/>
      <c r="B1671" s="3">
        <f t="shared" si="4"/>
        <v>1667</v>
      </c>
      <c r="C1671" s="31" t="s">
        <v>3902</v>
      </c>
      <c r="D1671" s="37" t="s">
        <v>96</v>
      </c>
      <c r="E1671" s="37" t="s">
        <v>1398</v>
      </c>
      <c r="F1671" s="43" t="s">
        <v>3903</v>
      </c>
      <c r="G1671" s="37"/>
      <c r="H1671" s="46">
        <v>46267.0</v>
      </c>
      <c r="I1671" s="37" t="s">
        <v>3027</v>
      </c>
      <c r="J1671" s="17" t="s">
        <v>3904</v>
      </c>
      <c r="K1671" s="17"/>
      <c r="L1671" s="37" t="s">
        <v>58</v>
      </c>
      <c r="M1671" s="37" t="s">
        <v>70</v>
      </c>
      <c r="N1671" s="17" t="s">
        <v>28</v>
      </c>
      <c r="O1671" s="153">
        <v>46268.0</v>
      </c>
      <c r="P1671" s="67" t="s">
        <v>3905</v>
      </c>
      <c r="Q1671" s="15"/>
      <c r="R1671" s="1"/>
      <c r="S1671" s="1"/>
    </row>
    <row r="1672">
      <c r="A1672" s="1"/>
      <c r="B1672" s="3">
        <f t="shared" si="4"/>
        <v>1668</v>
      </c>
      <c r="C1672" s="31" t="s">
        <v>3906</v>
      </c>
      <c r="D1672" s="37" t="s">
        <v>44</v>
      </c>
      <c r="E1672" s="37" t="s">
        <v>1589</v>
      </c>
      <c r="F1672" s="43" t="s">
        <v>3907</v>
      </c>
      <c r="G1672" s="37"/>
      <c r="H1672" s="46">
        <v>46267.0</v>
      </c>
      <c r="I1672" s="37" t="s">
        <v>3027</v>
      </c>
      <c r="J1672" s="17"/>
      <c r="K1672" s="17"/>
      <c r="L1672" s="37" t="s">
        <v>58</v>
      </c>
      <c r="M1672" s="37" t="s">
        <v>74</v>
      </c>
      <c r="N1672" s="17" t="s">
        <v>28</v>
      </c>
      <c r="O1672" s="153">
        <v>46268.0</v>
      </c>
      <c r="P1672" s="15"/>
      <c r="Q1672" s="15"/>
      <c r="R1672" s="1"/>
      <c r="S1672" s="1"/>
    </row>
    <row r="1673">
      <c r="A1673" s="1"/>
      <c r="B1673" s="3">
        <f t="shared" si="4"/>
        <v>1669</v>
      </c>
      <c r="C1673" s="31" t="s">
        <v>3908</v>
      </c>
      <c r="D1673" s="37" t="s">
        <v>96</v>
      </c>
      <c r="E1673" s="37" t="s">
        <v>3909</v>
      </c>
      <c r="F1673" s="43" t="s">
        <v>3910</v>
      </c>
      <c r="G1673" s="37"/>
      <c r="H1673" s="46">
        <v>46267.0</v>
      </c>
      <c r="I1673" s="37" t="s">
        <v>3027</v>
      </c>
      <c r="J1673" s="17"/>
      <c r="K1673" s="17"/>
      <c r="L1673" s="37" t="s">
        <v>58</v>
      </c>
      <c r="M1673" s="37" t="s">
        <v>57</v>
      </c>
      <c r="N1673" s="17" t="s">
        <v>28</v>
      </c>
      <c r="O1673" s="153">
        <v>46268.0</v>
      </c>
      <c r="P1673" s="15"/>
      <c r="Q1673" s="15"/>
      <c r="R1673" s="1"/>
      <c r="S1673" s="1"/>
    </row>
    <row r="1674">
      <c r="A1674" s="1"/>
      <c r="B1674" s="3">
        <f t="shared" si="4"/>
        <v>1670</v>
      </c>
      <c r="C1674" s="31" t="s">
        <v>3911</v>
      </c>
      <c r="D1674" s="37" t="s">
        <v>1505</v>
      </c>
      <c r="E1674" s="37" t="s">
        <v>3912</v>
      </c>
      <c r="F1674" s="43" t="s">
        <v>3913</v>
      </c>
      <c r="G1674" s="37"/>
      <c r="H1674" s="46">
        <v>46267.0</v>
      </c>
      <c r="I1674" s="37" t="s">
        <v>3027</v>
      </c>
      <c r="J1674" s="17"/>
      <c r="K1674" s="17"/>
      <c r="L1674" s="37" t="s">
        <v>189</v>
      </c>
      <c r="M1674" s="37"/>
      <c r="N1674" s="17"/>
      <c r="O1674" s="1"/>
      <c r="P1674" s="15"/>
      <c r="Q1674" s="15"/>
      <c r="R1674" s="1"/>
      <c r="S1674" s="1"/>
    </row>
    <row r="1675">
      <c r="A1675" s="1"/>
      <c r="B1675" s="3">
        <f t="shared" si="4"/>
        <v>1671</v>
      </c>
      <c r="C1675" s="31" t="s">
        <v>3914</v>
      </c>
      <c r="D1675" s="37" t="s">
        <v>44</v>
      </c>
      <c r="E1675" s="37" t="s">
        <v>3915</v>
      </c>
      <c r="F1675" s="43" t="s">
        <v>3916</v>
      </c>
      <c r="G1675" s="37"/>
      <c r="H1675" s="46">
        <v>46267.0</v>
      </c>
      <c r="I1675" s="37" t="s">
        <v>3027</v>
      </c>
      <c r="J1675" s="17"/>
      <c r="K1675" s="17" t="s">
        <v>2292</v>
      </c>
      <c r="L1675" s="37" t="s">
        <v>58</v>
      </c>
      <c r="M1675" s="37"/>
      <c r="N1675" s="17"/>
      <c r="O1675" s="1"/>
      <c r="P1675" s="15"/>
      <c r="Q1675" s="15"/>
      <c r="R1675" s="1"/>
      <c r="S1675" s="1"/>
    </row>
    <row r="1676">
      <c r="A1676" s="1"/>
      <c r="B1676" s="3">
        <f t="shared" si="4"/>
        <v>1672</v>
      </c>
      <c r="C1676" s="31" t="s">
        <v>3917</v>
      </c>
      <c r="D1676" s="37" t="s">
        <v>83</v>
      </c>
      <c r="E1676" s="37" t="s">
        <v>1535</v>
      </c>
      <c r="F1676" s="43" t="s">
        <v>3918</v>
      </c>
      <c r="G1676" s="37"/>
      <c r="H1676" s="46">
        <v>46267.0</v>
      </c>
      <c r="I1676" s="37" t="s">
        <v>3027</v>
      </c>
      <c r="J1676" s="17"/>
      <c r="K1676" s="17">
        <v>250.0</v>
      </c>
      <c r="L1676" s="37" t="s">
        <v>189</v>
      </c>
      <c r="M1676" s="37"/>
      <c r="N1676" s="17"/>
      <c r="O1676" s="37"/>
      <c r="P1676" s="67" t="s">
        <v>2813</v>
      </c>
      <c r="Q1676" s="67" t="s">
        <v>3820</v>
      </c>
      <c r="R1676" s="1"/>
      <c r="S1676" s="1"/>
    </row>
    <row r="1677">
      <c r="A1677" s="1"/>
      <c r="B1677" s="3">
        <f t="shared" si="4"/>
        <v>1673</v>
      </c>
      <c r="C1677" s="31" t="s">
        <v>3919</v>
      </c>
      <c r="D1677" s="37" t="s">
        <v>1505</v>
      </c>
      <c r="E1677" s="37" t="s">
        <v>1535</v>
      </c>
      <c r="F1677" s="43" t="s">
        <v>3920</v>
      </c>
      <c r="G1677" s="37"/>
      <c r="H1677" s="46">
        <v>46267.0</v>
      </c>
      <c r="I1677" s="37" t="s">
        <v>3027</v>
      </c>
      <c r="J1677" s="17"/>
      <c r="K1677" s="17"/>
      <c r="L1677" s="37" t="s">
        <v>58</v>
      </c>
      <c r="M1677" s="37"/>
      <c r="N1677" s="17"/>
      <c r="O1677" s="1"/>
      <c r="P1677" s="15"/>
      <c r="Q1677" s="15"/>
      <c r="R1677" s="1"/>
      <c r="S1677" s="1"/>
    </row>
    <row r="1678">
      <c r="A1678" s="1"/>
      <c r="B1678" s="3">
        <f t="shared" si="4"/>
        <v>1674</v>
      </c>
      <c r="C1678" s="31" t="s">
        <v>3921</v>
      </c>
      <c r="D1678" s="37" t="s">
        <v>56</v>
      </c>
      <c r="E1678" s="37" t="s">
        <v>1595</v>
      </c>
      <c r="F1678" s="43" t="s">
        <v>3922</v>
      </c>
      <c r="G1678" s="37"/>
      <c r="H1678" s="46">
        <v>46267.0</v>
      </c>
      <c r="I1678" s="37" t="s">
        <v>3027</v>
      </c>
      <c r="J1678" s="17"/>
      <c r="K1678" s="17" t="s">
        <v>2231</v>
      </c>
      <c r="L1678" s="37" t="s">
        <v>58</v>
      </c>
      <c r="M1678" s="37"/>
      <c r="N1678" s="17"/>
      <c r="O1678" s="1"/>
      <c r="P1678" s="15"/>
      <c r="Q1678" s="15"/>
      <c r="R1678" s="1"/>
      <c r="S1678" s="1"/>
    </row>
    <row r="1679">
      <c r="A1679" s="1"/>
      <c r="B1679" s="3">
        <f t="shared" si="4"/>
        <v>1675</v>
      </c>
      <c r="C1679" s="31" t="s">
        <v>3923</v>
      </c>
      <c r="D1679" s="37" t="s">
        <v>56</v>
      </c>
      <c r="E1679" s="37" t="s">
        <v>3239</v>
      </c>
      <c r="F1679" s="43" t="s">
        <v>3924</v>
      </c>
      <c r="G1679" s="37"/>
      <c r="H1679" s="46">
        <v>46267.0</v>
      </c>
      <c r="I1679" s="37" t="s">
        <v>3027</v>
      </c>
      <c r="J1679" s="17"/>
      <c r="K1679" s="17" t="s">
        <v>2231</v>
      </c>
      <c r="L1679" s="37" t="s">
        <v>58</v>
      </c>
      <c r="M1679" s="37"/>
      <c r="N1679" s="17"/>
      <c r="O1679" s="1"/>
      <c r="P1679" s="15"/>
      <c r="Q1679" s="15"/>
      <c r="R1679" s="1"/>
      <c r="S1679" s="1"/>
    </row>
    <row r="1680">
      <c r="A1680" s="1"/>
      <c r="B1680" s="3">
        <f t="shared" si="4"/>
        <v>1676</v>
      </c>
      <c r="C1680" s="31" t="s">
        <v>3925</v>
      </c>
      <c r="D1680" s="37" t="s">
        <v>96</v>
      </c>
      <c r="E1680" s="37" t="s">
        <v>3926</v>
      </c>
      <c r="F1680" s="43" t="s">
        <v>3927</v>
      </c>
      <c r="G1680" s="37"/>
      <c r="H1680" s="46">
        <v>46062.0</v>
      </c>
      <c r="I1680" s="37" t="s">
        <v>413</v>
      </c>
      <c r="J1680" s="17"/>
      <c r="K1680" s="17" t="s">
        <v>2303</v>
      </c>
      <c r="L1680" s="37" t="s">
        <v>58</v>
      </c>
      <c r="M1680" s="37"/>
      <c r="N1680" s="17"/>
      <c r="O1680" s="37" t="s">
        <v>3928</v>
      </c>
      <c r="P1680" s="15"/>
      <c r="Q1680" s="15"/>
      <c r="R1680" s="1"/>
      <c r="S1680" s="1"/>
    </row>
    <row r="1681">
      <c r="A1681" s="1"/>
      <c r="B1681" s="3">
        <f t="shared" si="4"/>
        <v>1677</v>
      </c>
      <c r="C1681" s="31" t="s">
        <v>3929</v>
      </c>
      <c r="D1681" s="37" t="s">
        <v>44</v>
      </c>
      <c r="E1681" s="37" t="s">
        <v>1398</v>
      </c>
      <c r="F1681" s="43" t="s">
        <v>3930</v>
      </c>
      <c r="G1681" s="37"/>
      <c r="H1681" s="46">
        <v>46267.0</v>
      </c>
      <c r="I1681" s="37" t="s">
        <v>413</v>
      </c>
      <c r="J1681" s="17"/>
      <c r="K1681" s="17" t="s">
        <v>3734</v>
      </c>
      <c r="L1681" s="37" t="s">
        <v>189</v>
      </c>
      <c r="M1681" s="37"/>
      <c r="N1681" s="17"/>
      <c r="O1681" s="37" t="s">
        <v>3931</v>
      </c>
      <c r="P1681" s="67" t="s">
        <v>3932</v>
      </c>
      <c r="Q1681" s="15"/>
      <c r="R1681" s="1"/>
      <c r="S1681" s="1"/>
    </row>
    <row r="1682">
      <c r="A1682" s="1"/>
      <c r="B1682" s="3">
        <f t="shared" si="4"/>
        <v>1678</v>
      </c>
      <c r="C1682" s="31" t="s">
        <v>3933</v>
      </c>
      <c r="D1682" s="37" t="s">
        <v>44</v>
      </c>
      <c r="E1682" s="37" t="s">
        <v>1692</v>
      </c>
      <c r="F1682" s="43" t="s">
        <v>3934</v>
      </c>
      <c r="G1682" s="37"/>
      <c r="H1682" s="46">
        <v>46267.0</v>
      </c>
      <c r="I1682" s="37" t="s">
        <v>413</v>
      </c>
      <c r="J1682" s="17"/>
      <c r="K1682" s="17">
        <v>350.0</v>
      </c>
      <c r="L1682" s="37" t="s">
        <v>58</v>
      </c>
      <c r="M1682" s="37" t="s">
        <v>60</v>
      </c>
      <c r="N1682" s="17" t="s">
        <v>28</v>
      </c>
      <c r="O1682" s="37" t="s">
        <v>3935</v>
      </c>
      <c r="P1682" s="15"/>
      <c r="Q1682" s="15"/>
      <c r="R1682" s="1"/>
      <c r="S1682" s="1"/>
    </row>
    <row r="1683">
      <c r="A1683" s="1"/>
      <c r="B1683" s="3">
        <f t="shared" si="4"/>
        <v>1679</v>
      </c>
      <c r="C1683" s="31" t="s">
        <v>3936</v>
      </c>
      <c r="D1683" s="37" t="s">
        <v>44</v>
      </c>
      <c r="E1683" s="37" t="s">
        <v>3937</v>
      </c>
      <c r="F1683" s="43" t="s">
        <v>3938</v>
      </c>
      <c r="G1683" s="37"/>
      <c r="H1683" s="46">
        <v>46267.0</v>
      </c>
      <c r="I1683" s="37" t="s">
        <v>413</v>
      </c>
      <c r="J1683" s="17"/>
      <c r="K1683" s="17" t="s">
        <v>3939</v>
      </c>
      <c r="L1683" s="37" t="s">
        <v>189</v>
      </c>
      <c r="M1683" s="37"/>
      <c r="N1683" s="17"/>
      <c r="O1683" s="37" t="s">
        <v>3940</v>
      </c>
      <c r="P1683" s="15"/>
      <c r="Q1683" s="67" t="s">
        <v>3941</v>
      </c>
      <c r="R1683" s="1"/>
      <c r="S1683" s="1"/>
    </row>
    <row r="1684">
      <c r="A1684" s="1"/>
      <c r="B1684" s="3">
        <f t="shared" si="4"/>
        <v>1680</v>
      </c>
      <c r="C1684" s="31" t="s">
        <v>3942</v>
      </c>
      <c r="D1684" s="37" t="s">
        <v>44</v>
      </c>
      <c r="E1684" s="37" t="s">
        <v>3123</v>
      </c>
      <c r="F1684" s="43" t="s">
        <v>3943</v>
      </c>
      <c r="G1684" s="37"/>
      <c r="H1684" s="46">
        <v>46267.0</v>
      </c>
      <c r="I1684" s="37" t="s">
        <v>413</v>
      </c>
      <c r="J1684" s="17"/>
      <c r="K1684" s="17"/>
      <c r="L1684" s="37"/>
      <c r="M1684" s="37"/>
      <c r="N1684" s="17"/>
      <c r="O1684" s="1"/>
      <c r="P1684" s="15"/>
      <c r="Q1684" s="15"/>
      <c r="R1684" s="1"/>
      <c r="S1684" s="1"/>
    </row>
    <row r="1685">
      <c r="A1685" s="1"/>
      <c r="B1685" s="3">
        <f t="shared" si="4"/>
        <v>1681</v>
      </c>
      <c r="C1685" s="31" t="s">
        <v>3944</v>
      </c>
      <c r="D1685" s="37" t="s">
        <v>1505</v>
      </c>
      <c r="E1685" s="37" t="s">
        <v>3097</v>
      </c>
      <c r="F1685" s="43" t="s">
        <v>3945</v>
      </c>
      <c r="G1685" s="37"/>
      <c r="H1685" s="46">
        <v>46267.0</v>
      </c>
      <c r="I1685" s="37" t="s">
        <v>3027</v>
      </c>
      <c r="J1685" s="17"/>
      <c r="K1685" s="17"/>
      <c r="L1685" s="37" t="s">
        <v>58</v>
      </c>
      <c r="M1685" s="37"/>
      <c r="N1685" s="17"/>
      <c r="O1685" s="1"/>
      <c r="P1685" s="15"/>
      <c r="Q1685" s="15"/>
      <c r="R1685" s="1"/>
      <c r="S1685" s="1"/>
    </row>
    <row r="1686">
      <c r="A1686" s="1"/>
      <c r="B1686" s="3">
        <f t="shared" si="4"/>
        <v>1682</v>
      </c>
      <c r="C1686" s="31" t="s">
        <v>3946</v>
      </c>
      <c r="D1686" s="37" t="s">
        <v>96</v>
      </c>
      <c r="E1686" s="37" t="s">
        <v>1589</v>
      </c>
      <c r="F1686" s="37"/>
      <c r="G1686" s="37"/>
      <c r="H1686" s="46"/>
      <c r="I1686" s="37"/>
      <c r="J1686" s="17"/>
      <c r="K1686" s="17"/>
      <c r="L1686" s="37"/>
      <c r="M1686" s="37"/>
      <c r="N1686" s="17"/>
      <c r="O1686" s="1"/>
      <c r="P1686" s="15"/>
      <c r="Q1686" s="15"/>
      <c r="R1686" s="1"/>
      <c r="S1686" s="1"/>
    </row>
    <row r="1687">
      <c r="A1687" s="1"/>
      <c r="B1687" s="3">
        <f t="shared" si="4"/>
        <v>1683</v>
      </c>
      <c r="C1687" s="31" t="s">
        <v>3947</v>
      </c>
      <c r="D1687" s="37" t="s">
        <v>83</v>
      </c>
      <c r="E1687" s="37" t="s">
        <v>2520</v>
      </c>
      <c r="F1687" s="43" t="s">
        <v>3948</v>
      </c>
      <c r="G1687" s="37"/>
      <c r="H1687" s="46">
        <v>46267.0</v>
      </c>
      <c r="I1687" s="37" t="s">
        <v>413</v>
      </c>
      <c r="J1687" s="17"/>
      <c r="K1687" s="17">
        <v>400.0</v>
      </c>
      <c r="L1687" s="37" t="s">
        <v>58</v>
      </c>
      <c r="M1687" s="37"/>
      <c r="N1687" s="17"/>
      <c r="O1687" s="1"/>
      <c r="P1687" s="15"/>
      <c r="Q1687" s="15"/>
      <c r="R1687" s="1"/>
      <c r="S1687" s="1"/>
    </row>
    <row r="1688">
      <c r="A1688" s="1"/>
      <c r="B1688" s="3">
        <f t="shared" si="4"/>
        <v>1684</v>
      </c>
      <c r="C1688" s="31" t="s">
        <v>3949</v>
      </c>
      <c r="D1688" s="37" t="s">
        <v>83</v>
      </c>
      <c r="E1688" s="37" t="s">
        <v>1500</v>
      </c>
      <c r="F1688" s="43" t="s">
        <v>3950</v>
      </c>
      <c r="G1688" s="37"/>
      <c r="H1688" s="46">
        <v>46267.0</v>
      </c>
      <c r="I1688" s="37" t="s">
        <v>413</v>
      </c>
      <c r="J1688" s="17"/>
      <c r="K1688" s="17">
        <v>300.0</v>
      </c>
      <c r="L1688" s="37" t="s">
        <v>58</v>
      </c>
      <c r="M1688" s="37"/>
      <c r="N1688" s="17"/>
      <c r="O1688" s="1"/>
      <c r="P1688" s="15"/>
      <c r="Q1688" s="15"/>
      <c r="R1688" s="1"/>
      <c r="S1688" s="1"/>
    </row>
    <row r="1689">
      <c r="A1689" s="1"/>
      <c r="B1689" s="3">
        <f t="shared" si="4"/>
        <v>1685</v>
      </c>
      <c r="C1689" s="31" t="s">
        <v>3951</v>
      </c>
      <c r="D1689" s="37" t="s">
        <v>56</v>
      </c>
      <c r="E1689" s="37" t="s">
        <v>3952</v>
      </c>
      <c r="F1689" s="43" t="s">
        <v>3953</v>
      </c>
      <c r="G1689" s="37"/>
      <c r="H1689" s="46">
        <v>46267.0</v>
      </c>
      <c r="I1689" s="37" t="s">
        <v>413</v>
      </c>
      <c r="J1689" s="17"/>
      <c r="K1689" s="17">
        <v>300.0</v>
      </c>
      <c r="L1689" s="37" t="s">
        <v>58</v>
      </c>
      <c r="M1689" s="37"/>
      <c r="N1689" s="17"/>
      <c r="O1689" s="1"/>
      <c r="P1689" s="15"/>
      <c r="Q1689" s="15"/>
      <c r="R1689" s="1"/>
      <c r="S1689" s="1"/>
    </row>
    <row r="1690">
      <c r="A1690" s="1"/>
      <c r="B1690" s="3">
        <f t="shared" si="4"/>
        <v>1686</v>
      </c>
      <c r="C1690" s="31" t="s">
        <v>3954</v>
      </c>
      <c r="D1690" s="37" t="s">
        <v>49</v>
      </c>
      <c r="E1690" s="37" t="s">
        <v>2270</v>
      </c>
      <c r="F1690" s="43" t="s">
        <v>3955</v>
      </c>
      <c r="G1690" s="37"/>
      <c r="H1690" s="46">
        <v>46267.0</v>
      </c>
      <c r="I1690" s="37" t="s">
        <v>413</v>
      </c>
      <c r="J1690" s="17"/>
      <c r="K1690" s="17">
        <v>300.0</v>
      </c>
      <c r="L1690" s="37" t="s">
        <v>58</v>
      </c>
      <c r="M1690" s="37"/>
      <c r="N1690" s="17"/>
      <c r="O1690" s="37" t="s">
        <v>3956</v>
      </c>
      <c r="P1690" s="15"/>
      <c r="Q1690" s="15"/>
      <c r="R1690" s="1"/>
      <c r="S1690" s="1"/>
    </row>
    <row r="1691">
      <c r="A1691" s="1"/>
      <c r="B1691" s="3">
        <f t="shared" si="4"/>
        <v>1687</v>
      </c>
      <c r="C1691" s="31" t="s">
        <v>3957</v>
      </c>
      <c r="D1691" s="37" t="s">
        <v>887</v>
      </c>
      <c r="E1691" s="37" t="s">
        <v>3958</v>
      </c>
      <c r="F1691" s="43" t="s">
        <v>3240</v>
      </c>
      <c r="G1691" s="37"/>
      <c r="H1691" s="46">
        <v>46267.0</v>
      </c>
      <c r="I1691" s="37" t="s">
        <v>413</v>
      </c>
      <c r="J1691" s="17"/>
      <c r="K1691" s="17">
        <v>400.0</v>
      </c>
      <c r="L1691" s="37" t="s">
        <v>58</v>
      </c>
      <c r="M1691" s="37"/>
      <c r="N1691" s="17"/>
      <c r="O1691" s="1"/>
      <c r="P1691" s="15"/>
      <c r="Q1691" s="15"/>
      <c r="R1691" s="1"/>
      <c r="S1691" s="1"/>
    </row>
    <row r="1692">
      <c r="A1692" s="1"/>
      <c r="B1692" s="3">
        <f t="shared" si="4"/>
        <v>1688</v>
      </c>
      <c r="C1692" s="31" t="s">
        <v>3959</v>
      </c>
      <c r="D1692" s="37" t="s">
        <v>83</v>
      </c>
      <c r="E1692" s="37" t="s">
        <v>1493</v>
      </c>
      <c r="F1692" s="43" t="s">
        <v>3960</v>
      </c>
      <c r="G1692" s="37"/>
      <c r="H1692" s="46">
        <v>46267.0</v>
      </c>
      <c r="I1692" s="37" t="s">
        <v>413</v>
      </c>
      <c r="J1692" s="17"/>
      <c r="K1692" s="17">
        <v>350.0</v>
      </c>
      <c r="L1692" s="37" t="s">
        <v>58</v>
      </c>
      <c r="M1692" s="37"/>
      <c r="N1692" s="17"/>
      <c r="O1692" s="1"/>
      <c r="P1692" s="15"/>
      <c r="Q1692" s="15"/>
      <c r="R1692" s="1"/>
      <c r="S1692" s="1"/>
    </row>
    <row r="1693">
      <c r="A1693" s="1"/>
      <c r="B1693" s="3">
        <f t="shared" si="4"/>
        <v>1689</v>
      </c>
      <c r="C1693" s="31" t="s">
        <v>3961</v>
      </c>
      <c r="D1693" s="37" t="s">
        <v>83</v>
      </c>
      <c r="E1693" s="37" t="s">
        <v>3585</v>
      </c>
      <c r="F1693" s="43" t="s">
        <v>3962</v>
      </c>
      <c r="G1693" s="37"/>
      <c r="H1693" s="46">
        <v>46267.0</v>
      </c>
      <c r="I1693" s="37" t="s">
        <v>413</v>
      </c>
      <c r="J1693" s="17"/>
      <c r="K1693" s="17">
        <v>200.0</v>
      </c>
      <c r="L1693" s="37" t="s">
        <v>58</v>
      </c>
      <c r="M1693" s="37"/>
      <c r="N1693" s="17"/>
      <c r="O1693" s="1"/>
      <c r="P1693" s="15"/>
      <c r="Q1693" s="15"/>
      <c r="R1693" s="1"/>
      <c r="S1693" s="1"/>
    </row>
    <row r="1694">
      <c r="A1694" s="1"/>
      <c r="B1694" s="3">
        <f t="shared" si="4"/>
        <v>1690</v>
      </c>
      <c r="C1694" s="31" t="s">
        <v>3963</v>
      </c>
      <c r="D1694" s="37" t="s">
        <v>112</v>
      </c>
      <c r="E1694" s="37" t="s">
        <v>3964</v>
      </c>
      <c r="F1694" s="43" t="s">
        <v>3965</v>
      </c>
      <c r="G1694" s="37"/>
      <c r="H1694" s="46">
        <v>46267.0</v>
      </c>
      <c r="I1694" s="37" t="s">
        <v>413</v>
      </c>
      <c r="J1694" s="17"/>
      <c r="K1694" s="17">
        <v>300.0</v>
      </c>
      <c r="L1694" s="37" t="s">
        <v>58</v>
      </c>
      <c r="M1694" s="37" t="s">
        <v>60</v>
      </c>
      <c r="N1694" s="17" t="s">
        <v>28</v>
      </c>
      <c r="O1694" s="1"/>
      <c r="P1694" s="15"/>
      <c r="Q1694" s="15"/>
      <c r="R1694" s="1"/>
      <c r="S1694" s="1"/>
    </row>
    <row r="1695">
      <c r="A1695" s="1"/>
      <c r="B1695" s="3">
        <f t="shared" si="4"/>
        <v>1691</v>
      </c>
      <c r="C1695" s="31" t="s">
        <v>3966</v>
      </c>
      <c r="D1695" s="37" t="s">
        <v>38</v>
      </c>
      <c r="E1695" s="37" t="s">
        <v>3967</v>
      </c>
      <c r="F1695" s="43" t="s">
        <v>3968</v>
      </c>
      <c r="G1695" s="37"/>
      <c r="H1695" s="46">
        <v>46267.0</v>
      </c>
      <c r="I1695" s="37" t="s">
        <v>413</v>
      </c>
      <c r="J1695" s="17"/>
      <c r="K1695" s="17">
        <v>200.0</v>
      </c>
      <c r="L1695" s="37" t="s">
        <v>58</v>
      </c>
      <c r="M1695" s="37"/>
      <c r="N1695" s="17"/>
      <c r="O1695" s="1"/>
      <c r="P1695" s="15"/>
      <c r="Q1695" s="15"/>
      <c r="R1695" s="1"/>
      <c r="S1695" s="1"/>
    </row>
    <row r="1696">
      <c r="A1696" s="1"/>
      <c r="B1696" s="3">
        <f t="shared" si="4"/>
        <v>1692</v>
      </c>
      <c r="C1696" s="31" t="s">
        <v>3969</v>
      </c>
      <c r="D1696" s="37" t="s">
        <v>83</v>
      </c>
      <c r="E1696" s="37" t="s">
        <v>1332</v>
      </c>
      <c r="F1696" s="43" t="s">
        <v>3970</v>
      </c>
      <c r="G1696" s="37"/>
      <c r="H1696" s="46">
        <v>46062.0</v>
      </c>
      <c r="I1696" s="37" t="s">
        <v>413</v>
      </c>
      <c r="J1696" s="17"/>
      <c r="K1696" s="17">
        <v>400.0</v>
      </c>
      <c r="L1696" s="37" t="s">
        <v>58</v>
      </c>
      <c r="M1696" s="37"/>
      <c r="N1696" s="17"/>
      <c r="O1696" s="1"/>
      <c r="P1696" s="15"/>
      <c r="Q1696" s="15"/>
      <c r="R1696" s="1"/>
      <c r="S1696" s="1"/>
    </row>
    <row r="1697">
      <c r="A1697" s="1"/>
      <c r="B1697" s="3">
        <f t="shared" si="4"/>
        <v>1693</v>
      </c>
      <c r="C1697" s="31" t="s">
        <v>3971</v>
      </c>
      <c r="D1697" s="37" t="s">
        <v>96</v>
      </c>
      <c r="E1697" s="37" t="s">
        <v>1497</v>
      </c>
      <c r="F1697" s="43" t="s">
        <v>3972</v>
      </c>
      <c r="G1697" s="37"/>
      <c r="H1697" s="46">
        <v>46267.0</v>
      </c>
      <c r="I1697" s="37" t="s">
        <v>413</v>
      </c>
      <c r="J1697" s="17"/>
      <c r="K1697" s="17">
        <v>400.0</v>
      </c>
      <c r="L1697" s="37" t="s">
        <v>189</v>
      </c>
      <c r="M1697" s="37"/>
      <c r="N1697" s="17"/>
      <c r="O1697" s="37" t="s">
        <v>3973</v>
      </c>
      <c r="P1697" s="15"/>
      <c r="Q1697" s="15"/>
      <c r="R1697" s="1"/>
      <c r="S1697" s="1"/>
    </row>
    <row r="1698">
      <c r="A1698" s="1"/>
      <c r="B1698" s="3">
        <f t="shared" si="4"/>
        <v>1694</v>
      </c>
      <c r="C1698" s="31" t="s">
        <v>3974</v>
      </c>
      <c r="D1698" s="37" t="s">
        <v>96</v>
      </c>
      <c r="E1698" s="37" t="s">
        <v>1398</v>
      </c>
      <c r="F1698" s="43" t="s">
        <v>3975</v>
      </c>
      <c r="G1698" s="37"/>
      <c r="H1698" s="46">
        <v>46267.0</v>
      </c>
      <c r="I1698" s="37" t="s">
        <v>413</v>
      </c>
      <c r="J1698" s="17"/>
      <c r="K1698" s="17">
        <v>400.0</v>
      </c>
      <c r="L1698" s="37" t="s">
        <v>189</v>
      </c>
      <c r="M1698" s="37"/>
      <c r="N1698" s="17"/>
      <c r="O1698" s="37" t="s">
        <v>3973</v>
      </c>
      <c r="P1698" s="15"/>
      <c r="Q1698" s="15"/>
      <c r="R1698" s="1"/>
      <c r="S1698" s="1"/>
    </row>
    <row r="1699">
      <c r="A1699" s="1"/>
      <c r="B1699" s="17">
        <v>1695.0</v>
      </c>
      <c r="C1699" s="31" t="s">
        <v>3976</v>
      </c>
      <c r="D1699" s="37" t="s">
        <v>83</v>
      </c>
      <c r="E1699" s="37" t="s">
        <v>3704</v>
      </c>
      <c r="F1699" s="43" t="s">
        <v>3977</v>
      </c>
      <c r="G1699" s="37"/>
      <c r="H1699" s="46">
        <v>46267.0</v>
      </c>
      <c r="I1699" s="37" t="s">
        <v>413</v>
      </c>
      <c r="J1699" s="17"/>
      <c r="K1699" s="17">
        <v>400.0</v>
      </c>
      <c r="L1699" s="37" t="s">
        <v>189</v>
      </c>
      <c r="M1699" s="37"/>
      <c r="N1699" s="17"/>
      <c r="O1699" s="1"/>
      <c r="P1699" s="15"/>
      <c r="Q1699" s="15"/>
      <c r="R1699" s="1"/>
      <c r="S1699" s="1"/>
    </row>
    <row r="1700">
      <c r="A1700" s="1"/>
      <c r="B1700" s="3">
        <f t="shared" ref="B1700:B1998" si="5">IF(C1700&gt;"",B1699+1,"")</f>
        <v>1696</v>
      </c>
      <c r="C1700" s="31" t="s">
        <v>3978</v>
      </c>
      <c r="D1700" s="37" t="s">
        <v>497</v>
      </c>
      <c r="E1700" s="37" t="s">
        <v>3979</v>
      </c>
      <c r="F1700" s="43" t="s">
        <v>3980</v>
      </c>
      <c r="G1700" s="37"/>
      <c r="H1700" s="46">
        <v>46267.0</v>
      </c>
      <c r="I1700" s="37" t="s">
        <v>413</v>
      </c>
      <c r="J1700" s="17"/>
      <c r="K1700" s="17">
        <v>400.0</v>
      </c>
      <c r="L1700" s="37" t="s">
        <v>58</v>
      </c>
      <c r="M1700" s="37"/>
      <c r="N1700" s="17"/>
      <c r="O1700" s="1"/>
      <c r="P1700" s="15"/>
      <c r="Q1700" s="15"/>
      <c r="R1700" s="1"/>
      <c r="S1700" s="1"/>
    </row>
    <row r="1701">
      <c r="A1701" s="1"/>
      <c r="B1701" s="3">
        <f t="shared" si="5"/>
        <v>1697</v>
      </c>
      <c r="C1701" s="31" t="s">
        <v>3981</v>
      </c>
      <c r="D1701" s="37" t="s">
        <v>49</v>
      </c>
      <c r="E1701" s="37" t="s">
        <v>2270</v>
      </c>
      <c r="F1701" s="43" t="s">
        <v>3982</v>
      </c>
      <c r="G1701" s="37"/>
      <c r="H1701" s="46">
        <v>46267.0</v>
      </c>
      <c r="I1701" s="37" t="s">
        <v>413</v>
      </c>
      <c r="J1701" s="17">
        <v>400.0</v>
      </c>
      <c r="K1701" s="17">
        <v>400.0</v>
      </c>
      <c r="L1701" s="37" t="s">
        <v>189</v>
      </c>
      <c r="M1701" s="37"/>
      <c r="N1701" s="17"/>
      <c r="O1701" s="37" t="s">
        <v>3983</v>
      </c>
      <c r="P1701" s="15"/>
      <c r="Q1701" s="15"/>
      <c r="R1701" s="1"/>
      <c r="S1701" s="1"/>
    </row>
    <row r="1702">
      <c r="A1702" s="1"/>
      <c r="B1702" s="3">
        <f t="shared" si="5"/>
        <v>1698</v>
      </c>
      <c r="C1702" s="31" t="s">
        <v>3984</v>
      </c>
      <c r="D1702" s="37" t="s">
        <v>112</v>
      </c>
      <c r="E1702" s="37" t="s">
        <v>3985</v>
      </c>
      <c r="F1702" s="43" t="s">
        <v>3986</v>
      </c>
      <c r="G1702" s="37"/>
      <c r="H1702" s="46">
        <v>46267.0</v>
      </c>
      <c r="I1702" s="37" t="s">
        <v>413</v>
      </c>
      <c r="J1702" s="17"/>
      <c r="K1702" s="17">
        <v>300.0</v>
      </c>
      <c r="L1702" s="37" t="s">
        <v>58</v>
      </c>
      <c r="M1702" s="37"/>
      <c r="N1702" s="17"/>
      <c r="O1702" s="1"/>
      <c r="P1702" s="15"/>
      <c r="Q1702" s="15"/>
      <c r="R1702" s="1"/>
      <c r="S1702" s="1"/>
    </row>
    <row r="1703">
      <c r="A1703" s="1"/>
      <c r="B1703" s="3">
        <f t="shared" si="5"/>
        <v>1699</v>
      </c>
      <c r="C1703" s="31" t="s">
        <v>3987</v>
      </c>
      <c r="D1703" s="37" t="s">
        <v>44</v>
      </c>
      <c r="E1703" s="37" t="s">
        <v>1477</v>
      </c>
      <c r="F1703" s="43" t="s">
        <v>3988</v>
      </c>
      <c r="G1703" s="37"/>
      <c r="H1703" s="46">
        <v>46267.0</v>
      </c>
      <c r="I1703" s="37" t="s">
        <v>413</v>
      </c>
      <c r="J1703" s="17"/>
      <c r="K1703" s="17" t="s">
        <v>2551</v>
      </c>
      <c r="L1703" s="37" t="s">
        <v>58</v>
      </c>
      <c r="M1703" s="37"/>
      <c r="N1703" s="17"/>
      <c r="O1703" s="1"/>
      <c r="P1703" s="15"/>
      <c r="Q1703" s="15"/>
      <c r="R1703" s="1"/>
      <c r="S1703" s="1"/>
    </row>
    <row r="1704">
      <c r="A1704" s="1"/>
      <c r="B1704" s="3">
        <f t="shared" si="5"/>
        <v>1700</v>
      </c>
      <c r="C1704" s="31" t="s">
        <v>3989</v>
      </c>
      <c r="D1704" s="37" t="s">
        <v>1505</v>
      </c>
      <c r="E1704" s="37" t="s">
        <v>1533</v>
      </c>
      <c r="F1704" s="43" t="s">
        <v>3990</v>
      </c>
      <c r="G1704" s="37"/>
      <c r="H1704" s="46">
        <v>46267.0</v>
      </c>
      <c r="I1704" s="37" t="s">
        <v>3027</v>
      </c>
      <c r="J1704" s="17"/>
      <c r="K1704" s="17">
        <v>500.0</v>
      </c>
      <c r="L1704" s="37" t="s">
        <v>189</v>
      </c>
      <c r="M1704" s="37"/>
      <c r="N1704" s="17"/>
      <c r="O1704" s="37"/>
      <c r="P1704" s="15"/>
      <c r="Q1704" s="15"/>
      <c r="R1704" s="1"/>
      <c r="S1704" s="1"/>
    </row>
    <row r="1705">
      <c r="A1705" s="1"/>
      <c r="B1705" s="3">
        <f t="shared" si="5"/>
        <v>1701</v>
      </c>
      <c r="C1705" s="31" t="s">
        <v>3991</v>
      </c>
      <c r="D1705" s="37" t="s">
        <v>112</v>
      </c>
      <c r="E1705" s="37" t="s">
        <v>1343</v>
      </c>
      <c r="F1705" s="43" t="s">
        <v>3992</v>
      </c>
      <c r="G1705" s="37"/>
      <c r="H1705" s="46">
        <v>46274.0</v>
      </c>
      <c r="I1705" s="37" t="s">
        <v>3027</v>
      </c>
      <c r="J1705" s="17"/>
      <c r="K1705" s="17" t="s">
        <v>2551</v>
      </c>
      <c r="L1705" s="37" t="s">
        <v>58</v>
      </c>
      <c r="M1705" s="37"/>
      <c r="N1705" s="17"/>
      <c r="O1705" s="37" t="s">
        <v>3993</v>
      </c>
      <c r="P1705" s="15"/>
      <c r="Q1705" s="15"/>
      <c r="R1705" s="1"/>
      <c r="S1705" s="1"/>
    </row>
    <row r="1706">
      <c r="A1706" s="1"/>
      <c r="B1706" s="3">
        <f t="shared" si="5"/>
        <v>1702</v>
      </c>
      <c r="C1706" s="31" t="s">
        <v>3994</v>
      </c>
      <c r="D1706" s="37" t="s">
        <v>1505</v>
      </c>
      <c r="E1706" s="37" t="s">
        <v>1493</v>
      </c>
      <c r="F1706" s="43" t="s">
        <v>3995</v>
      </c>
      <c r="G1706" s="37"/>
      <c r="H1706" s="46">
        <v>46274.0</v>
      </c>
      <c r="I1706" s="37" t="s">
        <v>3027</v>
      </c>
      <c r="J1706" s="17"/>
      <c r="K1706" s="17" t="s">
        <v>2551</v>
      </c>
      <c r="L1706" s="37" t="s">
        <v>58</v>
      </c>
      <c r="M1706" s="37"/>
      <c r="N1706" s="17"/>
      <c r="O1706" s="1"/>
      <c r="P1706" s="15"/>
      <c r="Q1706" s="15"/>
      <c r="R1706" s="1"/>
      <c r="S1706" s="1"/>
    </row>
    <row r="1707">
      <c r="A1707" s="1"/>
      <c r="B1707" s="3">
        <f t="shared" si="5"/>
        <v>1703</v>
      </c>
      <c r="C1707" s="31" t="s">
        <v>2784</v>
      </c>
      <c r="D1707" s="37" t="s">
        <v>44</v>
      </c>
      <c r="E1707" s="37" t="s">
        <v>2465</v>
      </c>
      <c r="F1707" s="43" t="s">
        <v>3996</v>
      </c>
      <c r="G1707" s="37"/>
      <c r="H1707" s="46">
        <v>46274.0</v>
      </c>
      <c r="I1707" s="37" t="s">
        <v>3027</v>
      </c>
      <c r="J1707" s="17"/>
      <c r="K1707" s="17" t="s">
        <v>2551</v>
      </c>
      <c r="L1707" s="37" t="s">
        <v>58</v>
      </c>
      <c r="M1707" s="37"/>
      <c r="N1707" s="17"/>
      <c r="O1707" s="1"/>
      <c r="P1707" s="15"/>
      <c r="Q1707" s="15"/>
      <c r="R1707" s="1"/>
      <c r="S1707" s="1"/>
    </row>
    <row r="1708">
      <c r="A1708" s="1"/>
      <c r="B1708" s="3">
        <f t="shared" si="5"/>
        <v>1704</v>
      </c>
      <c r="C1708" s="31" t="s">
        <v>3997</v>
      </c>
      <c r="D1708" s="37" t="s">
        <v>96</v>
      </c>
      <c r="E1708" s="37" t="s">
        <v>1604</v>
      </c>
      <c r="F1708" s="43" t="s">
        <v>3998</v>
      </c>
      <c r="G1708" s="37"/>
      <c r="H1708" s="46">
        <v>46274.0</v>
      </c>
      <c r="I1708" s="37" t="s">
        <v>413</v>
      </c>
      <c r="J1708" s="17"/>
      <c r="K1708" s="17">
        <v>500.0</v>
      </c>
      <c r="L1708" s="37" t="s">
        <v>58</v>
      </c>
      <c r="M1708" s="37"/>
      <c r="N1708" s="17"/>
      <c r="O1708" s="1"/>
      <c r="P1708" s="15"/>
      <c r="Q1708" s="15"/>
      <c r="R1708" s="1"/>
      <c r="S1708" s="1"/>
    </row>
    <row r="1709">
      <c r="A1709" s="1"/>
      <c r="B1709" s="3">
        <f t="shared" si="5"/>
        <v>1705</v>
      </c>
      <c r="C1709" s="31" t="s">
        <v>3999</v>
      </c>
      <c r="D1709" s="37" t="s">
        <v>56</v>
      </c>
      <c r="E1709" s="37" t="s">
        <v>2588</v>
      </c>
      <c r="F1709" s="43" t="s">
        <v>4000</v>
      </c>
      <c r="G1709" s="37"/>
      <c r="H1709" s="46">
        <v>46274.0</v>
      </c>
      <c r="I1709" s="37" t="s">
        <v>3027</v>
      </c>
      <c r="J1709" s="17"/>
      <c r="K1709" s="17" t="s">
        <v>2551</v>
      </c>
      <c r="L1709" s="37" t="s">
        <v>58</v>
      </c>
      <c r="M1709" s="37"/>
      <c r="N1709" s="17"/>
      <c r="O1709" s="1"/>
      <c r="P1709" s="15"/>
      <c r="Q1709" s="15"/>
      <c r="R1709" s="1"/>
      <c r="S1709" s="1"/>
    </row>
    <row r="1710">
      <c r="A1710" s="1"/>
      <c r="B1710" s="3">
        <f t="shared" si="5"/>
        <v>1706</v>
      </c>
      <c r="C1710" s="31" t="s">
        <v>4001</v>
      </c>
      <c r="D1710" s="37" t="s">
        <v>112</v>
      </c>
      <c r="E1710" s="37" t="s">
        <v>1366</v>
      </c>
      <c r="F1710" s="43" t="s">
        <v>4002</v>
      </c>
      <c r="G1710" s="37"/>
      <c r="H1710" s="46">
        <v>46274.0</v>
      </c>
      <c r="I1710" s="37" t="s">
        <v>413</v>
      </c>
      <c r="J1710" s="17"/>
      <c r="K1710" s="17">
        <v>300.0</v>
      </c>
      <c r="L1710" s="37" t="s">
        <v>189</v>
      </c>
      <c r="M1710" s="37"/>
      <c r="N1710" s="17"/>
      <c r="O1710" s="1"/>
      <c r="P1710" s="15"/>
      <c r="Q1710" s="15"/>
      <c r="R1710" s="1"/>
      <c r="S1710" s="1"/>
    </row>
    <row r="1711">
      <c r="A1711" s="1"/>
      <c r="B1711" s="3">
        <f t="shared" si="5"/>
        <v>1707</v>
      </c>
      <c r="C1711" s="31" t="s">
        <v>4003</v>
      </c>
      <c r="D1711" s="37" t="s">
        <v>56</v>
      </c>
      <c r="E1711" s="37" t="s">
        <v>3364</v>
      </c>
      <c r="F1711" s="43" t="s">
        <v>4004</v>
      </c>
      <c r="G1711" s="37"/>
      <c r="H1711" s="46">
        <v>46274.0</v>
      </c>
      <c r="I1711" s="37" t="s">
        <v>3027</v>
      </c>
      <c r="J1711" s="17"/>
      <c r="K1711" s="17" t="s">
        <v>2231</v>
      </c>
      <c r="L1711" s="37" t="s">
        <v>58</v>
      </c>
      <c r="M1711" s="37" t="s">
        <v>74</v>
      </c>
      <c r="N1711" s="17" t="s">
        <v>28</v>
      </c>
      <c r="O1711" s="1"/>
      <c r="P1711" s="15"/>
      <c r="Q1711" s="15"/>
      <c r="R1711" s="1"/>
      <c r="S1711" s="1"/>
    </row>
    <row r="1712">
      <c r="A1712" s="1"/>
      <c r="B1712" s="3">
        <f t="shared" si="5"/>
        <v>1708</v>
      </c>
      <c r="C1712" s="31" t="s">
        <v>4005</v>
      </c>
      <c r="D1712" s="37" t="s">
        <v>38</v>
      </c>
      <c r="E1712" s="37" t="s">
        <v>4006</v>
      </c>
      <c r="F1712" s="43" t="s">
        <v>4007</v>
      </c>
      <c r="G1712" s="37"/>
      <c r="H1712" s="46">
        <v>46274.0</v>
      </c>
      <c r="I1712" s="37" t="s">
        <v>3027</v>
      </c>
      <c r="J1712" s="17"/>
      <c r="K1712" s="17" t="s">
        <v>2231</v>
      </c>
      <c r="L1712" s="37" t="s">
        <v>58</v>
      </c>
      <c r="M1712" s="37" t="s">
        <v>65</v>
      </c>
      <c r="N1712" s="17" t="s">
        <v>28</v>
      </c>
      <c r="O1712" s="1"/>
      <c r="P1712" s="15"/>
      <c r="Q1712" s="15"/>
      <c r="R1712" s="1"/>
      <c r="S1712" s="1"/>
    </row>
    <row r="1713">
      <c r="A1713" s="1"/>
      <c r="B1713" s="3">
        <f t="shared" si="5"/>
        <v>1709</v>
      </c>
      <c r="C1713" s="31" t="s">
        <v>4008</v>
      </c>
      <c r="D1713" s="37" t="s">
        <v>83</v>
      </c>
      <c r="E1713" s="37" t="s">
        <v>4009</v>
      </c>
      <c r="F1713" s="43" t="s">
        <v>4010</v>
      </c>
      <c r="G1713" s="37"/>
      <c r="H1713" s="46">
        <v>46274.0</v>
      </c>
      <c r="I1713" s="37" t="s">
        <v>3027</v>
      </c>
      <c r="J1713" s="17"/>
      <c r="K1713" s="17" t="s">
        <v>4011</v>
      </c>
      <c r="L1713" s="37" t="s">
        <v>58</v>
      </c>
      <c r="M1713" s="37"/>
      <c r="N1713" s="17"/>
      <c r="O1713" s="1"/>
      <c r="P1713" s="15"/>
      <c r="Q1713" s="15"/>
      <c r="R1713" s="1"/>
      <c r="S1713" s="1"/>
    </row>
    <row r="1714">
      <c r="A1714" s="1"/>
      <c r="B1714" s="3">
        <f t="shared" si="5"/>
        <v>1710</v>
      </c>
      <c r="C1714" s="31" t="s">
        <v>4012</v>
      </c>
      <c r="D1714" s="37" t="s">
        <v>112</v>
      </c>
      <c r="E1714" s="37" t="s">
        <v>1343</v>
      </c>
      <c r="F1714" s="43" t="s">
        <v>4013</v>
      </c>
      <c r="G1714" s="37"/>
      <c r="H1714" s="46">
        <v>46274.0</v>
      </c>
      <c r="I1714" s="37" t="s">
        <v>3027</v>
      </c>
      <c r="J1714" s="17"/>
      <c r="K1714" s="17" t="s">
        <v>2231</v>
      </c>
      <c r="L1714" s="37" t="s">
        <v>58</v>
      </c>
      <c r="M1714" s="37"/>
      <c r="N1714" s="17"/>
      <c r="O1714" s="37" t="s">
        <v>4014</v>
      </c>
      <c r="P1714" s="15"/>
      <c r="Q1714" s="15"/>
      <c r="R1714" s="1"/>
      <c r="S1714" s="1"/>
    </row>
    <row r="1715">
      <c r="A1715" s="1"/>
      <c r="B1715" s="3">
        <f t="shared" si="5"/>
        <v>1711</v>
      </c>
      <c r="C1715" s="31" t="s">
        <v>4015</v>
      </c>
      <c r="D1715" s="37" t="s">
        <v>56</v>
      </c>
      <c r="E1715" s="37" t="s">
        <v>3837</v>
      </c>
      <c r="F1715" s="43" t="s">
        <v>4016</v>
      </c>
      <c r="G1715" s="37"/>
      <c r="H1715" s="46">
        <v>46274.0</v>
      </c>
      <c r="I1715" s="37" t="s">
        <v>3027</v>
      </c>
      <c r="J1715" s="17"/>
      <c r="K1715" s="17" t="s">
        <v>2231</v>
      </c>
      <c r="L1715" s="37" t="s">
        <v>58</v>
      </c>
      <c r="M1715" s="37"/>
      <c r="N1715" s="17"/>
      <c r="O1715" s="1"/>
      <c r="P1715" s="15"/>
      <c r="Q1715" s="15"/>
      <c r="R1715" s="1"/>
      <c r="S1715" s="1"/>
    </row>
    <row r="1716">
      <c r="A1716" s="1"/>
      <c r="B1716" s="3">
        <f t="shared" si="5"/>
        <v>1712</v>
      </c>
      <c r="C1716" s="31" t="s">
        <v>4017</v>
      </c>
      <c r="D1716" s="37" t="s">
        <v>1505</v>
      </c>
      <c r="E1716" s="37" t="s">
        <v>4018</v>
      </c>
      <c r="F1716" s="43" t="s">
        <v>4019</v>
      </c>
      <c r="G1716" s="37"/>
      <c r="H1716" s="46">
        <v>46274.0</v>
      </c>
      <c r="I1716" s="37" t="s">
        <v>413</v>
      </c>
      <c r="J1716" s="17"/>
      <c r="K1716" s="17">
        <v>500.0</v>
      </c>
      <c r="L1716" s="37" t="s">
        <v>58</v>
      </c>
      <c r="M1716" s="37"/>
      <c r="N1716" s="17"/>
      <c r="O1716" s="1"/>
      <c r="P1716" s="15"/>
      <c r="Q1716" s="15"/>
      <c r="R1716" s="1"/>
      <c r="S1716" s="1"/>
    </row>
    <row r="1717">
      <c r="A1717" s="1"/>
      <c r="B1717" s="3">
        <f t="shared" si="5"/>
        <v>1713</v>
      </c>
      <c r="C1717" s="31" t="s">
        <v>4020</v>
      </c>
      <c r="D1717" s="37" t="s">
        <v>1505</v>
      </c>
      <c r="E1717" s="37" t="s">
        <v>4021</v>
      </c>
      <c r="F1717" s="43" t="s">
        <v>4022</v>
      </c>
      <c r="G1717" s="37"/>
      <c r="H1717" s="46">
        <v>46274.0</v>
      </c>
      <c r="I1717" s="37" t="s">
        <v>3027</v>
      </c>
      <c r="J1717" s="17"/>
      <c r="K1717" s="17" t="s">
        <v>3813</v>
      </c>
      <c r="L1717" s="37" t="s">
        <v>58</v>
      </c>
      <c r="M1717" s="37"/>
      <c r="N1717" s="17"/>
      <c r="O1717" s="1"/>
      <c r="P1717" s="15"/>
      <c r="Q1717" s="15"/>
      <c r="R1717" s="1"/>
      <c r="S1717" s="1"/>
    </row>
    <row r="1718">
      <c r="A1718" s="1"/>
      <c r="B1718" s="3">
        <f t="shared" si="5"/>
        <v>1714</v>
      </c>
      <c r="C1718" s="31" t="s">
        <v>4023</v>
      </c>
      <c r="D1718" s="37" t="s">
        <v>44</v>
      </c>
      <c r="E1718" s="37" t="s">
        <v>1533</v>
      </c>
      <c r="F1718" s="43" t="s">
        <v>4024</v>
      </c>
      <c r="G1718" s="37"/>
      <c r="H1718" s="46">
        <v>46274.0</v>
      </c>
      <c r="I1718" s="37" t="s">
        <v>3027</v>
      </c>
      <c r="J1718" s="17"/>
      <c r="K1718" s="17" t="s">
        <v>2292</v>
      </c>
      <c r="L1718" s="37" t="s">
        <v>58</v>
      </c>
      <c r="M1718" s="37" t="s">
        <v>74</v>
      </c>
      <c r="N1718" s="17" t="s">
        <v>28</v>
      </c>
      <c r="O1718" s="1"/>
      <c r="P1718" s="15"/>
      <c r="Q1718" s="15"/>
      <c r="R1718" s="1"/>
      <c r="S1718" s="1"/>
    </row>
    <row r="1719">
      <c r="A1719" s="1"/>
      <c r="B1719" s="3">
        <f t="shared" si="5"/>
        <v>1715</v>
      </c>
      <c r="C1719" s="31" t="s">
        <v>4025</v>
      </c>
      <c r="D1719" s="37" t="s">
        <v>44</v>
      </c>
      <c r="E1719" s="37" t="s">
        <v>4026</v>
      </c>
      <c r="F1719" s="43" t="s">
        <v>4027</v>
      </c>
      <c r="G1719" s="37"/>
      <c r="H1719" s="46">
        <v>46274.0</v>
      </c>
      <c r="I1719" s="37" t="s">
        <v>3027</v>
      </c>
      <c r="J1719" s="17"/>
      <c r="K1719" s="17">
        <v>250.0</v>
      </c>
      <c r="L1719" s="37" t="s">
        <v>58</v>
      </c>
      <c r="M1719" s="37" t="s">
        <v>68</v>
      </c>
      <c r="N1719" s="17" t="s">
        <v>28</v>
      </c>
      <c r="O1719" s="1"/>
      <c r="P1719" s="15"/>
      <c r="Q1719" s="15"/>
      <c r="R1719" s="1"/>
      <c r="S1719" s="1"/>
    </row>
    <row r="1720">
      <c r="A1720" s="1"/>
      <c r="B1720" s="3">
        <f t="shared" si="5"/>
        <v>1716</v>
      </c>
      <c r="C1720" s="31" t="s">
        <v>4028</v>
      </c>
      <c r="D1720" s="37" t="s">
        <v>83</v>
      </c>
      <c r="E1720" s="37" t="s">
        <v>3296</v>
      </c>
      <c r="F1720" s="43" t="s">
        <v>4029</v>
      </c>
      <c r="G1720" s="37"/>
      <c r="H1720" s="46">
        <v>46281.0</v>
      </c>
      <c r="I1720" s="37" t="s">
        <v>3027</v>
      </c>
      <c r="J1720" s="17"/>
      <c r="K1720" s="17" t="s">
        <v>2231</v>
      </c>
      <c r="L1720" s="37" t="s">
        <v>58</v>
      </c>
      <c r="M1720" s="37"/>
      <c r="N1720" s="17"/>
      <c r="O1720" s="1"/>
      <c r="P1720" s="15"/>
      <c r="Q1720" s="15"/>
      <c r="R1720" s="1"/>
      <c r="S1720" s="1"/>
    </row>
    <row r="1721">
      <c r="A1721" s="1"/>
      <c r="B1721" s="3">
        <f t="shared" si="5"/>
        <v>1717</v>
      </c>
      <c r="C1721" s="31" t="s">
        <v>4030</v>
      </c>
      <c r="D1721" s="37" t="s">
        <v>44</v>
      </c>
      <c r="E1721" s="37" t="s">
        <v>3591</v>
      </c>
      <c r="F1721" s="43" t="s">
        <v>4031</v>
      </c>
      <c r="G1721" s="37"/>
      <c r="H1721" s="46">
        <v>46281.0</v>
      </c>
      <c r="I1721" s="37" t="s">
        <v>3027</v>
      </c>
      <c r="J1721" s="17"/>
      <c r="K1721" s="17" t="s">
        <v>3631</v>
      </c>
      <c r="L1721" s="37" t="s">
        <v>189</v>
      </c>
      <c r="M1721" s="37"/>
      <c r="N1721" s="17"/>
      <c r="O1721" s="1"/>
      <c r="P1721" s="15"/>
      <c r="Q1721" s="15"/>
      <c r="R1721" s="1"/>
      <c r="S1721" s="1"/>
    </row>
    <row r="1722">
      <c r="A1722" s="1"/>
      <c r="B1722" s="3">
        <f t="shared" si="5"/>
        <v>1718</v>
      </c>
      <c r="C1722" s="31" t="s">
        <v>4032</v>
      </c>
      <c r="D1722" s="37" t="s">
        <v>44</v>
      </c>
      <c r="E1722" s="37" t="s">
        <v>4033</v>
      </c>
      <c r="F1722" s="43" t="s">
        <v>4034</v>
      </c>
      <c r="G1722" s="37"/>
      <c r="H1722" s="46">
        <v>46281.0</v>
      </c>
      <c r="I1722" s="37" t="s">
        <v>3027</v>
      </c>
      <c r="J1722" s="17" t="s">
        <v>4035</v>
      </c>
      <c r="K1722" s="17"/>
      <c r="L1722" s="37" t="s">
        <v>58</v>
      </c>
      <c r="M1722" s="37"/>
      <c r="N1722" s="17"/>
      <c r="O1722" s="1"/>
      <c r="P1722" s="15"/>
      <c r="Q1722" s="15"/>
      <c r="R1722" s="1"/>
      <c r="S1722" s="1"/>
    </row>
    <row r="1723">
      <c r="A1723" s="1"/>
      <c r="B1723" s="3">
        <f t="shared" si="5"/>
        <v>1719</v>
      </c>
      <c r="C1723" s="31" t="s">
        <v>4036</v>
      </c>
      <c r="D1723" s="37" t="s">
        <v>83</v>
      </c>
      <c r="E1723" s="37" t="s">
        <v>3047</v>
      </c>
      <c r="F1723" s="43" t="s">
        <v>4037</v>
      </c>
      <c r="G1723" s="37"/>
      <c r="H1723" s="46">
        <v>46281.0</v>
      </c>
      <c r="I1723" s="37" t="s">
        <v>3027</v>
      </c>
      <c r="J1723" s="17">
        <v>280.0</v>
      </c>
      <c r="K1723" s="17"/>
      <c r="L1723" s="37" t="s">
        <v>58</v>
      </c>
      <c r="M1723" s="37"/>
      <c r="N1723" s="17"/>
      <c r="O1723" s="1"/>
      <c r="P1723" s="15"/>
      <c r="Q1723" s="15"/>
      <c r="R1723" s="1"/>
      <c r="S1723" s="1"/>
    </row>
    <row r="1724">
      <c r="A1724" s="1"/>
      <c r="B1724" s="3">
        <f t="shared" si="5"/>
        <v>1720</v>
      </c>
      <c r="C1724" s="31" t="s">
        <v>4038</v>
      </c>
      <c r="D1724" s="37" t="s">
        <v>44</v>
      </c>
      <c r="E1724" s="37" t="s">
        <v>1578</v>
      </c>
      <c r="F1724" s="43" t="s">
        <v>4039</v>
      </c>
      <c r="G1724" s="37"/>
      <c r="H1724" s="46">
        <v>46281.0</v>
      </c>
      <c r="I1724" s="37" t="s">
        <v>3027</v>
      </c>
      <c r="J1724" s="17"/>
      <c r="K1724" s="17">
        <v>600.0</v>
      </c>
      <c r="L1724" s="37" t="s">
        <v>189</v>
      </c>
      <c r="M1724" s="37"/>
      <c r="N1724" s="17"/>
      <c r="O1724" s="1"/>
      <c r="P1724" s="15"/>
      <c r="Q1724" s="15"/>
      <c r="R1724" s="1"/>
      <c r="S1724" s="1"/>
    </row>
    <row r="1725">
      <c r="A1725" s="1"/>
      <c r="B1725" s="3">
        <f t="shared" si="5"/>
        <v>1721</v>
      </c>
      <c r="C1725" s="31" t="s">
        <v>4040</v>
      </c>
      <c r="D1725" s="37" t="s">
        <v>56</v>
      </c>
      <c r="E1725" s="37" t="s">
        <v>4041</v>
      </c>
      <c r="F1725" s="43" t="s">
        <v>4042</v>
      </c>
      <c r="G1725" s="37"/>
      <c r="H1725" s="46">
        <v>46281.0</v>
      </c>
      <c r="I1725" s="37" t="s">
        <v>3027</v>
      </c>
      <c r="J1725" s="17"/>
      <c r="K1725" s="17"/>
      <c r="L1725" s="37" t="s">
        <v>189</v>
      </c>
      <c r="M1725" s="37"/>
      <c r="N1725" s="17"/>
      <c r="O1725" s="1"/>
      <c r="P1725" s="15"/>
      <c r="Q1725" s="15"/>
      <c r="R1725" s="1"/>
      <c r="S1725" s="1"/>
    </row>
    <row r="1726">
      <c r="A1726" s="1"/>
      <c r="B1726" s="3">
        <f t="shared" si="5"/>
        <v>1722</v>
      </c>
      <c r="C1726" s="31" t="s">
        <v>4043</v>
      </c>
      <c r="D1726" s="37" t="s">
        <v>44</v>
      </c>
      <c r="E1726" s="37" t="s">
        <v>2142</v>
      </c>
      <c r="F1726" s="43" t="s">
        <v>4044</v>
      </c>
      <c r="G1726" s="37"/>
      <c r="H1726" s="46">
        <v>46281.0</v>
      </c>
      <c r="I1726" s="37" t="s">
        <v>3027</v>
      </c>
      <c r="J1726" s="17"/>
      <c r="K1726" s="17" t="s">
        <v>2231</v>
      </c>
      <c r="L1726" s="37" t="s">
        <v>58</v>
      </c>
      <c r="M1726" s="37"/>
      <c r="N1726" s="17"/>
      <c r="O1726" s="1"/>
      <c r="P1726" s="15"/>
      <c r="Q1726" s="15"/>
      <c r="R1726" s="1"/>
      <c r="S1726" s="1"/>
    </row>
    <row r="1727">
      <c r="A1727" s="1"/>
      <c r="B1727" s="3">
        <f t="shared" si="5"/>
        <v>1723</v>
      </c>
      <c r="C1727" s="31" t="s">
        <v>1989</v>
      </c>
      <c r="D1727" s="37" t="s">
        <v>83</v>
      </c>
      <c r="E1727" s="37" t="s">
        <v>4045</v>
      </c>
      <c r="F1727" s="43" t="s">
        <v>4046</v>
      </c>
      <c r="G1727" s="37"/>
      <c r="H1727" s="46">
        <v>46281.0</v>
      </c>
      <c r="I1727" s="37" t="s">
        <v>413</v>
      </c>
      <c r="J1727" s="17"/>
      <c r="K1727" s="17">
        <v>350.0</v>
      </c>
      <c r="L1727" s="37" t="s">
        <v>189</v>
      </c>
      <c r="M1727" s="37"/>
      <c r="N1727" s="17"/>
      <c r="O1727" s="1"/>
      <c r="P1727" s="15"/>
      <c r="Q1727" s="15"/>
      <c r="R1727" s="1"/>
      <c r="S1727" s="1"/>
    </row>
    <row r="1728">
      <c r="A1728" s="1"/>
      <c r="B1728" s="3">
        <f t="shared" si="5"/>
        <v>1724</v>
      </c>
      <c r="C1728" s="31" t="s">
        <v>3826</v>
      </c>
      <c r="D1728" s="37" t="s">
        <v>112</v>
      </c>
      <c r="E1728" s="37" t="s">
        <v>3296</v>
      </c>
      <c r="F1728" s="1"/>
      <c r="G1728" s="37"/>
      <c r="H1728" s="46">
        <v>46281.0</v>
      </c>
      <c r="I1728" s="37" t="s">
        <v>413</v>
      </c>
      <c r="J1728" s="17"/>
      <c r="K1728" s="17"/>
      <c r="L1728" s="37" t="s">
        <v>189</v>
      </c>
      <c r="M1728" s="37"/>
      <c r="N1728" s="17"/>
      <c r="O1728" s="1"/>
      <c r="P1728" s="15"/>
      <c r="Q1728" s="15"/>
      <c r="R1728" s="1"/>
      <c r="S1728" s="1"/>
    </row>
    <row r="1729">
      <c r="A1729" s="1"/>
      <c r="B1729" s="3">
        <f t="shared" si="5"/>
        <v>1725</v>
      </c>
      <c r="C1729" s="31" t="s">
        <v>4047</v>
      </c>
      <c r="D1729" s="37" t="s">
        <v>44</v>
      </c>
      <c r="E1729" s="37" t="s">
        <v>1589</v>
      </c>
      <c r="F1729" s="43" t="s">
        <v>4048</v>
      </c>
      <c r="G1729" s="37"/>
      <c r="H1729" s="46">
        <v>46281.0</v>
      </c>
      <c r="I1729" s="37" t="s">
        <v>413</v>
      </c>
      <c r="J1729" s="17"/>
      <c r="K1729" s="17">
        <v>300.0</v>
      </c>
      <c r="L1729" s="37" t="s">
        <v>58</v>
      </c>
      <c r="M1729" s="37"/>
      <c r="N1729" s="17"/>
      <c r="O1729" s="1"/>
      <c r="P1729" s="15"/>
      <c r="Q1729" s="15"/>
      <c r="R1729" s="1"/>
      <c r="S1729" s="1"/>
    </row>
    <row r="1730">
      <c r="A1730" s="1"/>
      <c r="B1730" s="3">
        <f t="shared" si="5"/>
        <v>1726</v>
      </c>
      <c r="C1730" s="31" t="s">
        <v>4049</v>
      </c>
      <c r="D1730" s="37" t="s">
        <v>497</v>
      </c>
      <c r="E1730" s="37" t="s">
        <v>1574</v>
      </c>
      <c r="F1730" s="43" t="s">
        <v>4050</v>
      </c>
      <c r="G1730" s="37"/>
      <c r="H1730" s="46">
        <v>46281.0</v>
      </c>
      <c r="I1730" s="37" t="s">
        <v>413</v>
      </c>
      <c r="J1730" s="17"/>
      <c r="K1730" s="17">
        <v>450.0</v>
      </c>
      <c r="L1730" s="37" t="s">
        <v>189</v>
      </c>
      <c r="M1730" s="37"/>
      <c r="N1730" s="17"/>
      <c r="O1730" s="1"/>
      <c r="P1730" s="15"/>
      <c r="Q1730" s="15"/>
      <c r="R1730" s="1"/>
      <c r="S1730" s="1"/>
    </row>
    <row r="1731">
      <c r="A1731" s="1"/>
      <c r="B1731" s="3">
        <f t="shared" si="5"/>
        <v>1727</v>
      </c>
      <c r="C1731" s="31" t="s">
        <v>4051</v>
      </c>
      <c r="D1731" s="37" t="s">
        <v>497</v>
      </c>
      <c r="E1731" s="37" t="s">
        <v>4052</v>
      </c>
      <c r="F1731" s="43" t="s">
        <v>4053</v>
      </c>
      <c r="G1731" s="37"/>
      <c r="H1731" s="46">
        <v>46281.0</v>
      </c>
      <c r="I1731" s="37" t="s">
        <v>413</v>
      </c>
      <c r="J1731" s="17"/>
      <c r="K1731" s="17" t="s">
        <v>2231</v>
      </c>
      <c r="L1731" s="37" t="s">
        <v>58</v>
      </c>
      <c r="M1731" s="37" t="s">
        <v>57</v>
      </c>
      <c r="N1731" s="17" t="s">
        <v>28</v>
      </c>
      <c r="O1731" s="37" t="s">
        <v>4054</v>
      </c>
      <c r="P1731" s="15"/>
      <c r="Q1731" s="15"/>
      <c r="R1731" s="1"/>
      <c r="S1731" s="1"/>
    </row>
    <row r="1732">
      <c r="A1732" s="1"/>
      <c r="B1732" s="3">
        <f t="shared" si="5"/>
        <v>1728</v>
      </c>
      <c r="C1732" s="31" t="s">
        <v>4055</v>
      </c>
      <c r="D1732" s="37" t="s">
        <v>83</v>
      </c>
      <c r="E1732" s="37" t="s">
        <v>3086</v>
      </c>
      <c r="F1732" s="43" t="s">
        <v>4056</v>
      </c>
      <c r="G1732" s="37"/>
      <c r="H1732" s="46">
        <v>46281.0</v>
      </c>
      <c r="I1732" s="37" t="s">
        <v>413</v>
      </c>
      <c r="J1732" s="17"/>
      <c r="K1732" s="17">
        <v>250.0</v>
      </c>
      <c r="L1732" s="37" t="s">
        <v>58</v>
      </c>
      <c r="M1732" s="37"/>
      <c r="N1732" s="17"/>
      <c r="O1732" s="37" t="s">
        <v>4057</v>
      </c>
      <c r="P1732" s="15"/>
      <c r="Q1732" s="15"/>
      <c r="R1732" s="1"/>
      <c r="S1732" s="1"/>
    </row>
    <row r="1733">
      <c r="A1733" s="1"/>
      <c r="B1733" s="3">
        <f t="shared" si="5"/>
        <v>1729</v>
      </c>
      <c r="C1733" s="31" t="s">
        <v>4058</v>
      </c>
      <c r="D1733" s="37" t="s">
        <v>112</v>
      </c>
      <c r="E1733" s="37" t="s">
        <v>3064</v>
      </c>
      <c r="F1733" s="43" t="s">
        <v>4059</v>
      </c>
      <c r="G1733" s="37"/>
      <c r="H1733" s="46">
        <v>46281.0</v>
      </c>
      <c r="I1733" s="37" t="s">
        <v>3027</v>
      </c>
      <c r="J1733" s="17"/>
      <c r="K1733" s="17" t="s">
        <v>2292</v>
      </c>
      <c r="L1733" s="37" t="s">
        <v>58</v>
      </c>
      <c r="M1733" s="37"/>
      <c r="N1733" s="17"/>
      <c r="O1733" s="1"/>
      <c r="P1733" s="15"/>
      <c r="Q1733" s="15"/>
      <c r="R1733" s="1"/>
      <c r="S1733" s="1"/>
    </row>
    <row r="1734">
      <c r="A1734" s="1"/>
      <c r="B1734" s="3">
        <f t="shared" si="5"/>
        <v>1730</v>
      </c>
      <c r="C1734" s="31" t="s">
        <v>4060</v>
      </c>
      <c r="D1734" s="37" t="s">
        <v>112</v>
      </c>
      <c r="E1734" s="37" t="s">
        <v>4061</v>
      </c>
      <c r="F1734" s="43" t="s">
        <v>4062</v>
      </c>
      <c r="G1734" s="37"/>
      <c r="H1734" s="46">
        <v>46281.0</v>
      </c>
      <c r="I1734" s="37" t="s">
        <v>3027</v>
      </c>
      <c r="J1734" s="17"/>
      <c r="K1734" s="17">
        <v>360.0</v>
      </c>
      <c r="L1734" s="37" t="s">
        <v>189</v>
      </c>
      <c r="M1734" s="37"/>
      <c r="N1734" s="17"/>
      <c r="O1734" s="1"/>
      <c r="P1734" s="15"/>
      <c r="Q1734" s="15"/>
      <c r="R1734" s="1"/>
      <c r="S1734" s="1"/>
    </row>
    <row r="1735">
      <c r="A1735" s="1"/>
      <c r="B1735" s="3">
        <f t="shared" si="5"/>
        <v>1731</v>
      </c>
      <c r="C1735" s="31" t="s">
        <v>595</v>
      </c>
      <c r="D1735" s="37" t="s">
        <v>83</v>
      </c>
      <c r="E1735" s="37" t="s">
        <v>1848</v>
      </c>
      <c r="F1735" s="43" t="s">
        <v>4063</v>
      </c>
      <c r="G1735" s="37"/>
      <c r="H1735" s="46">
        <v>46281.0</v>
      </c>
      <c r="I1735" s="37" t="s">
        <v>3027</v>
      </c>
      <c r="J1735" s="17"/>
      <c r="K1735" s="17"/>
      <c r="L1735" s="37" t="s">
        <v>189</v>
      </c>
      <c r="M1735" s="37"/>
      <c r="N1735" s="17"/>
      <c r="O1735" s="37" t="s">
        <v>4064</v>
      </c>
      <c r="P1735" s="15"/>
      <c r="Q1735" s="15"/>
      <c r="R1735" s="1"/>
      <c r="S1735" s="1"/>
    </row>
    <row r="1736">
      <c r="A1736" s="1"/>
      <c r="B1736" s="3">
        <f t="shared" si="5"/>
        <v>1732</v>
      </c>
      <c r="C1736" s="31" t="s">
        <v>4065</v>
      </c>
      <c r="D1736" s="37" t="s">
        <v>497</v>
      </c>
      <c r="E1736" s="37" t="s">
        <v>1285</v>
      </c>
      <c r="F1736" s="43" t="s">
        <v>4066</v>
      </c>
      <c r="G1736" s="37"/>
      <c r="H1736" s="46">
        <v>46281.0</v>
      </c>
      <c r="I1736" s="37" t="s">
        <v>3027</v>
      </c>
      <c r="J1736" s="17">
        <v>240.0</v>
      </c>
      <c r="K1736" s="17"/>
      <c r="L1736" s="37" t="s">
        <v>189</v>
      </c>
      <c r="M1736" s="37"/>
      <c r="N1736" s="17"/>
      <c r="O1736" s="1"/>
      <c r="P1736" s="15"/>
      <c r="Q1736" s="15"/>
      <c r="R1736" s="1"/>
      <c r="S1736" s="1"/>
    </row>
    <row r="1737">
      <c r="A1737" s="1"/>
      <c r="B1737" s="3">
        <f t="shared" si="5"/>
        <v>1733</v>
      </c>
      <c r="C1737" s="31" t="s">
        <v>4067</v>
      </c>
      <c r="D1737" s="37" t="s">
        <v>56</v>
      </c>
      <c r="E1737" s="37" t="s">
        <v>1285</v>
      </c>
      <c r="F1737" s="43" t="s">
        <v>4068</v>
      </c>
      <c r="G1737" s="37"/>
      <c r="H1737" s="46">
        <v>46281.0</v>
      </c>
      <c r="I1737" s="37" t="s">
        <v>413</v>
      </c>
      <c r="J1737" s="17"/>
      <c r="K1737" s="17"/>
      <c r="L1737" s="37" t="s">
        <v>58</v>
      </c>
      <c r="M1737" s="37"/>
      <c r="N1737" s="17"/>
      <c r="O1737" s="1"/>
      <c r="P1737" s="15"/>
      <c r="Q1737" s="15"/>
      <c r="R1737" s="1"/>
      <c r="S1737" s="1"/>
    </row>
    <row r="1738">
      <c r="A1738" s="1"/>
      <c r="B1738" s="3">
        <f t="shared" si="5"/>
        <v>1734</v>
      </c>
      <c r="C1738" s="31" t="s">
        <v>4069</v>
      </c>
      <c r="D1738" s="37" t="s">
        <v>497</v>
      </c>
      <c r="E1738" s="37" t="s">
        <v>3598</v>
      </c>
      <c r="F1738" s="43" t="s">
        <v>4070</v>
      </c>
      <c r="G1738" s="37"/>
      <c r="H1738" s="46">
        <v>46281.0</v>
      </c>
      <c r="I1738" s="37" t="s">
        <v>413</v>
      </c>
      <c r="J1738" s="17"/>
      <c r="K1738" s="17"/>
      <c r="L1738" s="37" t="s">
        <v>189</v>
      </c>
      <c r="M1738" s="37"/>
      <c r="N1738" s="17"/>
      <c r="O1738" s="1"/>
      <c r="P1738" s="15"/>
      <c r="Q1738" s="15"/>
      <c r="R1738" s="1"/>
      <c r="S1738" s="1"/>
    </row>
    <row r="1739">
      <c r="A1739" s="1"/>
      <c r="B1739" s="3">
        <f t="shared" si="5"/>
        <v>1735</v>
      </c>
      <c r="C1739" s="31" t="s">
        <v>4071</v>
      </c>
      <c r="D1739" s="37" t="s">
        <v>83</v>
      </c>
      <c r="E1739" s="37" t="s">
        <v>1937</v>
      </c>
      <c r="F1739" s="43" t="s">
        <v>4072</v>
      </c>
      <c r="G1739" s="37"/>
      <c r="H1739" s="46">
        <v>46281.0</v>
      </c>
      <c r="I1739" s="37" t="s">
        <v>413</v>
      </c>
      <c r="J1739" s="17"/>
      <c r="K1739" s="17">
        <v>400.0</v>
      </c>
      <c r="L1739" s="37" t="s">
        <v>58</v>
      </c>
      <c r="M1739" s="37"/>
      <c r="N1739" s="17"/>
      <c r="O1739" s="1"/>
      <c r="P1739" s="15"/>
      <c r="Q1739" s="15"/>
      <c r="R1739" s="1"/>
      <c r="S1739" s="1"/>
    </row>
    <row r="1740">
      <c r="A1740" s="1"/>
      <c r="B1740" s="3">
        <f t="shared" si="5"/>
        <v>1736</v>
      </c>
      <c r="C1740" s="31" t="s">
        <v>4073</v>
      </c>
      <c r="D1740" s="37" t="s">
        <v>83</v>
      </c>
      <c r="E1740" s="37" t="s">
        <v>4074</v>
      </c>
      <c r="F1740" s="1"/>
      <c r="G1740" s="37"/>
      <c r="H1740" s="46">
        <v>46281.0</v>
      </c>
      <c r="I1740" s="37" t="s">
        <v>413</v>
      </c>
      <c r="J1740" s="17"/>
      <c r="K1740" s="17"/>
      <c r="L1740" s="37" t="s">
        <v>189</v>
      </c>
      <c r="M1740" s="37"/>
      <c r="N1740" s="17"/>
      <c r="O1740" s="1"/>
      <c r="P1740" s="15"/>
      <c r="Q1740" s="15"/>
      <c r="R1740" s="1"/>
      <c r="S1740" s="1"/>
    </row>
    <row r="1741">
      <c r="A1741" s="1"/>
      <c r="B1741" s="3">
        <f t="shared" si="5"/>
        <v>1737</v>
      </c>
      <c r="C1741" s="31" t="s">
        <v>4075</v>
      </c>
      <c r="D1741" s="37" t="s">
        <v>497</v>
      </c>
      <c r="E1741" s="37" t="s">
        <v>1576</v>
      </c>
      <c r="F1741" s="43" t="s">
        <v>4076</v>
      </c>
      <c r="G1741" s="37"/>
      <c r="H1741" s="46">
        <v>46281.0</v>
      </c>
      <c r="I1741" s="37" t="s">
        <v>413</v>
      </c>
      <c r="J1741" s="17"/>
      <c r="K1741" s="17">
        <v>300.0</v>
      </c>
      <c r="L1741" s="37" t="s">
        <v>58</v>
      </c>
      <c r="M1741" s="37"/>
      <c r="N1741" s="17"/>
      <c r="O1741" s="1"/>
      <c r="P1741" s="15"/>
      <c r="Q1741" s="15"/>
      <c r="R1741" s="1"/>
      <c r="S1741" s="1"/>
    </row>
    <row r="1742">
      <c r="A1742" s="1"/>
      <c r="B1742" s="3">
        <f t="shared" si="5"/>
        <v>1738</v>
      </c>
      <c r="C1742" s="31" t="s">
        <v>3984</v>
      </c>
      <c r="D1742" s="37" t="s">
        <v>112</v>
      </c>
      <c r="E1742" s="37" t="s">
        <v>3985</v>
      </c>
      <c r="F1742" s="43" t="s">
        <v>4077</v>
      </c>
      <c r="G1742" s="37"/>
      <c r="H1742" s="46">
        <v>46281.0</v>
      </c>
      <c r="I1742" s="37" t="s">
        <v>413</v>
      </c>
      <c r="J1742" s="17"/>
      <c r="K1742" s="17">
        <v>400.0</v>
      </c>
      <c r="L1742" s="37" t="s">
        <v>189</v>
      </c>
      <c r="M1742" s="37"/>
      <c r="N1742" s="17"/>
      <c r="O1742" s="1"/>
      <c r="P1742" s="15"/>
      <c r="Q1742" s="15"/>
      <c r="R1742" s="1"/>
      <c r="S1742" s="1"/>
    </row>
    <row r="1743">
      <c r="A1743" s="1"/>
      <c r="B1743" s="3">
        <f t="shared" si="5"/>
        <v>1739</v>
      </c>
      <c r="C1743" s="31" t="s">
        <v>4078</v>
      </c>
      <c r="D1743" s="37" t="s">
        <v>497</v>
      </c>
      <c r="E1743" s="37" t="s">
        <v>1848</v>
      </c>
      <c r="F1743" s="1"/>
      <c r="G1743" s="37"/>
      <c r="H1743" s="46"/>
      <c r="I1743" s="37"/>
      <c r="J1743" s="17"/>
      <c r="K1743" s="17"/>
      <c r="L1743" s="37"/>
      <c r="M1743" s="37"/>
      <c r="N1743" s="17"/>
      <c r="O1743" s="1"/>
      <c r="P1743" s="15"/>
      <c r="Q1743" s="15"/>
      <c r="R1743" s="1"/>
      <c r="S1743" s="1"/>
    </row>
    <row r="1744">
      <c r="A1744" s="1"/>
      <c r="B1744" s="3" t="str">
        <f t="shared" si="5"/>
        <v/>
      </c>
      <c r="C1744" s="31"/>
      <c r="D1744" s="37"/>
      <c r="E1744" s="37"/>
      <c r="F1744" s="1"/>
      <c r="G1744" s="37"/>
      <c r="H1744" s="46"/>
      <c r="I1744" s="37"/>
      <c r="J1744" s="17"/>
      <c r="K1744" s="17"/>
      <c r="L1744" s="37"/>
      <c r="M1744" s="37"/>
      <c r="N1744" s="17"/>
      <c r="O1744" s="1"/>
      <c r="P1744" s="15"/>
      <c r="Q1744" s="15"/>
      <c r="R1744" s="1"/>
      <c r="S1744" s="1"/>
    </row>
    <row r="1745">
      <c r="A1745" s="1"/>
      <c r="B1745" s="3" t="str">
        <f t="shared" si="5"/>
        <v/>
      </c>
      <c r="C1745" s="31"/>
      <c r="D1745" s="37"/>
      <c r="E1745" s="37"/>
      <c r="F1745" s="1"/>
      <c r="G1745" s="37"/>
      <c r="H1745" s="46"/>
      <c r="I1745" s="37"/>
      <c r="J1745" s="17"/>
      <c r="K1745" s="17"/>
      <c r="L1745" s="37"/>
      <c r="M1745" s="37"/>
      <c r="N1745" s="17"/>
      <c r="O1745" s="1"/>
      <c r="P1745" s="15"/>
      <c r="Q1745" s="15"/>
      <c r="R1745" s="1"/>
      <c r="S1745" s="1"/>
    </row>
    <row r="1746">
      <c r="A1746" s="1"/>
      <c r="B1746" s="3" t="str">
        <f t="shared" si="5"/>
        <v/>
      </c>
      <c r="C1746" s="31"/>
      <c r="D1746" s="37"/>
      <c r="E1746" s="37"/>
      <c r="F1746" s="1"/>
      <c r="G1746" s="37"/>
      <c r="H1746" s="46"/>
      <c r="I1746" s="37"/>
      <c r="J1746" s="17"/>
      <c r="K1746" s="17"/>
      <c r="L1746" s="37"/>
      <c r="M1746" s="37"/>
      <c r="N1746" s="17"/>
      <c r="O1746" s="1"/>
      <c r="P1746" s="15"/>
      <c r="Q1746" s="15"/>
      <c r="R1746" s="1"/>
      <c r="S1746" s="1"/>
    </row>
    <row r="1747">
      <c r="A1747" s="1"/>
      <c r="B1747" s="3" t="str">
        <f t="shared" si="5"/>
        <v/>
      </c>
      <c r="C1747" s="31"/>
      <c r="D1747" s="37"/>
      <c r="E1747" s="37"/>
      <c r="F1747" s="1"/>
      <c r="G1747" s="37"/>
      <c r="H1747" s="46"/>
      <c r="I1747" s="37"/>
      <c r="J1747" s="17"/>
      <c r="K1747" s="17"/>
      <c r="L1747" s="37"/>
      <c r="M1747" s="37"/>
      <c r="N1747" s="17"/>
      <c r="O1747" s="1"/>
      <c r="P1747" s="15"/>
      <c r="Q1747" s="15"/>
      <c r="R1747" s="1"/>
      <c r="S1747" s="1"/>
    </row>
    <row r="1748">
      <c r="A1748" s="1"/>
      <c r="B1748" s="3" t="str">
        <f t="shared" si="5"/>
        <v/>
      </c>
      <c r="C1748" s="31"/>
      <c r="D1748" s="37"/>
      <c r="E1748" s="37"/>
      <c r="F1748" s="1"/>
      <c r="G1748" s="37"/>
      <c r="H1748" s="46"/>
      <c r="I1748" s="37"/>
      <c r="J1748" s="17"/>
      <c r="K1748" s="17"/>
      <c r="L1748" s="37"/>
      <c r="M1748" s="37"/>
      <c r="N1748" s="17"/>
      <c r="O1748" s="1"/>
      <c r="P1748" s="15"/>
      <c r="Q1748" s="15"/>
      <c r="R1748" s="1"/>
      <c r="S1748" s="1"/>
    </row>
    <row r="1749">
      <c r="A1749" s="1"/>
      <c r="B1749" s="3" t="str">
        <f t="shared" si="5"/>
        <v/>
      </c>
      <c r="C1749" s="31"/>
      <c r="D1749" s="37"/>
      <c r="E1749" s="37"/>
      <c r="F1749" s="1"/>
      <c r="G1749" s="37"/>
      <c r="H1749" s="46"/>
      <c r="I1749" s="37"/>
      <c r="J1749" s="17"/>
      <c r="K1749" s="17"/>
      <c r="L1749" s="37"/>
      <c r="M1749" s="37"/>
      <c r="N1749" s="17"/>
      <c r="O1749" s="1"/>
      <c r="P1749" s="15"/>
      <c r="Q1749" s="15"/>
      <c r="R1749" s="1"/>
      <c r="S1749" s="1"/>
    </row>
    <row r="1750">
      <c r="A1750" s="1"/>
      <c r="B1750" s="3" t="str">
        <f t="shared" si="5"/>
        <v/>
      </c>
      <c r="C1750" s="31"/>
      <c r="D1750" s="37"/>
      <c r="E1750" s="37"/>
      <c r="F1750" s="1"/>
      <c r="G1750" s="37"/>
      <c r="H1750" s="46"/>
      <c r="I1750" s="37"/>
      <c r="J1750" s="17"/>
      <c r="K1750" s="17"/>
      <c r="L1750" s="37"/>
      <c r="M1750" s="37"/>
      <c r="N1750" s="17"/>
      <c r="O1750" s="1"/>
      <c r="P1750" s="15"/>
      <c r="Q1750" s="15"/>
      <c r="R1750" s="1"/>
      <c r="S1750" s="1"/>
    </row>
    <row r="1751">
      <c r="A1751" s="1"/>
      <c r="B1751" s="3" t="str">
        <f t="shared" si="5"/>
        <v/>
      </c>
      <c r="C1751" s="31"/>
      <c r="D1751" s="37"/>
      <c r="E1751" s="37"/>
      <c r="F1751" s="1"/>
      <c r="G1751" s="37"/>
      <c r="H1751" s="46"/>
      <c r="I1751" s="37"/>
      <c r="J1751" s="17"/>
      <c r="K1751" s="17"/>
      <c r="L1751" s="37"/>
      <c r="M1751" s="37"/>
      <c r="N1751" s="17"/>
      <c r="O1751" s="1"/>
      <c r="P1751" s="15"/>
      <c r="Q1751" s="15"/>
      <c r="R1751" s="1"/>
      <c r="S1751" s="1"/>
    </row>
    <row r="1752">
      <c r="A1752" s="1"/>
      <c r="B1752" s="3" t="str">
        <f t="shared" si="5"/>
        <v/>
      </c>
      <c r="C1752" s="31"/>
      <c r="D1752" s="37"/>
      <c r="E1752" s="37"/>
      <c r="F1752" s="1"/>
      <c r="G1752" s="37"/>
      <c r="H1752" s="46"/>
      <c r="I1752" s="37"/>
      <c r="J1752" s="17"/>
      <c r="K1752" s="17"/>
      <c r="L1752" s="37"/>
      <c r="M1752" s="37"/>
      <c r="N1752" s="17"/>
      <c r="O1752" s="1"/>
      <c r="P1752" s="15"/>
      <c r="Q1752" s="15"/>
      <c r="R1752" s="1"/>
      <c r="S1752" s="1"/>
    </row>
    <row r="1753">
      <c r="A1753" s="1"/>
      <c r="B1753" s="3" t="str">
        <f t="shared" si="5"/>
        <v/>
      </c>
      <c r="C1753" s="31"/>
      <c r="D1753" s="37"/>
      <c r="E1753" s="37"/>
      <c r="F1753" s="1"/>
      <c r="G1753" s="37"/>
      <c r="H1753" s="46"/>
      <c r="I1753" s="37"/>
      <c r="J1753" s="17"/>
      <c r="K1753" s="17"/>
      <c r="L1753" s="37"/>
      <c r="M1753" s="37"/>
      <c r="N1753" s="17"/>
      <c r="O1753" s="1"/>
      <c r="P1753" s="15"/>
      <c r="Q1753" s="15"/>
      <c r="R1753" s="1"/>
      <c r="S1753" s="1"/>
    </row>
    <row r="1754">
      <c r="A1754" s="1"/>
      <c r="B1754" s="3" t="str">
        <f t="shared" si="5"/>
        <v/>
      </c>
      <c r="C1754" s="31"/>
      <c r="D1754" s="37"/>
      <c r="E1754" s="37"/>
      <c r="F1754" s="1"/>
      <c r="G1754" s="37"/>
      <c r="H1754" s="46"/>
      <c r="I1754" s="37"/>
      <c r="J1754" s="17"/>
      <c r="K1754" s="17"/>
      <c r="L1754" s="37"/>
      <c r="M1754" s="37"/>
      <c r="N1754" s="17"/>
      <c r="O1754" s="1"/>
      <c r="P1754" s="15"/>
      <c r="Q1754" s="15"/>
      <c r="R1754" s="1"/>
      <c r="S1754" s="1"/>
    </row>
    <row r="1755">
      <c r="A1755" s="1"/>
      <c r="B1755" s="3" t="str">
        <f t="shared" si="5"/>
        <v/>
      </c>
      <c r="C1755" s="31"/>
      <c r="D1755" s="37"/>
      <c r="E1755" s="37"/>
      <c r="F1755" s="1"/>
      <c r="G1755" s="37"/>
      <c r="H1755" s="46"/>
      <c r="I1755" s="37"/>
      <c r="J1755" s="17"/>
      <c r="K1755" s="17"/>
      <c r="L1755" s="37"/>
      <c r="M1755" s="37"/>
      <c r="N1755" s="17"/>
      <c r="O1755" s="1"/>
      <c r="P1755" s="15"/>
      <c r="Q1755" s="15"/>
      <c r="R1755" s="1"/>
      <c r="S1755" s="1"/>
    </row>
    <row r="1756">
      <c r="A1756" s="1"/>
      <c r="B1756" s="3" t="str">
        <f t="shared" si="5"/>
        <v/>
      </c>
      <c r="C1756" s="31"/>
      <c r="D1756" s="37"/>
      <c r="E1756" s="37"/>
      <c r="F1756" s="1"/>
      <c r="G1756" s="37"/>
      <c r="H1756" s="46"/>
      <c r="I1756" s="37"/>
      <c r="J1756" s="17"/>
      <c r="K1756" s="17"/>
      <c r="L1756" s="37"/>
      <c r="M1756" s="37"/>
      <c r="N1756" s="17"/>
      <c r="O1756" s="1"/>
      <c r="P1756" s="15"/>
      <c r="Q1756" s="15"/>
      <c r="R1756" s="1"/>
      <c r="S1756" s="1"/>
    </row>
    <row r="1757">
      <c r="A1757" s="1"/>
      <c r="B1757" s="3" t="str">
        <f t="shared" si="5"/>
        <v/>
      </c>
      <c r="C1757" s="31"/>
      <c r="D1757" s="37"/>
      <c r="E1757" s="37"/>
      <c r="F1757" s="1"/>
      <c r="G1757" s="37"/>
      <c r="H1757" s="46"/>
      <c r="I1757" s="37"/>
      <c r="J1757" s="17"/>
      <c r="K1757" s="17"/>
      <c r="L1757" s="37"/>
      <c r="M1757" s="37"/>
      <c r="N1757" s="17"/>
      <c r="O1757" s="1"/>
      <c r="P1757" s="15"/>
      <c r="Q1757" s="15"/>
      <c r="R1757" s="1"/>
      <c r="S1757" s="1"/>
    </row>
    <row r="1758">
      <c r="A1758" s="1"/>
      <c r="B1758" s="3" t="str">
        <f t="shared" si="5"/>
        <v/>
      </c>
      <c r="C1758" s="31"/>
      <c r="D1758" s="37"/>
      <c r="E1758" s="37"/>
      <c r="F1758" s="1"/>
      <c r="G1758" s="37"/>
      <c r="H1758" s="46"/>
      <c r="I1758" s="37"/>
      <c r="J1758" s="17"/>
      <c r="K1758" s="17"/>
      <c r="L1758" s="37"/>
      <c r="M1758" s="37"/>
      <c r="N1758" s="17"/>
      <c r="O1758" s="1"/>
      <c r="P1758" s="15"/>
      <c r="Q1758" s="15"/>
      <c r="R1758" s="1"/>
      <c r="S1758" s="1"/>
    </row>
    <row r="1759">
      <c r="A1759" s="1"/>
      <c r="B1759" s="3" t="str">
        <f t="shared" si="5"/>
        <v/>
      </c>
      <c r="C1759" s="31"/>
      <c r="D1759" s="37"/>
      <c r="E1759" s="37"/>
      <c r="F1759" s="1"/>
      <c r="G1759" s="37"/>
      <c r="H1759" s="46"/>
      <c r="I1759" s="37"/>
      <c r="J1759" s="17"/>
      <c r="K1759" s="17"/>
      <c r="L1759" s="37"/>
      <c r="M1759" s="37"/>
      <c r="N1759" s="17"/>
      <c r="O1759" s="1"/>
      <c r="P1759" s="15"/>
      <c r="Q1759" s="15"/>
      <c r="R1759" s="1"/>
      <c r="S1759" s="1"/>
    </row>
    <row r="1760">
      <c r="A1760" s="1"/>
      <c r="B1760" s="3" t="str">
        <f t="shared" si="5"/>
        <v/>
      </c>
      <c r="C1760" s="31"/>
      <c r="D1760" s="37"/>
      <c r="E1760" s="37"/>
      <c r="F1760" s="1"/>
      <c r="G1760" s="37"/>
      <c r="H1760" s="46"/>
      <c r="I1760" s="37"/>
      <c r="J1760" s="17"/>
      <c r="K1760" s="17"/>
      <c r="L1760" s="37"/>
      <c r="M1760" s="37"/>
      <c r="N1760" s="17"/>
      <c r="O1760" s="1"/>
      <c r="P1760" s="15"/>
      <c r="Q1760" s="15"/>
      <c r="R1760" s="1"/>
      <c r="S1760" s="1"/>
    </row>
    <row r="1761">
      <c r="A1761" s="1"/>
      <c r="B1761" s="3" t="str">
        <f t="shared" si="5"/>
        <v/>
      </c>
      <c r="C1761" s="31"/>
      <c r="D1761" s="37"/>
      <c r="E1761" s="37"/>
      <c r="F1761" s="1"/>
      <c r="G1761" s="37"/>
      <c r="H1761" s="46"/>
      <c r="I1761" s="37"/>
      <c r="J1761" s="17"/>
      <c r="K1761" s="17"/>
      <c r="L1761" s="37"/>
      <c r="M1761" s="37"/>
      <c r="N1761" s="17"/>
      <c r="O1761" s="1"/>
      <c r="P1761" s="15"/>
      <c r="Q1761" s="15"/>
      <c r="R1761" s="1"/>
      <c r="S1761" s="1"/>
    </row>
    <row r="1762">
      <c r="A1762" s="1"/>
      <c r="B1762" s="3" t="str">
        <f t="shared" si="5"/>
        <v/>
      </c>
      <c r="C1762" s="31"/>
      <c r="D1762" s="37"/>
      <c r="E1762" s="37"/>
      <c r="F1762" s="1"/>
      <c r="G1762" s="37"/>
      <c r="H1762" s="46"/>
      <c r="I1762" s="37"/>
      <c r="J1762" s="17"/>
      <c r="K1762" s="17"/>
      <c r="L1762" s="37"/>
      <c r="M1762" s="37"/>
      <c r="N1762" s="17"/>
      <c r="O1762" s="1"/>
      <c r="P1762" s="15"/>
      <c r="Q1762" s="15"/>
      <c r="R1762" s="1"/>
      <c r="S1762" s="1"/>
    </row>
    <row r="1763">
      <c r="A1763" s="1"/>
      <c r="B1763" s="3" t="str">
        <f t="shared" si="5"/>
        <v/>
      </c>
      <c r="C1763" s="31"/>
      <c r="D1763" s="37"/>
      <c r="E1763" s="37"/>
      <c r="F1763" s="1"/>
      <c r="G1763" s="37"/>
      <c r="H1763" s="46"/>
      <c r="I1763" s="37"/>
      <c r="J1763" s="17"/>
      <c r="K1763" s="17"/>
      <c r="L1763" s="37"/>
      <c r="M1763" s="37"/>
      <c r="N1763" s="17"/>
      <c r="O1763" s="1"/>
      <c r="P1763" s="15"/>
      <c r="Q1763" s="15"/>
      <c r="R1763" s="1"/>
      <c r="S1763" s="1"/>
    </row>
    <row r="1764">
      <c r="A1764" s="1"/>
      <c r="B1764" s="3" t="str">
        <f t="shared" si="5"/>
        <v/>
      </c>
      <c r="C1764" s="31"/>
      <c r="D1764" s="37"/>
      <c r="E1764" s="37"/>
      <c r="F1764" s="1"/>
      <c r="G1764" s="37"/>
      <c r="H1764" s="46"/>
      <c r="I1764" s="37"/>
      <c r="J1764" s="17"/>
      <c r="K1764" s="17"/>
      <c r="L1764" s="37"/>
      <c r="M1764" s="37"/>
      <c r="N1764" s="17"/>
      <c r="O1764" s="1"/>
      <c r="P1764" s="15"/>
      <c r="Q1764" s="15"/>
      <c r="R1764" s="1"/>
      <c r="S1764" s="1"/>
    </row>
    <row r="1765">
      <c r="A1765" s="1"/>
      <c r="B1765" s="3" t="str">
        <f t="shared" si="5"/>
        <v/>
      </c>
      <c r="C1765" s="31"/>
      <c r="D1765" s="37"/>
      <c r="E1765" s="37"/>
      <c r="F1765" s="1"/>
      <c r="G1765" s="37"/>
      <c r="H1765" s="46"/>
      <c r="I1765" s="37"/>
      <c r="J1765" s="17"/>
      <c r="K1765" s="17"/>
      <c r="L1765" s="37"/>
      <c r="M1765" s="37"/>
      <c r="N1765" s="17"/>
      <c r="O1765" s="1"/>
      <c r="P1765" s="15"/>
      <c r="Q1765" s="15"/>
      <c r="R1765" s="1"/>
      <c r="S1765" s="1"/>
    </row>
    <row r="1766">
      <c r="A1766" s="1"/>
      <c r="B1766" s="3" t="str">
        <f t="shared" si="5"/>
        <v/>
      </c>
      <c r="C1766" s="31"/>
      <c r="D1766" s="37"/>
      <c r="E1766" s="37"/>
      <c r="F1766" s="1"/>
      <c r="G1766" s="37"/>
      <c r="H1766" s="46"/>
      <c r="I1766" s="37"/>
      <c r="J1766" s="17"/>
      <c r="K1766" s="17"/>
      <c r="L1766" s="37"/>
      <c r="M1766" s="37"/>
      <c r="N1766" s="17"/>
      <c r="O1766" s="1"/>
      <c r="P1766" s="15"/>
      <c r="Q1766" s="15"/>
      <c r="R1766" s="1"/>
      <c r="S1766" s="1"/>
    </row>
    <row r="1767">
      <c r="A1767" s="1"/>
      <c r="B1767" s="3" t="str">
        <f t="shared" si="5"/>
        <v/>
      </c>
      <c r="C1767" s="31"/>
      <c r="D1767" s="37"/>
      <c r="E1767" s="37"/>
      <c r="F1767" s="1"/>
      <c r="G1767" s="37"/>
      <c r="H1767" s="46"/>
      <c r="I1767" s="37"/>
      <c r="J1767" s="17"/>
      <c r="K1767" s="17"/>
      <c r="L1767" s="37"/>
      <c r="M1767" s="37"/>
      <c r="N1767" s="17"/>
      <c r="O1767" s="1"/>
      <c r="P1767" s="15"/>
      <c r="Q1767" s="15"/>
      <c r="R1767" s="1"/>
      <c r="S1767" s="1"/>
    </row>
    <row r="1768">
      <c r="A1768" s="1"/>
      <c r="B1768" s="3" t="str">
        <f t="shared" si="5"/>
        <v/>
      </c>
      <c r="C1768" s="31"/>
      <c r="D1768" s="37"/>
      <c r="E1768" s="37"/>
      <c r="F1768" s="1"/>
      <c r="G1768" s="37"/>
      <c r="H1768" s="46"/>
      <c r="I1768" s="37"/>
      <c r="J1768" s="17"/>
      <c r="K1768" s="17"/>
      <c r="L1768" s="37"/>
      <c r="M1768" s="37"/>
      <c r="N1768" s="17"/>
      <c r="O1768" s="1"/>
      <c r="P1768" s="15"/>
      <c r="Q1768" s="15"/>
      <c r="R1768" s="1"/>
      <c r="S1768" s="1"/>
    </row>
    <row r="1769">
      <c r="A1769" s="1"/>
      <c r="B1769" s="3" t="str">
        <f t="shared" si="5"/>
        <v/>
      </c>
      <c r="C1769" s="31"/>
      <c r="D1769" s="37"/>
      <c r="E1769" s="37"/>
      <c r="F1769" s="1"/>
      <c r="G1769" s="37"/>
      <c r="H1769" s="46"/>
      <c r="I1769" s="37"/>
      <c r="J1769" s="17"/>
      <c r="K1769" s="17"/>
      <c r="L1769" s="37"/>
      <c r="M1769" s="37"/>
      <c r="N1769" s="17"/>
      <c r="O1769" s="1"/>
      <c r="P1769" s="15"/>
      <c r="Q1769" s="15"/>
      <c r="R1769" s="1"/>
      <c r="S1769" s="1"/>
    </row>
    <row r="1770">
      <c r="A1770" s="1"/>
      <c r="B1770" s="3" t="str">
        <f t="shared" si="5"/>
        <v/>
      </c>
      <c r="C1770" s="31"/>
      <c r="D1770" s="37"/>
      <c r="E1770" s="37"/>
      <c r="F1770" s="1"/>
      <c r="G1770" s="37"/>
      <c r="H1770" s="46"/>
      <c r="I1770" s="37"/>
      <c r="J1770" s="17"/>
      <c r="K1770" s="17"/>
      <c r="L1770" s="37"/>
      <c r="M1770" s="37"/>
      <c r="N1770" s="17"/>
      <c r="O1770" s="1"/>
      <c r="P1770" s="15"/>
      <c r="Q1770" s="15"/>
      <c r="R1770" s="1"/>
      <c r="S1770" s="1"/>
    </row>
    <row r="1771">
      <c r="A1771" s="1"/>
      <c r="B1771" s="3" t="str">
        <f t="shared" si="5"/>
        <v/>
      </c>
      <c r="C1771" s="31"/>
      <c r="D1771" s="37"/>
      <c r="E1771" s="37"/>
      <c r="F1771" s="1"/>
      <c r="G1771" s="37"/>
      <c r="H1771" s="46"/>
      <c r="I1771" s="37"/>
      <c r="J1771" s="17"/>
      <c r="K1771" s="17"/>
      <c r="L1771" s="37"/>
      <c r="M1771" s="37"/>
      <c r="N1771" s="17"/>
      <c r="O1771" s="1"/>
      <c r="P1771" s="15"/>
      <c r="Q1771" s="15"/>
      <c r="R1771" s="1"/>
      <c r="S1771" s="1"/>
    </row>
    <row r="1772">
      <c r="A1772" s="1"/>
      <c r="B1772" s="3" t="str">
        <f t="shared" si="5"/>
        <v/>
      </c>
      <c r="C1772" s="31"/>
      <c r="D1772" s="37"/>
      <c r="E1772" s="37"/>
      <c r="F1772" s="1"/>
      <c r="G1772" s="37"/>
      <c r="H1772" s="46"/>
      <c r="I1772" s="37"/>
      <c r="J1772" s="17"/>
      <c r="K1772" s="17"/>
      <c r="L1772" s="37"/>
      <c r="M1772" s="37"/>
      <c r="N1772" s="17"/>
      <c r="O1772" s="1"/>
      <c r="P1772" s="15"/>
      <c r="Q1772" s="15"/>
      <c r="R1772" s="1"/>
      <c r="S1772" s="1"/>
    </row>
    <row r="1773">
      <c r="A1773" s="1"/>
      <c r="B1773" s="3" t="str">
        <f t="shared" si="5"/>
        <v/>
      </c>
      <c r="C1773" s="31"/>
      <c r="D1773" s="37"/>
      <c r="E1773" s="37"/>
      <c r="F1773" s="1"/>
      <c r="G1773" s="37"/>
      <c r="H1773" s="46"/>
      <c r="I1773" s="37"/>
      <c r="J1773" s="17"/>
      <c r="K1773" s="17"/>
      <c r="L1773" s="37"/>
      <c r="M1773" s="37"/>
      <c r="N1773" s="17"/>
      <c r="O1773" s="1"/>
      <c r="P1773" s="15"/>
      <c r="Q1773" s="15"/>
      <c r="R1773" s="1"/>
      <c r="S1773" s="1"/>
    </row>
    <row r="1774">
      <c r="A1774" s="1"/>
      <c r="B1774" s="3" t="str">
        <f t="shared" si="5"/>
        <v/>
      </c>
      <c r="C1774" s="31"/>
      <c r="D1774" s="37"/>
      <c r="E1774" s="37"/>
      <c r="F1774" s="1"/>
      <c r="G1774" s="37"/>
      <c r="H1774" s="46"/>
      <c r="I1774" s="37"/>
      <c r="J1774" s="17"/>
      <c r="K1774" s="17"/>
      <c r="L1774" s="37"/>
      <c r="M1774" s="37"/>
      <c r="N1774" s="17"/>
      <c r="O1774" s="1"/>
      <c r="P1774" s="15"/>
      <c r="Q1774" s="15"/>
      <c r="R1774" s="1"/>
      <c r="S1774" s="1"/>
    </row>
    <row r="1775">
      <c r="A1775" s="1"/>
      <c r="B1775" s="3" t="str">
        <f t="shared" si="5"/>
        <v/>
      </c>
      <c r="C1775" s="31"/>
      <c r="D1775" s="37"/>
      <c r="E1775" s="37"/>
      <c r="F1775" s="1"/>
      <c r="G1775" s="37"/>
      <c r="H1775" s="46"/>
      <c r="I1775" s="37"/>
      <c r="J1775" s="17"/>
      <c r="K1775" s="17"/>
      <c r="L1775" s="37"/>
      <c r="M1775" s="37"/>
      <c r="N1775" s="17"/>
      <c r="O1775" s="1"/>
      <c r="P1775" s="15"/>
      <c r="Q1775" s="15"/>
      <c r="R1775" s="1"/>
      <c r="S1775" s="1"/>
    </row>
    <row r="1776">
      <c r="A1776" s="1"/>
      <c r="B1776" s="3" t="str">
        <f t="shared" si="5"/>
        <v/>
      </c>
      <c r="C1776" s="31"/>
      <c r="D1776" s="37"/>
      <c r="E1776" s="37"/>
      <c r="F1776" s="1"/>
      <c r="G1776" s="37"/>
      <c r="H1776" s="46"/>
      <c r="I1776" s="37"/>
      <c r="J1776" s="17"/>
      <c r="K1776" s="17"/>
      <c r="L1776" s="37"/>
      <c r="M1776" s="37"/>
      <c r="N1776" s="17"/>
      <c r="O1776" s="1"/>
      <c r="P1776" s="15"/>
      <c r="Q1776" s="15"/>
      <c r="R1776" s="1"/>
      <c r="S1776" s="1"/>
    </row>
    <row r="1777">
      <c r="A1777" s="1"/>
      <c r="B1777" s="3" t="str">
        <f t="shared" si="5"/>
        <v/>
      </c>
      <c r="C1777" s="31"/>
      <c r="D1777" s="37"/>
      <c r="E1777" s="37"/>
      <c r="F1777" s="1"/>
      <c r="G1777" s="37"/>
      <c r="H1777" s="46"/>
      <c r="I1777" s="37"/>
      <c r="J1777" s="17"/>
      <c r="K1777" s="17"/>
      <c r="L1777" s="37"/>
      <c r="M1777" s="37"/>
      <c r="N1777" s="17"/>
      <c r="O1777" s="1"/>
      <c r="P1777" s="15"/>
      <c r="Q1777" s="15"/>
      <c r="R1777" s="1"/>
      <c r="S1777" s="1"/>
    </row>
    <row r="1778">
      <c r="A1778" s="1"/>
      <c r="B1778" s="3" t="str">
        <f t="shared" si="5"/>
        <v/>
      </c>
      <c r="C1778" s="31"/>
      <c r="D1778" s="37"/>
      <c r="E1778" s="37"/>
      <c r="F1778" s="1"/>
      <c r="G1778" s="37"/>
      <c r="H1778" s="46"/>
      <c r="I1778" s="37"/>
      <c r="J1778" s="17"/>
      <c r="K1778" s="17"/>
      <c r="L1778" s="37"/>
      <c r="M1778" s="37"/>
      <c r="N1778" s="17"/>
      <c r="O1778" s="1"/>
      <c r="P1778" s="15"/>
      <c r="Q1778" s="15"/>
      <c r="R1778" s="1"/>
      <c r="S1778" s="1"/>
    </row>
    <row r="1779">
      <c r="A1779" s="1"/>
      <c r="B1779" s="3" t="str">
        <f t="shared" si="5"/>
        <v/>
      </c>
      <c r="C1779" s="31"/>
      <c r="D1779" s="37"/>
      <c r="E1779" s="37"/>
      <c r="F1779" s="1"/>
      <c r="G1779" s="37"/>
      <c r="H1779" s="46"/>
      <c r="I1779" s="37"/>
      <c r="J1779" s="17"/>
      <c r="K1779" s="17"/>
      <c r="L1779" s="37"/>
      <c r="M1779" s="37"/>
      <c r="N1779" s="17"/>
      <c r="O1779" s="1"/>
      <c r="P1779" s="15"/>
      <c r="Q1779" s="15"/>
      <c r="R1779" s="1"/>
      <c r="S1779" s="1"/>
    </row>
    <row r="1780">
      <c r="A1780" s="1"/>
      <c r="B1780" s="3" t="str">
        <f t="shared" si="5"/>
        <v/>
      </c>
      <c r="C1780" s="31"/>
      <c r="D1780" s="37"/>
      <c r="E1780" s="37"/>
      <c r="F1780" s="1"/>
      <c r="G1780" s="37"/>
      <c r="H1780" s="46"/>
      <c r="I1780" s="37"/>
      <c r="J1780" s="17"/>
      <c r="K1780" s="17"/>
      <c r="L1780" s="37"/>
      <c r="M1780" s="37"/>
      <c r="N1780" s="17"/>
      <c r="O1780" s="1"/>
      <c r="P1780" s="15"/>
      <c r="Q1780" s="15"/>
      <c r="R1780" s="1"/>
      <c r="S1780" s="1"/>
    </row>
    <row r="1781">
      <c r="A1781" s="1"/>
      <c r="B1781" s="3" t="str">
        <f t="shared" si="5"/>
        <v/>
      </c>
      <c r="C1781" s="31"/>
      <c r="D1781" s="37"/>
      <c r="E1781" s="37"/>
      <c r="F1781" s="1"/>
      <c r="G1781" s="37"/>
      <c r="H1781" s="46"/>
      <c r="I1781" s="37"/>
      <c r="J1781" s="17"/>
      <c r="K1781" s="17"/>
      <c r="L1781" s="37"/>
      <c r="M1781" s="37"/>
      <c r="N1781" s="17"/>
      <c r="O1781" s="1"/>
      <c r="P1781" s="15"/>
      <c r="Q1781" s="15"/>
      <c r="R1781" s="1"/>
      <c r="S1781" s="1"/>
    </row>
    <row r="1782">
      <c r="A1782" s="1"/>
      <c r="B1782" s="3" t="str">
        <f t="shared" si="5"/>
        <v/>
      </c>
      <c r="C1782" s="31"/>
      <c r="D1782" s="37"/>
      <c r="E1782" s="37"/>
      <c r="F1782" s="1"/>
      <c r="G1782" s="37"/>
      <c r="H1782" s="46"/>
      <c r="I1782" s="37"/>
      <c r="J1782" s="17"/>
      <c r="K1782" s="17"/>
      <c r="L1782" s="37"/>
      <c r="M1782" s="37"/>
      <c r="N1782" s="17"/>
      <c r="O1782" s="1"/>
      <c r="P1782" s="15"/>
      <c r="Q1782" s="15"/>
      <c r="R1782" s="1"/>
      <c r="S1782" s="1"/>
    </row>
    <row r="1783">
      <c r="A1783" s="1"/>
      <c r="B1783" s="3" t="str">
        <f t="shared" si="5"/>
        <v/>
      </c>
      <c r="C1783" s="31"/>
      <c r="D1783" s="37"/>
      <c r="E1783" s="37"/>
      <c r="F1783" s="1"/>
      <c r="G1783" s="37"/>
      <c r="H1783" s="46"/>
      <c r="I1783" s="37"/>
      <c r="J1783" s="17"/>
      <c r="K1783" s="17"/>
      <c r="L1783" s="37"/>
      <c r="M1783" s="37"/>
      <c r="N1783" s="17"/>
      <c r="O1783" s="1"/>
      <c r="P1783" s="15"/>
      <c r="Q1783" s="15"/>
      <c r="R1783" s="1"/>
      <c r="S1783" s="1"/>
    </row>
    <row r="1784">
      <c r="A1784" s="1"/>
      <c r="B1784" s="3" t="str">
        <f t="shared" si="5"/>
        <v/>
      </c>
      <c r="C1784" s="31"/>
      <c r="D1784" s="37"/>
      <c r="E1784" s="37"/>
      <c r="F1784" s="1"/>
      <c r="G1784" s="37"/>
      <c r="H1784" s="46"/>
      <c r="I1784" s="37"/>
      <c r="J1784" s="17"/>
      <c r="K1784" s="17"/>
      <c r="L1784" s="37"/>
      <c r="M1784" s="37"/>
      <c r="N1784" s="17"/>
      <c r="O1784" s="1"/>
      <c r="P1784" s="15"/>
      <c r="Q1784" s="15"/>
      <c r="R1784" s="1"/>
      <c r="S1784" s="1"/>
    </row>
    <row r="1785">
      <c r="A1785" s="1"/>
      <c r="B1785" s="3" t="str">
        <f t="shared" si="5"/>
        <v/>
      </c>
      <c r="C1785" s="31"/>
      <c r="D1785" s="37"/>
      <c r="E1785" s="37"/>
      <c r="F1785" s="1"/>
      <c r="G1785" s="37"/>
      <c r="H1785" s="46"/>
      <c r="I1785" s="37"/>
      <c r="J1785" s="17"/>
      <c r="K1785" s="17"/>
      <c r="L1785" s="37"/>
      <c r="M1785" s="37"/>
      <c r="N1785" s="17"/>
      <c r="O1785" s="1"/>
      <c r="P1785" s="15"/>
      <c r="Q1785" s="15"/>
      <c r="R1785" s="1"/>
      <c r="S1785" s="1"/>
    </row>
    <row r="1786">
      <c r="A1786" s="1"/>
      <c r="B1786" s="3" t="str">
        <f t="shared" si="5"/>
        <v/>
      </c>
      <c r="C1786" s="31"/>
      <c r="D1786" s="37"/>
      <c r="E1786" s="37"/>
      <c r="F1786" s="1"/>
      <c r="G1786" s="37"/>
      <c r="H1786" s="46"/>
      <c r="I1786" s="37"/>
      <c r="J1786" s="17"/>
      <c r="K1786" s="17"/>
      <c r="L1786" s="37"/>
      <c r="M1786" s="37"/>
      <c r="N1786" s="17"/>
      <c r="O1786" s="1"/>
      <c r="P1786" s="15"/>
      <c r="Q1786" s="15"/>
      <c r="R1786" s="1"/>
      <c r="S1786" s="1"/>
    </row>
    <row r="1787">
      <c r="A1787" s="1"/>
      <c r="B1787" s="3" t="str">
        <f t="shared" si="5"/>
        <v/>
      </c>
      <c r="C1787" s="31"/>
      <c r="D1787" s="37"/>
      <c r="E1787" s="37"/>
      <c r="F1787" s="1"/>
      <c r="G1787" s="37"/>
      <c r="H1787" s="46"/>
      <c r="I1787" s="37"/>
      <c r="J1787" s="17"/>
      <c r="K1787" s="17"/>
      <c r="L1787" s="37"/>
      <c r="M1787" s="37"/>
      <c r="N1787" s="17"/>
      <c r="O1787" s="1"/>
      <c r="P1787" s="15"/>
      <c r="Q1787" s="15"/>
      <c r="R1787" s="1"/>
      <c r="S1787" s="1"/>
    </row>
    <row r="1788">
      <c r="A1788" s="1"/>
      <c r="B1788" s="3" t="str">
        <f t="shared" si="5"/>
        <v/>
      </c>
      <c r="C1788" s="31"/>
      <c r="D1788" s="37"/>
      <c r="E1788" s="37"/>
      <c r="F1788" s="1"/>
      <c r="G1788" s="37"/>
      <c r="H1788" s="46"/>
      <c r="I1788" s="37"/>
      <c r="J1788" s="17"/>
      <c r="K1788" s="17"/>
      <c r="L1788" s="37"/>
      <c r="M1788" s="37"/>
      <c r="N1788" s="17"/>
      <c r="O1788" s="1"/>
      <c r="P1788" s="15"/>
      <c r="Q1788" s="15"/>
      <c r="R1788" s="1"/>
      <c r="S1788" s="1"/>
    </row>
    <row r="1789">
      <c r="A1789" s="1"/>
      <c r="B1789" s="3" t="str">
        <f t="shared" si="5"/>
        <v/>
      </c>
      <c r="C1789" s="31"/>
      <c r="D1789" s="37"/>
      <c r="E1789" s="37"/>
      <c r="F1789" s="1"/>
      <c r="G1789" s="37"/>
      <c r="H1789" s="46"/>
      <c r="I1789" s="37"/>
      <c r="J1789" s="17"/>
      <c r="K1789" s="17"/>
      <c r="L1789" s="37"/>
      <c r="M1789" s="37"/>
      <c r="N1789" s="17"/>
      <c r="O1789" s="1"/>
      <c r="P1789" s="15"/>
      <c r="Q1789" s="15"/>
      <c r="R1789" s="1"/>
      <c r="S1789" s="1"/>
    </row>
    <row r="1790">
      <c r="A1790" s="1"/>
      <c r="B1790" s="3" t="str">
        <f t="shared" si="5"/>
        <v/>
      </c>
      <c r="C1790" s="31"/>
      <c r="D1790" s="37"/>
      <c r="E1790" s="37"/>
      <c r="F1790" s="1"/>
      <c r="G1790" s="37"/>
      <c r="H1790" s="46"/>
      <c r="I1790" s="37"/>
      <c r="J1790" s="17"/>
      <c r="K1790" s="17"/>
      <c r="L1790" s="37"/>
      <c r="M1790" s="37"/>
      <c r="N1790" s="17"/>
      <c r="O1790" s="1"/>
      <c r="P1790" s="15"/>
      <c r="Q1790" s="15"/>
      <c r="R1790" s="1"/>
      <c r="S1790" s="1"/>
    </row>
    <row r="1791">
      <c r="A1791" s="1"/>
      <c r="B1791" s="3" t="str">
        <f t="shared" si="5"/>
        <v/>
      </c>
      <c r="C1791" s="31"/>
      <c r="D1791" s="37"/>
      <c r="E1791" s="37"/>
      <c r="F1791" s="1"/>
      <c r="G1791" s="37"/>
      <c r="H1791" s="46"/>
      <c r="I1791" s="37"/>
      <c r="J1791" s="17"/>
      <c r="K1791" s="17"/>
      <c r="L1791" s="37"/>
      <c r="M1791" s="37"/>
      <c r="N1791" s="17"/>
      <c r="O1791" s="1"/>
      <c r="P1791" s="15"/>
      <c r="Q1791" s="15"/>
      <c r="R1791" s="1"/>
      <c r="S1791" s="1"/>
    </row>
    <row r="1792">
      <c r="A1792" s="1"/>
      <c r="B1792" s="3" t="str">
        <f t="shared" si="5"/>
        <v/>
      </c>
      <c r="C1792" s="31"/>
      <c r="D1792" s="37"/>
      <c r="E1792" s="37"/>
      <c r="F1792" s="1"/>
      <c r="G1792" s="37"/>
      <c r="H1792" s="46"/>
      <c r="I1792" s="37"/>
      <c r="J1792" s="17"/>
      <c r="K1792" s="17"/>
      <c r="L1792" s="37"/>
      <c r="M1792" s="37"/>
      <c r="N1792" s="17"/>
      <c r="O1792" s="1"/>
      <c r="P1792" s="15"/>
      <c r="Q1792" s="15"/>
      <c r="R1792" s="1"/>
      <c r="S1792" s="1"/>
    </row>
    <row r="1793">
      <c r="A1793" s="1"/>
      <c r="B1793" s="3" t="str">
        <f t="shared" si="5"/>
        <v/>
      </c>
      <c r="C1793" s="31"/>
      <c r="D1793" s="37"/>
      <c r="E1793" s="37"/>
      <c r="F1793" s="1"/>
      <c r="G1793" s="37"/>
      <c r="H1793" s="46"/>
      <c r="I1793" s="37"/>
      <c r="J1793" s="17"/>
      <c r="K1793" s="17"/>
      <c r="L1793" s="37"/>
      <c r="M1793" s="37"/>
      <c r="N1793" s="17"/>
      <c r="O1793" s="1"/>
      <c r="P1793" s="15"/>
      <c r="Q1793" s="15"/>
      <c r="R1793" s="1"/>
      <c r="S1793" s="1"/>
    </row>
    <row r="1794">
      <c r="A1794" s="1"/>
      <c r="B1794" s="3" t="str">
        <f t="shared" si="5"/>
        <v/>
      </c>
      <c r="C1794" s="31"/>
      <c r="D1794" s="37"/>
      <c r="E1794" s="37"/>
      <c r="F1794" s="1"/>
      <c r="G1794" s="37"/>
      <c r="H1794" s="46"/>
      <c r="I1794" s="37"/>
      <c r="J1794" s="17"/>
      <c r="K1794" s="17"/>
      <c r="L1794" s="37"/>
      <c r="M1794" s="37"/>
      <c r="N1794" s="17"/>
      <c r="O1794" s="1"/>
      <c r="P1794" s="15"/>
      <c r="Q1794" s="15"/>
      <c r="R1794" s="1"/>
      <c r="S1794" s="1"/>
    </row>
    <row r="1795">
      <c r="A1795" s="1"/>
      <c r="B1795" s="3" t="str">
        <f t="shared" si="5"/>
        <v/>
      </c>
      <c r="C1795" s="31"/>
      <c r="D1795" s="37"/>
      <c r="E1795" s="37"/>
      <c r="F1795" s="1"/>
      <c r="G1795" s="37"/>
      <c r="H1795" s="46"/>
      <c r="I1795" s="37"/>
      <c r="J1795" s="17"/>
      <c r="K1795" s="17"/>
      <c r="L1795" s="37"/>
      <c r="M1795" s="37"/>
      <c r="N1795" s="17"/>
      <c r="O1795" s="1"/>
      <c r="P1795" s="15"/>
      <c r="Q1795" s="15"/>
      <c r="R1795" s="1"/>
      <c r="S1795" s="1"/>
    </row>
    <row r="1796">
      <c r="A1796" s="1"/>
      <c r="B1796" s="3" t="str">
        <f t="shared" si="5"/>
        <v/>
      </c>
      <c r="C1796" s="31"/>
      <c r="D1796" s="37"/>
      <c r="E1796" s="37"/>
      <c r="F1796" s="1"/>
      <c r="G1796" s="37"/>
      <c r="H1796" s="46"/>
      <c r="I1796" s="37"/>
      <c r="J1796" s="17"/>
      <c r="K1796" s="17"/>
      <c r="L1796" s="37"/>
      <c r="M1796" s="37"/>
      <c r="N1796" s="17"/>
      <c r="O1796" s="1"/>
      <c r="P1796" s="15"/>
      <c r="Q1796" s="15"/>
      <c r="R1796" s="1"/>
      <c r="S1796" s="1"/>
    </row>
    <row r="1797">
      <c r="A1797" s="1"/>
      <c r="B1797" s="3" t="str">
        <f t="shared" si="5"/>
        <v/>
      </c>
      <c r="C1797" s="31"/>
      <c r="D1797" s="37"/>
      <c r="E1797" s="37"/>
      <c r="F1797" s="1"/>
      <c r="G1797" s="37"/>
      <c r="H1797" s="46"/>
      <c r="I1797" s="37"/>
      <c r="J1797" s="17"/>
      <c r="K1797" s="17"/>
      <c r="L1797" s="37"/>
      <c r="M1797" s="37"/>
      <c r="N1797" s="17"/>
      <c r="O1797" s="1"/>
      <c r="P1797" s="15"/>
      <c r="Q1797" s="15"/>
      <c r="R1797" s="1"/>
      <c r="S1797" s="1"/>
    </row>
    <row r="1798">
      <c r="A1798" s="1"/>
      <c r="B1798" s="3" t="str">
        <f t="shared" si="5"/>
        <v/>
      </c>
      <c r="C1798" s="31"/>
      <c r="D1798" s="37"/>
      <c r="E1798" s="37"/>
      <c r="F1798" s="1"/>
      <c r="G1798" s="37"/>
      <c r="H1798" s="46"/>
      <c r="I1798" s="37"/>
      <c r="J1798" s="17"/>
      <c r="K1798" s="17"/>
      <c r="L1798" s="37"/>
      <c r="M1798" s="37"/>
      <c r="N1798" s="17"/>
      <c r="O1798" s="1"/>
      <c r="P1798" s="15"/>
      <c r="Q1798" s="15"/>
      <c r="R1798" s="1"/>
      <c r="S1798" s="1"/>
    </row>
    <row r="1799">
      <c r="A1799" s="1"/>
      <c r="B1799" s="3" t="str">
        <f t="shared" si="5"/>
        <v/>
      </c>
      <c r="C1799" s="31"/>
      <c r="D1799" s="37"/>
      <c r="E1799" s="37"/>
      <c r="F1799" s="1"/>
      <c r="G1799" s="37"/>
      <c r="H1799" s="46"/>
      <c r="I1799" s="37"/>
      <c r="J1799" s="17"/>
      <c r="K1799" s="17"/>
      <c r="L1799" s="37"/>
      <c r="M1799" s="37"/>
      <c r="N1799" s="17"/>
      <c r="O1799" s="1"/>
      <c r="P1799" s="15"/>
      <c r="Q1799" s="15"/>
      <c r="R1799" s="1"/>
      <c r="S1799" s="1"/>
    </row>
    <row r="1800">
      <c r="A1800" s="1"/>
      <c r="B1800" s="3" t="str">
        <f t="shared" si="5"/>
        <v/>
      </c>
      <c r="C1800" s="31"/>
      <c r="D1800" s="37"/>
      <c r="E1800" s="37"/>
      <c r="F1800" s="1"/>
      <c r="G1800" s="37"/>
      <c r="H1800" s="46"/>
      <c r="I1800" s="37"/>
      <c r="J1800" s="17"/>
      <c r="K1800" s="17"/>
      <c r="L1800" s="37"/>
      <c r="M1800" s="37"/>
      <c r="N1800" s="17"/>
      <c r="O1800" s="1"/>
      <c r="P1800" s="15"/>
      <c r="Q1800" s="15"/>
      <c r="R1800" s="1"/>
      <c r="S1800" s="1"/>
    </row>
    <row r="1801">
      <c r="A1801" s="1"/>
      <c r="B1801" s="3" t="str">
        <f t="shared" si="5"/>
        <v/>
      </c>
      <c r="C1801" s="31"/>
      <c r="D1801" s="37"/>
      <c r="E1801" s="37"/>
      <c r="F1801" s="1"/>
      <c r="G1801" s="37"/>
      <c r="H1801" s="46"/>
      <c r="I1801" s="37"/>
      <c r="J1801" s="17"/>
      <c r="K1801" s="17"/>
      <c r="L1801" s="37"/>
      <c r="M1801" s="37"/>
      <c r="N1801" s="17"/>
      <c r="O1801" s="1"/>
      <c r="P1801" s="15"/>
      <c r="Q1801" s="15"/>
      <c r="R1801" s="1"/>
      <c r="S1801" s="1"/>
    </row>
    <row r="1802">
      <c r="A1802" s="1"/>
      <c r="B1802" s="3" t="str">
        <f t="shared" si="5"/>
        <v/>
      </c>
      <c r="C1802" s="31"/>
      <c r="D1802" s="37"/>
      <c r="E1802" s="37"/>
      <c r="F1802" s="1"/>
      <c r="G1802" s="37"/>
      <c r="H1802" s="46"/>
      <c r="I1802" s="37"/>
      <c r="J1802" s="17"/>
      <c r="K1802" s="17"/>
      <c r="L1802" s="37"/>
      <c r="M1802" s="37"/>
      <c r="N1802" s="17"/>
      <c r="O1802" s="1"/>
      <c r="P1802" s="15"/>
      <c r="Q1802" s="15"/>
      <c r="R1802" s="1"/>
      <c r="S1802" s="1"/>
    </row>
    <row r="1803">
      <c r="A1803" s="1"/>
      <c r="B1803" s="3" t="str">
        <f t="shared" si="5"/>
        <v/>
      </c>
      <c r="C1803" s="31"/>
      <c r="D1803" s="37"/>
      <c r="E1803" s="37"/>
      <c r="F1803" s="1"/>
      <c r="G1803" s="37"/>
      <c r="H1803" s="46"/>
      <c r="I1803" s="37"/>
      <c r="J1803" s="17"/>
      <c r="K1803" s="17"/>
      <c r="L1803" s="37"/>
      <c r="M1803" s="37"/>
      <c r="N1803" s="17"/>
      <c r="O1803" s="1"/>
      <c r="P1803" s="15"/>
      <c r="Q1803" s="15"/>
      <c r="R1803" s="1"/>
      <c r="S1803" s="1"/>
    </row>
    <row r="1804">
      <c r="A1804" s="1"/>
      <c r="B1804" s="3" t="str">
        <f t="shared" si="5"/>
        <v/>
      </c>
      <c r="C1804" s="31"/>
      <c r="D1804" s="37"/>
      <c r="E1804" s="37"/>
      <c r="F1804" s="1"/>
      <c r="G1804" s="37"/>
      <c r="H1804" s="46"/>
      <c r="I1804" s="37"/>
      <c r="J1804" s="17"/>
      <c r="K1804" s="17"/>
      <c r="L1804" s="37"/>
      <c r="M1804" s="37"/>
      <c r="N1804" s="17"/>
      <c r="O1804" s="1"/>
      <c r="P1804" s="15"/>
      <c r="Q1804" s="15"/>
      <c r="R1804" s="1"/>
      <c r="S1804" s="1"/>
    </row>
    <row r="1805">
      <c r="A1805" s="1"/>
      <c r="B1805" s="3" t="str">
        <f t="shared" si="5"/>
        <v/>
      </c>
      <c r="C1805" s="31"/>
      <c r="D1805" s="37"/>
      <c r="E1805" s="37"/>
      <c r="F1805" s="1"/>
      <c r="G1805" s="37"/>
      <c r="H1805" s="46"/>
      <c r="I1805" s="37"/>
      <c r="J1805" s="17"/>
      <c r="K1805" s="17"/>
      <c r="L1805" s="37"/>
      <c r="M1805" s="37"/>
      <c r="N1805" s="17"/>
      <c r="O1805" s="1"/>
      <c r="P1805" s="15"/>
      <c r="Q1805" s="15"/>
      <c r="R1805" s="1"/>
      <c r="S1805" s="1"/>
    </row>
    <row r="1806">
      <c r="A1806" s="1"/>
      <c r="B1806" s="3" t="str">
        <f t="shared" si="5"/>
        <v/>
      </c>
      <c r="C1806" s="31"/>
      <c r="D1806" s="37"/>
      <c r="E1806" s="37"/>
      <c r="F1806" s="1"/>
      <c r="G1806" s="37"/>
      <c r="H1806" s="46"/>
      <c r="I1806" s="37"/>
      <c r="J1806" s="17"/>
      <c r="K1806" s="17"/>
      <c r="L1806" s="37"/>
      <c r="M1806" s="37"/>
      <c r="N1806" s="17"/>
      <c r="O1806" s="1"/>
      <c r="P1806" s="15"/>
      <c r="Q1806" s="15"/>
      <c r="R1806" s="1"/>
      <c r="S1806" s="1"/>
    </row>
    <row r="1807">
      <c r="A1807" s="1"/>
      <c r="B1807" s="3" t="str">
        <f t="shared" si="5"/>
        <v/>
      </c>
      <c r="C1807" s="31"/>
      <c r="D1807" s="37"/>
      <c r="E1807" s="37"/>
      <c r="F1807" s="1"/>
      <c r="G1807" s="37"/>
      <c r="H1807" s="46"/>
      <c r="I1807" s="37"/>
      <c r="J1807" s="17"/>
      <c r="K1807" s="17"/>
      <c r="L1807" s="37"/>
      <c r="M1807" s="37"/>
      <c r="N1807" s="17"/>
      <c r="O1807" s="1"/>
      <c r="P1807" s="15"/>
      <c r="Q1807" s="15"/>
      <c r="R1807" s="1"/>
      <c r="S1807" s="1"/>
    </row>
    <row r="1808">
      <c r="A1808" s="1"/>
      <c r="B1808" s="3" t="str">
        <f t="shared" si="5"/>
        <v/>
      </c>
      <c r="C1808" s="31"/>
      <c r="D1808" s="37"/>
      <c r="E1808" s="37"/>
      <c r="F1808" s="1"/>
      <c r="G1808" s="37"/>
      <c r="H1808" s="46"/>
      <c r="I1808" s="37"/>
      <c r="J1808" s="17"/>
      <c r="K1808" s="17"/>
      <c r="L1808" s="37"/>
      <c r="M1808" s="37"/>
      <c r="N1808" s="17"/>
      <c r="O1808" s="1"/>
      <c r="P1808" s="15"/>
      <c r="Q1808" s="15"/>
      <c r="R1808" s="1"/>
      <c r="S1808" s="1"/>
    </row>
    <row r="1809">
      <c r="A1809" s="1"/>
      <c r="B1809" s="3" t="str">
        <f t="shared" si="5"/>
        <v/>
      </c>
      <c r="C1809" s="31"/>
      <c r="D1809" s="37"/>
      <c r="E1809" s="37"/>
      <c r="F1809" s="1"/>
      <c r="G1809" s="37"/>
      <c r="H1809" s="46"/>
      <c r="I1809" s="37"/>
      <c r="J1809" s="17"/>
      <c r="K1809" s="17"/>
      <c r="L1809" s="37"/>
      <c r="M1809" s="37"/>
      <c r="N1809" s="17"/>
      <c r="O1809" s="1"/>
      <c r="P1809" s="15"/>
      <c r="Q1809" s="15"/>
      <c r="R1809" s="1"/>
      <c r="S1809" s="1"/>
    </row>
    <row r="1810">
      <c r="A1810" s="1"/>
      <c r="B1810" s="3" t="str">
        <f t="shared" si="5"/>
        <v/>
      </c>
      <c r="C1810" s="31"/>
      <c r="D1810" s="37"/>
      <c r="E1810" s="37"/>
      <c r="F1810" s="1"/>
      <c r="G1810" s="37"/>
      <c r="H1810" s="46"/>
      <c r="I1810" s="37"/>
      <c r="J1810" s="17"/>
      <c r="K1810" s="17"/>
      <c r="L1810" s="37"/>
      <c r="M1810" s="37"/>
      <c r="N1810" s="17"/>
      <c r="O1810" s="1"/>
      <c r="P1810" s="15"/>
      <c r="Q1810" s="15"/>
      <c r="R1810" s="1"/>
      <c r="S1810" s="1"/>
    </row>
    <row r="1811">
      <c r="A1811" s="1"/>
      <c r="B1811" s="3" t="str">
        <f t="shared" si="5"/>
        <v/>
      </c>
      <c r="C1811" s="31"/>
      <c r="D1811" s="37"/>
      <c r="E1811" s="37"/>
      <c r="F1811" s="1"/>
      <c r="G1811" s="37"/>
      <c r="H1811" s="46"/>
      <c r="I1811" s="37"/>
      <c r="J1811" s="17"/>
      <c r="K1811" s="17"/>
      <c r="L1811" s="37"/>
      <c r="M1811" s="37"/>
      <c r="N1811" s="17"/>
      <c r="O1811" s="1"/>
      <c r="P1811" s="15"/>
      <c r="Q1811" s="15"/>
      <c r="R1811" s="1"/>
      <c r="S1811" s="1"/>
    </row>
    <row r="1812">
      <c r="A1812" s="1"/>
      <c r="B1812" s="3" t="str">
        <f t="shared" si="5"/>
        <v/>
      </c>
      <c r="C1812" s="31"/>
      <c r="D1812" s="37"/>
      <c r="E1812" s="37"/>
      <c r="F1812" s="1"/>
      <c r="G1812" s="37"/>
      <c r="H1812" s="46"/>
      <c r="I1812" s="37"/>
      <c r="J1812" s="17"/>
      <c r="K1812" s="17"/>
      <c r="L1812" s="37"/>
      <c r="M1812" s="37"/>
      <c r="N1812" s="17"/>
      <c r="O1812" s="1"/>
      <c r="P1812" s="15"/>
      <c r="Q1812" s="15"/>
      <c r="R1812" s="1"/>
      <c r="S1812" s="1"/>
    </row>
    <row r="1813">
      <c r="A1813" s="1"/>
      <c r="B1813" s="3" t="str">
        <f t="shared" si="5"/>
        <v/>
      </c>
      <c r="C1813" s="31"/>
      <c r="D1813" s="37"/>
      <c r="E1813" s="37"/>
      <c r="F1813" s="1"/>
      <c r="G1813" s="37"/>
      <c r="H1813" s="46"/>
      <c r="I1813" s="37"/>
      <c r="J1813" s="17"/>
      <c r="K1813" s="17"/>
      <c r="L1813" s="37"/>
      <c r="M1813" s="37"/>
      <c r="N1813" s="17"/>
      <c r="O1813" s="1"/>
      <c r="P1813" s="15"/>
      <c r="Q1813" s="15"/>
      <c r="R1813" s="1"/>
      <c r="S1813" s="1"/>
    </row>
    <row r="1814">
      <c r="A1814" s="1"/>
      <c r="B1814" s="3" t="str">
        <f t="shared" si="5"/>
        <v/>
      </c>
      <c r="C1814" s="31"/>
      <c r="D1814" s="37"/>
      <c r="E1814" s="37"/>
      <c r="F1814" s="1"/>
      <c r="G1814" s="37"/>
      <c r="H1814" s="46"/>
      <c r="I1814" s="37"/>
      <c r="J1814" s="17"/>
      <c r="K1814" s="17"/>
      <c r="L1814" s="37"/>
      <c r="M1814" s="37"/>
      <c r="N1814" s="17"/>
      <c r="O1814" s="1"/>
      <c r="P1814" s="15"/>
      <c r="Q1814" s="15"/>
      <c r="R1814" s="1"/>
      <c r="S1814" s="1"/>
    </row>
    <row r="1815">
      <c r="A1815" s="1"/>
      <c r="B1815" s="3" t="str">
        <f t="shared" si="5"/>
        <v/>
      </c>
      <c r="C1815" s="31"/>
      <c r="D1815" s="37"/>
      <c r="E1815" s="37"/>
      <c r="F1815" s="1"/>
      <c r="G1815" s="37"/>
      <c r="H1815" s="46"/>
      <c r="I1815" s="37"/>
      <c r="J1815" s="17"/>
      <c r="K1815" s="17"/>
      <c r="L1815" s="37"/>
      <c r="M1815" s="37"/>
      <c r="N1815" s="17"/>
      <c r="O1815" s="1"/>
      <c r="P1815" s="15"/>
      <c r="Q1815" s="15"/>
      <c r="R1815" s="1"/>
      <c r="S1815" s="1"/>
    </row>
    <row r="1816">
      <c r="A1816" s="1"/>
      <c r="B1816" s="3" t="str">
        <f t="shared" si="5"/>
        <v/>
      </c>
      <c r="C1816" s="31"/>
      <c r="D1816" s="37"/>
      <c r="E1816" s="37"/>
      <c r="F1816" s="1"/>
      <c r="G1816" s="37"/>
      <c r="H1816" s="46"/>
      <c r="I1816" s="37"/>
      <c r="J1816" s="17"/>
      <c r="K1816" s="17"/>
      <c r="L1816" s="37"/>
      <c r="M1816" s="37"/>
      <c r="N1816" s="17"/>
      <c r="O1816" s="1"/>
      <c r="P1816" s="15"/>
      <c r="Q1816" s="15"/>
      <c r="R1816" s="1"/>
      <c r="S1816" s="1"/>
    </row>
    <row r="1817">
      <c r="A1817" s="1"/>
      <c r="B1817" s="3" t="str">
        <f t="shared" si="5"/>
        <v/>
      </c>
      <c r="C1817" s="31"/>
      <c r="D1817" s="37"/>
      <c r="E1817" s="37"/>
      <c r="F1817" s="1"/>
      <c r="G1817" s="37"/>
      <c r="H1817" s="46"/>
      <c r="I1817" s="37"/>
      <c r="J1817" s="17"/>
      <c r="K1817" s="17"/>
      <c r="L1817" s="37"/>
      <c r="M1817" s="37"/>
      <c r="N1817" s="17"/>
      <c r="O1817" s="1"/>
      <c r="P1817" s="15"/>
      <c r="Q1817" s="15"/>
      <c r="R1817" s="1"/>
      <c r="S1817" s="1"/>
    </row>
    <row r="1818">
      <c r="A1818" s="1"/>
      <c r="B1818" s="3" t="str">
        <f t="shared" si="5"/>
        <v/>
      </c>
      <c r="C1818" s="31"/>
      <c r="D1818" s="37"/>
      <c r="E1818" s="37"/>
      <c r="F1818" s="1"/>
      <c r="G1818" s="37"/>
      <c r="H1818" s="46"/>
      <c r="I1818" s="37"/>
      <c r="J1818" s="17"/>
      <c r="K1818" s="17"/>
      <c r="L1818" s="37"/>
      <c r="M1818" s="37"/>
      <c r="N1818" s="17"/>
      <c r="O1818" s="1"/>
      <c r="P1818" s="15"/>
      <c r="Q1818" s="15"/>
      <c r="R1818" s="1"/>
      <c r="S1818" s="1"/>
    </row>
    <row r="1819">
      <c r="A1819" s="1"/>
      <c r="B1819" s="3" t="str">
        <f t="shared" si="5"/>
        <v/>
      </c>
      <c r="C1819" s="31"/>
      <c r="D1819" s="37"/>
      <c r="E1819" s="37"/>
      <c r="F1819" s="1"/>
      <c r="G1819" s="37"/>
      <c r="H1819" s="46"/>
      <c r="I1819" s="37"/>
      <c r="J1819" s="17"/>
      <c r="K1819" s="17"/>
      <c r="L1819" s="37"/>
      <c r="M1819" s="37"/>
      <c r="N1819" s="17"/>
      <c r="O1819" s="1"/>
      <c r="P1819" s="15"/>
      <c r="Q1819" s="15"/>
      <c r="R1819" s="1"/>
      <c r="S1819" s="1"/>
    </row>
    <row r="1820">
      <c r="A1820" s="1"/>
      <c r="B1820" s="3" t="str">
        <f t="shared" si="5"/>
        <v/>
      </c>
      <c r="C1820" s="31"/>
      <c r="D1820" s="37"/>
      <c r="E1820" s="37"/>
      <c r="F1820" s="1"/>
      <c r="G1820" s="37"/>
      <c r="H1820" s="46"/>
      <c r="I1820" s="37"/>
      <c r="J1820" s="17"/>
      <c r="K1820" s="17"/>
      <c r="L1820" s="37"/>
      <c r="M1820" s="37"/>
      <c r="N1820" s="17"/>
      <c r="O1820" s="1"/>
      <c r="P1820" s="15"/>
      <c r="Q1820" s="15"/>
      <c r="R1820" s="1"/>
      <c r="S1820" s="1"/>
    </row>
    <row r="1821">
      <c r="A1821" s="1"/>
      <c r="B1821" s="3" t="str">
        <f t="shared" si="5"/>
        <v/>
      </c>
      <c r="C1821" s="31"/>
      <c r="D1821" s="37"/>
      <c r="E1821" s="37"/>
      <c r="F1821" s="1"/>
      <c r="G1821" s="37"/>
      <c r="H1821" s="46"/>
      <c r="I1821" s="37"/>
      <c r="J1821" s="17"/>
      <c r="K1821" s="17"/>
      <c r="L1821" s="37"/>
      <c r="M1821" s="37"/>
      <c r="N1821" s="17"/>
      <c r="O1821" s="1"/>
      <c r="P1821" s="15"/>
      <c r="Q1821" s="15"/>
      <c r="R1821" s="1"/>
      <c r="S1821" s="1"/>
    </row>
    <row r="1822">
      <c r="A1822" s="1"/>
      <c r="B1822" s="3" t="str">
        <f t="shared" si="5"/>
        <v/>
      </c>
      <c r="C1822" s="31"/>
      <c r="D1822" s="37"/>
      <c r="E1822" s="37"/>
      <c r="F1822" s="1"/>
      <c r="G1822" s="37"/>
      <c r="H1822" s="46"/>
      <c r="I1822" s="37"/>
      <c r="J1822" s="17"/>
      <c r="K1822" s="17"/>
      <c r="L1822" s="37"/>
      <c r="M1822" s="37"/>
      <c r="N1822" s="17"/>
      <c r="O1822" s="1"/>
      <c r="P1822" s="15"/>
      <c r="Q1822" s="15"/>
      <c r="R1822" s="1"/>
      <c r="S1822" s="1"/>
    </row>
    <row r="1823">
      <c r="A1823" s="1"/>
      <c r="B1823" s="3" t="str">
        <f t="shared" si="5"/>
        <v/>
      </c>
      <c r="C1823" s="31"/>
      <c r="D1823" s="37"/>
      <c r="E1823" s="37"/>
      <c r="F1823" s="1"/>
      <c r="G1823" s="37"/>
      <c r="H1823" s="46"/>
      <c r="I1823" s="37"/>
      <c r="J1823" s="17"/>
      <c r="K1823" s="17"/>
      <c r="L1823" s="37"/>
      <c r="M1823" s="37"/>
      <c r="N1823" s="17"/>
      <c r="O1823" s="1"/>
      <c r="P1823" s="15"/>
      <c r="Q1823" s="15"/>
      <c r="R1823" s="1"/>
      <c r="S1823" s="1"/>
    </row>
    <row r="1824">
      <c r="A1824" s="1"/>
      <c r="B1824" s="3" t="str">
        <f t="shared" si="5"/>
        <v/>
      </c>
      <c r="C1824" s="31"/>
      <c r="D1824" s="37"/>
      <c r="E1824" s="37"/>
      <c r="F1824" s="1"/>
      <c r="G1824" s="37"/>
      <c r="H1824" s="46"/>
      <c r="I1824" s="37"/>
      <c r="J1824" s="17"/>
      <c r="K1824" s="17"/>
      <c r="L1824" s="37"/>
      <c r="M1824" s="37"/>
      <c r="N1824" s="17"/>
      <c r="O1824" s="1"/>
      <c r="P1824" s="15"/>
      <c r="Q1824" s="15"/>
      <c r="R1824" s="1"/>
      <c r="S1824" s="1"/>
    </row>
    <row r="1825">
      <c r="A1825" s="1"/>
      <c r="B1825" s="3" t="str">
        <f t="shared" si="5"/>
        <v/>
      </c>
      <c r="C1825" s="31"/>
      <c r="D1825" s="37"/>
      <c r="E1825" s="37"/>
      <c r="F1825" s="1"/>
      <c r="G1825" s="37"/>
      <c r="H1825" s="46"/>
      <c r="I1825" s="37"/>
      <c r="J1825" s="17"/>
      <c r="K1825" s="17"/>
      <c r="L1825" s="37"/>
      <c r="M1825" s="37"/>
      <c r="N1825" s="17"/>
      <c r="O1825" s="1"/>
      <c r="P1825" s="15"/>
      <c r="Q1825" s="15"/>
      <c r="R1825" s="1"/>
      <c r="S1825" s="1"/>
    </row>
    <row r="1826">
      <c r="A1826" s="1"/>
      <c r="B1826" s="3" t="str">
        <f t="shared" si="5"/>
        <v/>
      </c>
      <c r="C1826" s="31"/>
      <c r="D1826" s="37"/>
      <c r="E1826" s="37"/>
      <c r="F1826" s="1"/>
      <c r="G1826" s="37"/>
      <c r="H1826" s="46"/>
      <c r="I1826" s="37"/>
      <c r="J1826" s="17"/>
      <c r="K1826" s="17"/>
      <c r="L1826" s="37"/>
      <c r="M1826" s="37"/>
      <c r="N1826" s="17"/>
      <c r="O1826" s="1"/>
      <c r="P1826" s="15"/>
      <c r="Q1826" s="15"/>
      <c r="R1826" s="1"/>
      <c r="S1826" s="1"/>
    </row>
    <row r="1827">
      <c r="A1827" s="1"/>
      <c r="B1827" s="3" t="str">
        <f t="shared" si="5"/>
        <v/>
      </c>
      <c r="C1827" s="31"/>
      <c r="D1827" s="37"/>
      <c r="E1827" s="37"/>
      <c r="F1827" s="1"/>
      <c r="G1827" s="37"/>
      <c r="H1827" s="46"/>
      <c r="I1827" s="37"/>
      <c r="J1827" s="17"/>
      <c r="K1827" s="17"/>
      <c r="L1827" s="37"/>
      <c r="M1827" s="37"/>
      <c r="N1827" s="17"/>
      <c r="O1827" s="1"/>
      <c r="P1827" s="15"/>
      <c r="Q1827" s="15"/>
      <c r="R1827" s="1"/>
      <c r="S1827" s="1"/>
    </row>
    <row r="1828">
      <c r="A1828" s="1"/>
      <c r="B1828" s="3" t="str">
        <f t="shared" si="5"/>
        <v/>
      </c>
      <c r="C1828" s="31"/>
      <c r="D1828" s="37"/>
      <c r="E1828" s="37"/>
      <c r="F1828" s="1"/>
      <c r="G1828" s="37"/>
      <c r="H1828" s="46"/>
      <c r="I1828" s="37"/>
      <c r="J1828" s="17"/>
      <c r="K1828" s="17"/>
      <c r="L1828" s="37"/>
      <c r="M1828" s="37"/>
      <c r="N1828" s="17"/>
      <c r="O1828" s="1"/>
      <c r="P1828" s="15"/>
      <c r="Q1828" s="15"/>
      <c r="R1828" s="1"/>
      <c r="S1828" s="1"/>
    </row>
    <row r="1829">
      <c r="A1829" s="1"/>
      <c r="B1829" s="3" t="str">
        <f t="shared" si="5"/>
        <v/>
      </c>
      <c r="C1829" s="31"/>
      <c r="D1829" s="37"/>
      <c r="E1829" s="37"/>
      <c r="F1829" s="1"/>
      <c r="G1829" s="37"/>
      <c r="H1829" s="46"/>
      <c r="I1829" s="37"/>
      <c r="J1829" s="17"/>
      <c r="K1829" s="17"/>
      <c r="L1829" s="37"/>
      <c r="M1829" s="37"/>
      <c r="N1829" s="17"/>
      <c r="O1829" s="1"/>
      <c r="P1829" s="15"/>
      <c r="Q1829" s="15"/>
      <c r="R1829" s="1"/>
      <c r="S1829" s="1"/>
    </row>
    <row r="1830">
      <c r="A1830" s="1"/>
      <c r="B1830" s="3" t="str">
        <f t="shared" si="5"/>
        <v/>
      </c>
      <c r="C1830" s="31"/>
      <c r="D1830" s="37"/>
      <c r="E1830" s="37"/>
      <c r="F1830" s="1"/>
      <c r="G1830" s="37"/>
      <c r="H1830" s="46"/>
      <c r="I1830" s="37"/>
      <c r="J1830" s="17"/>
      <c r="K1830" s="17"/>
      <c r="L1830" s="37"/>
      <c r="M1830" s="37"/>
      <c r="N1830" s="17"/>
      <c r="O1830" s="1"/>
      <c r="P1830" s="15"/>
      <c r="Q1830" s="15"/>
      <c r="R1830" s="1"/>
      <c r="S1830" s="1"/>
    </row>
    <row r="1831">
      <c r="A1831" s="1"/>
      <c r="B1831" s="3" t="str">
        <f t="shared" si="5"/>
        <v/>
      </c>
      <c r="C1831" s="31"/>
      <c r="D1831" s="37"/>
      <c r="E1831" s="37"/>
      <c r="F1831" s="1"/>
      <c r="G1831" s="37"/>
      <c r="H1831" s="46"/>
      <c r="I1831" s="37"/>
      <c r="J1831" s="17"/>
      <c r="K1831" s="17"/>
      <c r="L1831" s="37"/>
      <c r="M1831" s="37"/>
      <c r="N1831" s="17"/>
      <c r="O1831" s="1"/>
      <c r="P1831" s="15"/>
      <c r="Q1831" s="15"/>
      <c r="R1831" s="1"/>
      <c r="S1831" s="1"/>
    </row>
    <row r="1832">
      <c r="A1832" s="1"/>
      <c r="B1832" s="3" t="str">
        <f t="shared" si="5"/>
        <v/>
      </c>
      <c r="C1832" s="31"/>
      <c r="D1832" s="37"/>
      <c r="E1832" s="37"/>
      <c r="F1832" s="1"/>
      <c r="G1832" s="37"/>
      <c r="H1832" s="46"/>
      <c r="I1832" s="37"/>
      <c r="J1832" s="17"/>
      <c r="K1832" s="17"/>
      <c r="L1832" s="37"/>
      <c r="M1832" s="37"/>
      <c r="N1832" s="17"/>
      <c r="O1832" s="1"/>
      <c r="P1832" s="15"/>
      <c r="Q1832" s="15"/>
      <c r="R1832" s="1"/>
      <c r="S1832" s="1"/>
    </row>
    <row r="1833">
      <c r="A1833" s="1"/>
      <c r="B1833" s="3" t="str">
        <f t="shared" si="5"/>
        <v/>
      </c>
      <c r="C1833" s="31"/>
      <c r="D1833" s="37"/>
      <c r="E1833" s="37"/>
      <c r="F1833" s="1"/>
      <c r="G1833" s="37"/>
      <c r="H1833" s="46"/>
      <c r="I1833" s="37"/>
      <c r="J1833" s="17"/>
      <c r="K1833" s="17"/>
      <c r="L1833" s="37"/>
      <c r="M1833" s="37"/>
      <c r="N1833" s="17"/>
      <c r="O1833" s="1"/>
      <c r="P1833" s="15"/>
      <c r="Q1833" s="15"/>
      <c r="R1833" s="1"/>
      <c r="S1833" s="1"/>
    </row>
    <row r="1834">
      <c r="A1834" s="1"/>
      <c r="B1834" s="3" t="str">
        <f t="shared" si="5"/>
        <v/>
      </c>
      <c r="C1834" s="31"/>
      <c r="D1834" s="37"/>
      <c r="E1834" s="37"/>
      <c r="F1834" s="1"/>
      <c r="G1834" s="37"/>
      <c r="H1834" s="46"/>
      <c r="I1834" s="37"/>
      <c r="J1834" s="17"/>
      <c r="K1834" s="17"/>
      <c r="L1834" s="37"/>
      <c r="M1834" s="37"/>
      <c r="N1834" s="17"/>
      <c r="O1834" s="1"/>
      <c r="P1834" s="15"/>
      <c r="Q1834" s="15"/>
      <c r="R1834" s="1"/>
      <c r="S1834" s="1"/>
    </row>
    <row r="1835">
      <c r="A1835" s="1"/>
      <c r="B1835" s="3" t="str">
        <f t="shared" si="5"/>
        <v/>
      </c>
      <c r="C1835" s="31"/>
      <c r="D1835" s="37"/>
      <c r="E1835" s="37"/>
      <c r="F1835" s="1"/>
      <c r="G1835" s="37"/>
      <c r="H1835" s="46"/>
      <c r="I1835" s="37"/>
      <c r="J1835" s="17"/>
      <c r="K1835" s="17"/>
      <c r="L1835" s="37"/>
      <c r="M1835" s="37"/>
      <c r="N1835" s="17"/>
      <c r="O1835" s="1"/>
      <c r="P1835" s="15"/>
      <c r="Q1835" s="15"/>
      <c r="R1835" s="1"/>
      <c r="S1835" s="1"/>
    </row>
    <row r="1836">
      <c r="A1836" s="1"/>
      <c r="B1836" s="3" t="str">
        <f t="shared" si="5"/>
        <v/>
      </c>
      <c r="C1836" s="31"/>
      <c r="D1836" s="37"/>
      <c r="E1836" s="37"/>
      <c r="F1836" s="1"/>
      <c r="G1836" s="37"/>
      <c r="H1836" s="46"/>
      <c r="I1836" s="37"/>
      <c r="J1836" s="17"/>
      <c r="K1836" s="17"/>
      <c r="L1836" s="37"/>
      <c r="M1836" s="37"/>
      <c r="N1836" s="17"/>
      <c r="O1836" s="1"/>
      <c r="P1836" s="15"/>
      <c r="Q1836" s="15"/>
      <c r="R1836" s="1"/>
      <c r="S1836" s="1"/>
    </row>
    <row r="1837">
      <c r="A1837" s="1"/>
      <c r="B1837" s="3" t="str">
        <f t="shared" si="5"/>
        <v/>
      </c>
      <c r="C1837" s="31"/>
      <c r="D1837" s="37"/>
      <c r="E1837" s="37"/>
      <c r="F1837" s="1"/>
      <c r="G1837" s="37"/>
      <c r="H1837" s="46"/>
      <c r="I1837" s="37"/>
      <c r="J1837" s="17"/>
      <c r="K1837" s="17"/>
      <c r="L1837" s="37"/>
      <c r="M1837" s="37"/>
      <c r="N1837" s="17"/>
      <c r="O1837" s="1"/>
      <c r="P1837" s="15"/>
      <c r="Q1837" s="15"/>
      <c r="R1837" s="1"/>
      <c r="S1837" s="1"/>
    </row>
    <row r="1838">
      <c r="A1838" s="1"/>
      <c r="B1838" s="3" t="str">
        <f t="shared" si="5"/>
        <v/>
      </c>
      <c r="C1838" s="31"/>
      <c r="D1838" s="37"/>
      <c r="E1838" s="37"/>
      <c r="F1838" s="1"/>
      <c r="G1838" s="37"/>
      <c r="H1838" s="46"/>
      <c r="I1838" s="37"/>
      <c r="J1838" s="17"/>
      <c r="K1838" s="17"/>
      <c r="L1838" s="37"/>
      <c r="M1838" s="37"/>
      <c r="N1838" s="17"/>
      <c r="O1838" s="1"/>
      <c r="P1838" s="15"/>
      <c r="Q1838" s="15"/>
      <c r="R1838" s="1"/>
      <c r="S1838" s="1"/>
    </row>
    <row r="1839">
      <c r="A1839" s="1"/>
      <c r="B1839" s="3" t="str">
        <f t="shared" si="5"/>
        <v/>
      </c>
      <c r="C1839" s="31"/>
      <c r="D1839" s="37"/>
      <c r="E1839" s="37"/>
      <c r="F1839" s="1"/>
      <c r="G1839" s="37"/>
      <c r="H1839" s="46"/>
      <c r="I1839" s="37"/>
      <c r="J1839" s="17"/>
      <c r="K1839" s="17"/>
      <c r="L1839" s="37"/>
      <c r="M1839" s="37"/>
      <c r="N1839" s="17"/>
      <c r="O1839" s="1"/>
      <c r="P1839" s="15"/>
      <c r="Q1839" s="15"/>
      <c r="R1839" s="1"/>
      <c r="S1839" s="1"/>
    </row>
    <row r="1840">
      <c r="A1840" s="1"/>
      <c r="B1840" s="3" t="str">
        <f t="shared" si="5"/>
        <v/>
      </c>
      <c r="C1840" s="31"/>
      <c r="D1840" s="37"/>
      <c r="E1840" s="37"/>
      <c r="F1840" s="1"/>
      <c r="G1840" s="37"/>
      <c r="H1840" s="46"/>
      <c r="I1840" s="37"/>
      <c r="J1840" s="17"/>
      <c r="K1840" s="17"/>
      <c r="L1840" s="37"/>
      <c r="M1840" s="37"/>
      <c r="N1840" s="17"/>
      <c r="O1840" s="1"/>
      <c r="P1840" s="15"/>
      <c r="Q1840" s="15"/>
      <c r="R1840" s="1"/>
      <c r="S1840" s="1"/>
    </row>
    <row r="1841">
      <c r="A1841" s="1"/>
      <c r="B1841" s="3" t="str">
        <f t="shared" si="5"/>
        <v/>
      </c>
      <c r="C1841" s="31"/>
      <c r="D1841" s="37"/>
      <c r="E1841" s="37"/>
      <c r="F1841" s="1"/>
      <c r="G1841" s="37"/>
      <c r="H1841" s="46"/>
      <c r="I1841" s="37"/>
      <c r="J1841" s="17"/>
      <c r="K1841" s="17"/>
      <c r="L1841" s="37"/>
      <c r="M1841" s="37"/>
      <c r="N1841" s="17"/>
      <c r="O1841" s="1"/>
      <c r="P1841" s="15"/>
      <c r="Q1841" s="15"/>
      <c r="R1841" s="1"/>
      <c r="S1841" s="1"/>
    </row>
    <row r="1842">
      <c r="A1842" s="1"/>
      <c r="B1842" s="3" t="str">
        <f t="shared" si="5"/>
        <v/>
      </c>
      <c r="C1842" s="31"/>
      <c r="D1842" s="37"/>
      <c r="E1842" s="37"/>
      <c r="F1842" s="1"/>
      <c r="G1842" s="37"/>
      <c r="H1842" s="46"/>
      <c r="I1842" s="37"/>
      <c r="J1842" s="17"/>
      <c r="K1842" s="17"/>
      <c r="L1842" s="37"/>
      <c r="M1842" s="37"/>
      <c r="N1842" s="17"/>
      <c r="O1842" s="1"/>
      <c r="P1842" s="15"/>
      <c r="Q1842" s="15"/>
      <c r="R1842" s="1"/>
      <c r="S1842" s="1"/>
    </row>
    <row r="1843">
      <c r="A1843" s="1"/>
      <c r="B1843" s="3" t="str">
        <f t="shared" si="5"/>
        <v/>
      </c>
      <c r="C1843" s="31"/>
      <c r="D1843" s="37"/>
      <c r="E1843" s="37"/>
      <c r="F1843" s="1"/>
      <c r="G1843" s="37"/>
      <c r="H1843" s="46"/>
      <c r="I1843" s="37"/>
      <c r="J1843" s="17"/>
      <c r="K1843" s="17"/>
      <c r="L1843" s="37"/>
      <c r="M1843" s="37"/>
      <c r="N1843" s="17"/>
      <c r="O1843" s="1"/>
      <c r="P1843" s="15"/>
      <c r="Q1843" s="15"/>
      <c r="R1843" s="1"/>
      <c r="S1843" s="1"/>
    </row>
    <row r="1844">
      <c r="A1844" s="1"/>
      <c r="B1844" s="3" t="str">
        <f t="shared" si="5"/>
        <v/>
      </c>
      <c r="C1844" s="31"/>
      <c r="D1844" s="37"/>
      <c r="E1844" s="37"/>
      <c r="F1844" s="1"/>
      <c r="G1844" s="37"/>
      <c r="H1844" s="46"/>
      <c r="I1844" s="37"/>
      <c r="J1844" s="17"/>
      <c r="K1844" s="17"/>
      <c r="L1844" s="37"/>
      <c r="M1844" s="37"/>
      <c r="N1844" s="17"/>
      <c r="O1844" s="1"/>
      <c r="P1844" s="15"/>
      <c r="Q1844" s="15"/>
      <c r="R1844" s="1"/>
      <c r="S1844" s="1"/>
    </row>
    <row r="1845">
      <c r="A1845" s="1"/>
      <c r="B1845" s="3" t="str">
        <f t="shared" si="5"/>
        <v/>
      </c>
      <c r="C1845" s="31"/>
      <c r="D1845" s="37"/>
      <c r="E1845" s="37"/>
      <c r="F1845" s="1"/>
      <c r="G1845" s="37"/>
      <c r="H1845" s="46"/>
      <c r="I1845" s="37"/>
      <c r="J1845" s="17"/>
      <c r="K1845" s="17"/>
      <c r="L1845" s="37"/>
      <c r="M1845" s="37"/>
      <c r="N1845" s="17"/>
      <c r="O1845" s="1"/>
      <c r="P1845" s="15"/>
      <c r="Q1845" s="15"/>
      <c r="R1845" s="1"/>
      <c r="S1845" s="1"/>
    </row>
    <row r="1846">
      <c r="A1846" s="1"/>
      <c r="B1846" s="3" t="str">
        <f t="shared" si="5"/>
        <v/>
      </c>
      <c r="C1846" s="31"/>
      <c r="D1846" s="37"/>
      <c r="E1846" s="37"/>
      <c r="F1846" s="1"/>
      <c r="G1846" s="37"/>
      <c r="H1846" s="46"/>
      <c r="I1846" s="37"/>
      <c r="J1846" s="17"/>
      <c r="K1846" s="17"/>
      <c r="L1846" s="37"/>
      <c r="M1846" s="37"/>
      <c r="N1846" s="17"/>
      <c r="O1846" s="1"/>
      <c r="P1846" s="15"/>
      <c r="Q1846" s="15"/>
      <c r="R1846" s="1"/>
      <c r="S1846" s="1"/>
    </row>
    <row r="1847">
      <c r="A1847" s="1"/>
      <c r="B1847" s="3" t="str">
        <f t="shared" si="5"/>
        <v/>
      </c>
      <c r="C1847" s="31"/>
      <c r="D1847" s="37"/>
      <c r="E1847" s="37"/>
      <c r="F1847" s="1"/>
      <c r="G1847" s="37"/>
      <c r="H1847" s="46"/>
      <c r="I1847" s="37"/>
      <c r="J1847" s="17"/>
      <c r="K1847" s="17"/>
      <c r="L1847" s="37"/>
      <c r="M1847" s="37"/>
      <c r="N1847" s="17"/>
      <c r="O1847" s="1"/>
      <c r="P1847" s="15"/>
      <c r="Q1847" s="15"/>
      <c r="R1847" s="1"/>
      <c r="S1847" s="1"/>
    </row>
    <row r="1848">
      <c r="A1848" s="1"/>
      <c r="B1848" s="3" t="str">
        <f t="shared" si="5"/>
        <v/>
      </c>
      <c r="C1848" s="31"/>
      <c r="D1848" s="37"/>
      <c r="E1848" s="37"/>
      <c r="F1848" s="1"/>
      <c r="G1848" s="37"/>
      <c r="H1848" s="46"/>
      <c r="I1848" s="37"/>
      <c r="J1848" s="17"/>
      <c r="K1848" s="17"/>
      <c r="L1848" s="37"/>
      <c r="M1848" s="37"/>
      <c r="N1848" s="17"/>
      <c r="O1848" s="1"/>
      <c r="P1848" s="15"/>
      <c r="Q1848" s="15"/>
      <c r="R1848" s="1"/>
      <c r="S1848" s="1"/>
    </row>
    <row r="1849">
      <c r="A1849" s="1"/>
      <c r="B1849" s="3" t="str">
        <f t="shared" si="5"/>
        <v/>
      </c>
      <c r="C1849" s="31"/>
      <c r="D1849" s="37"/>
      <c r="E1849" s="37"/>
      <c r="F1849" s="1"/>
      <c r="G1849" s="37"/>
      <c r="H1849" s="46"/>
      <c r="I1849" s="37"/>
      <c r="J1849" s="17"/>
      <c r="K1849" s="17"/>
      <c r="L1849" s="37"/>
      <c r="M1849" s="37"/>
      <c r="N1849" s="17"/>
      <c r="O1849" s="1"/>
      <c r="P1849" s="15"/>
      <c r="Q1849" s="15"/>
      <c r="R1849" s="1"/>
      <c r="S1849" s="1"/>
    </row>
    <row r="1850">
      <c r="A1850" s="1"/>
      <c r="B1850" s="3" t="str">
        <f t="shared" si="5"/>
        <v/>
      </c>
      <c r="C1850" s="31"/>
      <c r="D1850" s="37"/>
      <c r="E1850" s="37"/>
      <c r="F1850" s="1"/>
      <c r="G1850" s="37"/>
      <c r="H1850" s="46"/>
      <c r="I1850" s="37"/>
      <c r="J1850" s="17"/>
      <c r="K1850" s="17"/>
      <c r="L1850" s="37"/>
      <c r="M1850" s="37"/>
      <c r="N1850" s="17"/>
      <c r="O1850" s="1"/>
      <c r="P1850" s="15"/>
      <c r="Q1850" s="15"/>
      <c r="R1850" s="1"/>
      <c r="S1850" s="1"/>
    </row>
    <row r="1851">
      <c r="A1851" s="1"/>
      <c r="B1851" s="3" t="str">
        <f t="shared" si="5"/>
        <v/>
      </c>
      <c r="C1851" s="31"/>
      <c r="D1851" s="37"/>
      <c r="E1851" s="37"/>
      <c r="F1851" s="1"/>
      <c r="G1851" s="37"/>
      <c r="H1851" s="46"/>
      <c r="I1851" s="37"/>
      <c r="J1851" s="17"/>
      <c r="K1851" s="17"/>
      <c r="L1851" s="37"/>
      <c r="M1851" s="37"/>
      <c r="N1851" s="17"/>
      <c r="O1851" s="1"/>
      <c r="P1851" s="15"/>
      <c r="Q1851" s="15"/>
      <c r="R1851" s="1"/>
      <c r="S1851" s="1"/>
    </row>
    <row r="1852">
      <c r="A1852" s="1"/>
      <c r="B1852" s="3" t="str">
        <f t="shared" si="5"/>
        <v/>
      </c>
      <c r="C1852" s="31"/>
      <c r="D1852" s="37"/>
      <c r="E1852" s="37"/>
      <c r="F1852" s="1"/>
      <c r="G1852" s="37"/>
      <c r="H1852" s="46"/>
      <c r="I1852" s="37"/>
      <c r="J1852" s="17"/>
      <c r="K1852" s="17"/>
      <c r="L1852" s="37"/>
      <c r="M1852" s="37"/>
      <c r="N1852" s="17"/>
      <c r="O1852" s="1"/>
      <c r="P1852" s="15"/>
      <c r="Q1852" s="15"/>
      <c r="R1852" s="1"/>
      <c r="S1852" s="1"/>
    </row>
    <row r="1853">
      <c r="A1853" s="1"/>
      <c r="B1853" s="3" t="str">
        <f t="shared" si="5"/>
        <v/>
      </c>
      <c r="C1853" s="31"/>
      <c r="D1853" s="37"/>
      <c r="E1853" s="37"/>
      <c r="F1853" s="1"/>
      <c r="G1853" s="37"/>
      <c r="H1853" s="46"/>
      <c r="I1853" s="37"/>
      <c r="J1853" s="17"/>
      <c r="K1853" s="17"/>
      <c r="L1853" s="37"/>
      <c r="M1853" s="37"/>
      <c r="N1853" s="17"/>
      <c r="O1853" s="1"/>
      <c r="P1853" s="15"/>
      <c r="Q1853" s="15"/>
      <c r="R1853" s="1"/>
      <c r="S1853" s="1"/>
    </row>
    <row r="1854">
      <c r="A1854" s="1"/>
      <c r="B1854" s="3" t="str">
        <f t="shared" si="5"/>
        <v/>
      </c>
      <c r="C1854" s="31"/>
      <c r="D1854" s="37"/>
      <c r="E1854" s="37"/>
      <c r="F1854" s="1"/>
      <c r="G1854" s="37"/>
      <c r="H1854" s="46"/>
      <c r="I1854" s="37"/>
      <c r="J1854" s="17"/>
      <c r="K1854" s="17"/>
      <c r="L1854" s="37"/>
      <c r="M1854" s="37"/>
      <c r="N1854" s="17"/>
      <c r="O1854" s="1"/>
      <c r="P1854" s="15"/>
      <c r="Q1854" s="15"/>
      <c r="R1854" s="1"/>
      <c r="S1854" s="1"/>
    </row>
    <row r="1855">
      <c r="A1855" s="1"/>
      <c r="B1855" s="3" t="str">
        <f t="shared" si="5"/>
        <v/>
      </c>
      <c r="C1855" s="31"/>
      <c r="D1855" s="37"/>
      <c r="E1855" s="37"/>
      <c r="F1855" s="1"/>
      <c r="G1855" s="37"/>
      <c r="H1855" s="46"/>
      <c r="I1855" s="37"/>
      <c r="J1855" s="17"/>
      <c r="K1855" s="17"/>
      <c r="L1855" s="37"/>
      <c r="M1855" s="37"/>
      <c r="N1855" s="17"/>
      <c r="O1855" s="1"/>
      <c r="P1855" s="15"/>
      <c r="Q1855" s="15"/>
      <c r="R1855" s="1"/>
      <c r="S1855" s="1"/>
    </row>
    <row r="1856">
      <c r="A1856" s="1"/>
      <c r="B1856" s="3" t="str">
        <f t="shared" si="5"/>
        <v/>
      </c>
      <c r="C1856" s="31"/>
      <c r="D1856" s="37"/>
      <c r="E1856" s="37"/>
      <c r="F1856" s="1"/>
      <c r="G1856" s="37"/>
      <c r="H1856" s="46"/>
      <c r="I1856" s="37"/>
      <c r="J1856" s="17"/>
      <c r="K1856" s="17"/>
      <c r="L1856" s="37"/>
      <c r="M1856" s="37"/>
      <c r="N1856" s="17"/>
      <c r="O1856" s="1"/>
      <c r="P1856" s="15"/>
      <c r="Q1856" s="15"/>
      <c r="R1856" s="1"/>
      <c r="S1856" s="1"/>
    </row>
    <row r="1857">
      <c r="A1857" s="1"/>
      <c r="B1857" s="3" t="str">
        <f t="shared" si="5"/>
        <v/>
      </c>
      <c r="C1857" s="31"/>
      <c r="D1857" s="37"/>
      <c r="E1857" s="37"/>
      <c r="F1857" s="1"/>
      <c r="G1857" s="37"/>
      <c r="H1857" s="46"/>
      <c r="I1857" s="37"/>
      <c r="J1857" s="17"/>
      <c r="K1857" s="17"/>
      <c r="L1857" s="37"/>
      <c r="M1857" s="37"/>
      <c r="N1857" s="17"/>
      <c r="O1857" s="1"/>
      <c r="P1857" s="15"/>
      <c r="Q1857" s="15"/>
      <c r="R1857" s="1"/>
      <c r="S1857" s="1"/>
    </row>
    <row r="1858">
      <c r="A1858" s="1"/>
      <c r="B1858" s="3" t="str">
        <f t="shared" si="5"/>
        <v/>
      </c>
      <c r="C1858" s="31"/>
      <c r="D1858" s="37"/>
      <c r="E1858" s="37"/>
      <c r="F1858" s="1"/>
      <c r="G1858" s="37"/>
      <c r="H1858" s="46"/>
      <c r="I1858" s="37"/>
      <c r="J1858" s="17"/>
      <c r="K1858" s="17"/>
      <c r="L1858" s="37"/>
      <c r="M1858" s="37"/>
      <c r="N1858" s="17"/>
      <c r="O1858" s="1"/>
      <c r="P1858" s="15"/>
      <c r="Q1858" s="15"/>
      <c r="R1858" s="1"/>
      <c r="S1858" s="1"/>
    </row>
    <row r="1859">
      <c r="A1859" s="1"/>
      <c r="B1859" s="3" t="str">
        <f t="shared" si="5"/>
        <v/>
      </c>
      <c r="C1859" s="31"/>
      <c r="D1859" s="37"/>
      <c r="E1859" s="37"/>
      <c r="F1859" s="1"/>
      <c r="G1859" s="37"/>
      <c r="H1859" s="46"/>
      <c r="I1859" s="37"/>
      <c r="J1859" s="17"/>
      <c r="K1859" s="17"/>
      <c r="L1859" s="37"/>
      <c r="M1859" s="37"/>
      <c r="N1859" s="17"/>
      <c r="O1859" s="1"/>
      <c r="P1859" s="15"/>
      <c r="Q1859" s="15"/>
      <c r="R1859" s="1"/>
      <c r="S1859" s="1"/>
    </row>
    <row r="1860">
      <c r="A1860" s="1"/>
      <c r="B1860" s="3" t="str">
        <f t="shared" si="5"/>
        <v/>
      </c>
      <c r="C1860" s="31"/>
      <c r="D1860" s="37"/>
      <c r="E1860" s="37"/>
      <c r="F1860" s="1"/>
      <c r="G1860" s="37"/>
      <c r="H1860" s="46"/>
      <c r="I1860" s="37"/>
      <c r="J1860" s="17"/>
      <c r="K1860" s="17"/>
      <c r="L1860" s="37"/>
      <c r="M1860" s="37"/>
      <c r="N1860" s="17"/>
      <c r="O1860" s="1"/>
      <c r="P1860" s="15"/>
      <c r="Q1860" s="15"/>
      <c r="R1860" s="1"/>
      <c r="S1860" s="1"/>
    </row>
    <row r="1861">
      <c r="A1861" s="1"/>
      <c r="B1861" s="3" t="str">
        <f t="shared" si="5"/>
        <v/>
      </c>
      <c r="C1861" s="31"/>
      <c r="D1861" s="37"/>
      <c r="E1861" s="37"/>
      <c r="F1861" s="1"/>
      <c r="G1861" s="37"/>
      <c r="H1861" s="46"/>
      <c r="I1861" s="37"/>
      <c r="J1861" s="17"/>
      <c r="K1861" s="17"/>
      <c r="L1861" s="37"/>
      <c r="M1861" s="37"/>
      <c r="N1861" s="17"/>
      <c r="O1861" s="1"/>
      <c r="P1861" s="15"/>
      <c r="Q1861" s="15"/>
      <c r="R1861" s="1"/>
      <c r="S1861" s="1"/>
    </row>
    <row r="1862">
      <c r="A1862" s="1"/>
      <c r="B1862" s="3" t="str">
        <f t="shared" si="5"/>
        <v/>
      </c>
      <c r="C1862" s="31"/>
      <c r="D1862" s="37"/>
      <c r="E1862" s="37"/>
      <c r="F1862" s="1"/>
      <c r="G1862" s="37"/>
      <c r="H1862" s="46"/>
      <c r="I1862" s="37"/>
      <c r="J1862" s="17"/>
      <c r="K1862" s="17"/>
      <c r="L1862" s="37"/>
      <c r="M1862" s="37"/>
      <c r="N1862" s="17"/>
      <c r="O1862" s="1"/>
      <c r="P1862" s="15"/>
      <c r="Q1862" s="15"/>
      <c r="R1862" s="1"/>
      <c r="S1862" s="1"/>
    </row>
    <row r="1863">
      <c r="A1863" s="1"/>
      <c r="B1863" s="3" t="str">
        <f t="shared" si="5"/>
        <v/>
      </c>
      <c r="C1863" s="31"/>
      <c r="D1863" s="37"/>
      <c r="E1863" s="37"/>
      <c r="F1863" s="1"/>
      <c r="G1863" s="37"/>
      <c r="H1863" s="46"/>
      <c r="I1863" s="37"/>
      <c r="J1863" s="17"/>
      <c r="K1863" s="17"/>
      <c r="L1863" s="37"/>
      <c r="M1863" s="37"/>
      <c r="N1863" s="17"/>
      <c r="O1863" s="1"/>
      <c r="P1863" s="15"/>
      <c r="Q1863" s="15"/>
      <c r="R1863" s="1"/>
      <c r="S1863" s="1"/>
    </row>
    <row r="1864">
      <c r="A1864" s="1"/>
      <c r="B1864" s="3" t="str">
        <f t="shared" si="5"/>
        <v/>
      </c>
      <c r="C1864" s="31"/>
      <c r="D1864" s="37"/>
      <c r="E1864" s="37"/>
      <c r="F1864" s="1"/>
      <c r="G1864" s="37"/>
      <c r="H1864" s="46"/>
      <c r="I1864" s="37"/>
      <c r="J1864" s="17"/>
      <c r="K1864" s="17"/>
      <c r="L1864" s="37"/>
      <c r="M1864" s="37"/>
      <c r="N1864" s="17"/>
      <c r="O1864" s="1"/>
      <c r="P1864" s="15"/>
      <c r="Q1864" s="15"/>
      <c r="R1864" s="1"/>
      <c r="S1864" s="1"/>
    </row>
    <row r="1865">
      <c r="A1865" s="1"/>
      <c r="B1865" s="3" t="str">
        <f t="shared" si="5"/>
        <v/>
      </c>
      <c r="C1865" s="31"/>
      <c r="D1865" s="37"/>
      <c r="E1865" s="37"/>
      <c r="F1865" s="1"/>
      <c r="G1865" s="37"/>
      <c r="H1865" s="46"/>
      <c r="I1865" s="37"/>
      <c r="J1865" s="17"/>
      <c r="K1865" s="17"/>
      <c r="L1865" s="37"/>
      <c r="M1865" s="37"/>
      <c r="N1865" s="17"/>
      <c r="O1865" s="1"/>
      <c r="P1865" s="15"/>
      <c r="Q1865" s="15"/>
      <c r="R1865" s="1"/>
      <c r="S1865" s="1"/>
    </row>
    <row r="1866">
      <c r="A1866" s="1"/>
      <c r="B1866" s="3" t="str">
        <f t="shared" si="5"/>
        <v/>
      </c>
      <c r="C1866" s="31"/>
      <c r="D1866" s="37"/>
      <c r="E1866" s="37"/>
      <c r="F1866" s="1"/>
      <c r="G1866" s="37"/>
      <c r="H1866" s="46"/>
      <c r="I1866" s="37"/>
      <c r="J1866" s="17"/>
      <c r="K1866" s="17"/>
      <c r="L1866" s="37"/>
      <c r="M1866" s="37"/>
      <c r="N1866" s="17"/>
      <c r="O1866" s="1"/>
      <c r="P1866" s="15"/>
      <c r="Q1866" s="15"/>
      <c r="R1866" s="1"/>
      <c r="S1866" s="1"/>
    </row>
    <row r="1867">
      <c r="A1867" s="1"/>
      <c r="B1867" s="3" t="str">
        <f t="shared" si="5"/>
        <v/>
      </c>
      <c r="C1867" s="31"/>
      <c r="D1867" s="37"/>
      <c r="E1867" s="37"/>
      <c r="F1867" s="1"/>
      <c r="G1867" s="37"/>
      <c r="H1867" s="46"/>
      <c r="I1867" s="37"/>
      <c r="J1867" s="17"/>
      <c r="K1867" s="17"/>
      <c r="L1867" s="37"/>
      <c r="M1867" s="37"/>
      <c r="N1867" s="17"/>
      <c r="O1867" s="1"/>
      <c r="P1867" s="15"/>
      <c r="Q1867" s="15"/>
      <c r="R1867" s="1"/>
      <c r="S1867" s="1"/>
    </row>
    <row r="1868">
      <c r="A1868" s="1"/>
      <c r="B1868" s="3" t="str">
        <f t="shared" si="5"/>
        <v/>
      </c>
      <c r="C1868" s="31"/>
      <c r="D1868" s="37"/>
      <c r="E1868" s="37"/>
      <c r="F1868" s="1"/>
      <c r="G1868" s="37"/>
      <c r="H1868" s="46"/>
      <c r="I1868" s="37"/>
      <c r="J1868" s="17"/>
      <c r="K1868" s="17"/>
      <c r="L1868" s="37"/>
      <c r="M1868" s="37"/>
      <c r="N1868" s="17"/>
      <c r="O1868" s="1"/>
      <c r="P1868" s="15"/>
      <c r="Q1868" s="15"/>
      <c r="R1868" s="1"/>
      <c r="S1868" s="1"/>
    </row>
    <row r="1869">
      <c r="A1869" s="1"/>
      <c r="B1869" s="3" t="str">
        <f t="shared" si="5"/>
        <v/>
      </c>
      <c r="C1869" s="31"/>
      <c r="D1869" s="37"/>
      <c r="E1869" s="37"/>
      <c r="F1869" s="1"/>
      <c r="G1869" s="37"/>
      <c r="H1869" s="46"/>
      <c r="I1869" s="37"/>
      <c r="J1869" s="17"/>
      <c r="K1869" s="17"/>
      <c r="L1869" s="37"/>
      <c r="M1869" s="37"/>
      <c r="N1869" s="17"/>
      <c r="O1869" s="1"/>
      <c r="P1869" s="15"/>
      <c r="Q1869" s="15"/>
      <c r="R1869" s="1"/>
      <c r="S1869" s="1"/>
    </row>
    <row r="1870">
      <c r="A1870" s="1"/>
      <c r="B1870" s="3" t="str">
        <f t="shared" si="5"/>
        <v/>
      </c>
      <c r="C1870" s="31"/>
      <c r="D1870" s="37"/>
      <c r="E1870" s="37"/>
      <c r="F1870" s="1"/>
      <c r="G1870" s="37"/>
      <c r="H1870" s="46"/>
      <c r="I1870" s="37"/>
      <c r="J1870" s="17"/>
      <c r="K1870" s="17"/>
      <c r="L1870" s="37"/>
      <c r="M1870" s="37"/>
      <c r="N1870" s="17"/>
      <c r="O1870" s="1"/>
      <c r="P1870" s="15"/>
      <c r="Q1870" s="15"/>
      <c r="R1870" s="1"/>
      <c r="S1870" s="1"/>
    </row>
    <row r="1871">
      <c r="A1871" s="1"/>
      <c r="B1871" s="3" t="str">
        <f t="shared" si="5"/>
        <v/>
      </c>
      <c r="C1871" s="31"/>
      <c r="D1871" s="37"/>
      <c r="E1871" s="37"/>
      <c r="F1871" s="1"/>
      <c r="G1871" s="37"/>
      <c r="H1871" s="46"/>
      <c r="I1871" s="37"/>
      <c r="J1871" s="17"/>
      <c r="K1871" s="17"/>
      <c r="L1871" s="37"/>
      <c r="M1871" s="37"/>
      <c r="N1871" s="17"/>
      <c r="O1871" s="1"/>
      <c r="P1871" s="15"/>
      <c r="Q1871" s="15"/>
      <c r="R1871" s="1"/>
      <c r="S1871" s="1"/>
    </row>
    <row r="1872">
      <c r="A1872" s="1"/>
      <c r="B1872" s="3" t="str">
        <f t="shared" si="5"/>
        <v/>
      </c>
      <c r="C1872" s="31"/>
      <c r="D1872" s="37"/>
      <c r="E1872" s="37"/>
      <c r="F1872" s="1"/>
      <c r="G1872" s="37"/>
      <c r="H1872" s="46"/>
      <c r="I1872" s="37"/>
      <c r="J1872" s="17"/>
      <c r="K1872" s="17"/>
      <c r="L1872" s="37"/>
      <c r="M1872" s="37"/>
      <c r="N1872" s="17"/>
      <c r="O1872" s="1"/>
      <c r="P1872" s="15"/>
      <c r="Q1872" s="15"/>
      <c r="R1872" s="1"/>
      <c r="S1872" s="1"/>
    </row>
    <row r="1873">
      <c r="A1873" s="1"/>
      <c r="B1873" s="3" t="str">
        <f t="shared" si="5"/>
        <v/>
      </c>
      <c r="C1873" s="31"/>
      <c r="D1873" s="37"/>
      <c r="E1873" s="37"/>
      <c r="F1873" s="1"/>
      <c r="G1873" s="37"/>
      <c r="H1873" s="46"/>
      <c r="I1873" s="37"/>
      <c r="J1873" s="17"/>
      <c r="K1873" s="17"/>
      <c r="L1873" s="37"/>
      <c r="M1873" s="37"/>
      <c r="N1873" s="17"/>
      <c r="O1873" s="1"/>
      <c r="P1873" s="15"/>
      <c r="Q1873" s="15"/>
      <c r="R1873" s="1"/>
      <c r="S1873" s="1"/>
    </row>
    <row r="1874">
      <c r="A1874" s="1"/>
      <c r="B1874" s="3" t="str">
        <f t="shared" si="5"/>
        <v/>
      </c>
      <c r="C1874" s="31"/>
      <c r="D1874" s="37"/>
      <c r="E1874" s="37"/>
      <c r="F1874" s="1"/>
      <c r="G1874" s="37"/>
      <c r="H1874" s="46"/>
      <c r="I1874" s="37"/>
      <c r="J1874" s="17"/>
      <c r="K1874" s="17"/>
      <c r="L1874" s="37"/>
      <c r="M1874" s="37"/>
      <c r="N1874" s="17"/>
      <c r="O1874" s="1"/>
      <c r="P1874" s="15"/>
      <c r="Q1874" s="15"/>
      <c r="R1874" s="1"/>
      <c r="S1874" s="1"/>
    </row>
    <row r="1875">
      <c r="A1875" s="1"/>
      <c r="B1875" s="3" t="str">
        <f t="shared" si="5"/>
        <v/>
      </c>
      <c r="C1875" s="31"/>
      <c r="D1875" s="37"/>
      <c r="E1875" s="37"/>
      <c r="F1875" s="1"/>
      <c r="G1875" s="37"/>
      <c r="H1875" s="46"/>
      <c r="I1875" s="37"/>
      <c r="J1875" s="17"/>
      <c r="K1875" s="17"/>
      <c r="L1875" s="37"/>
      <c r="M1875" s="37"/>
      <c r="N1875" s="17"/>
      <c r="O1875" s="1"/>
      <c r="P1875" s="15"/>
      <c r="Q1875" s="15"/>
      <c r="R1875" s="1"/>
      <c r="S1875" s="1"/>
    </row>
    <row r="1876">
      <c r="A1876" s="1"/>
      <c r="B1876" s="3" t="str">
        <f t="shared" si="5"/>
        <v/>
      </c>
      <c r="C1876" s="31"/>
      <c r="D1876" s="37"/>
      <c r="E1876" s="37"/>
      <c r="F1876" s="1"/>
      <c r="G1876" s="37"/>
      <c r="H1876" s="46"/>
      <c r="I1876" s="37"/>
      <c r="J1876" s="17"/>
      <c r="K1876" s="17"/>
      <c r="L1876" s="37"/>
      <c r="M1876" s="37"/>
      <c r="N1876" s="17"/>
      <c r="O1876" s="1"/>
      <c r="P1876" s="15"/>
      <c r="Q1876" s="15"/>
      <c r="R1876" s="1"/>
      <c r="S1876" s="1"/>
    </row>
    <row r="1877">
      <c r="A1877" s="1"/>
      <c r="B1877" s="3" t="str">
        <f t="shared" si="5"/>
        <v/>
      </c>
      <c r="C1877" s="31"/>
      <c r="D1877" s="37"/>
      <c r="E1877" s="37"/>
      <c r="F1877" s="1"/>
      <c r="G1877" s="37"/>
      <c r="H1877" s="46"/>
      <c r="I1877" s="37"/>
      <c r="J1877" s="17"/>
      <c r="K1877" s="17"/>
      <c r="L1877" s="37"/>
      <c r="M1877" s="37"/>
      <c r="N1877" s="17"/>
      <c r="O1877" s="1"/>
      <c r="P1877" s="15"/>
      <c r="Q1877" s="15"/>
      <c r="R1877" s="1"/>
      <c r="S1877" s="1"/>
    </row>
    <row r="1878">
      <c r="A1878" s="1"/>
      <c r="B1878" s="3" t="str">
        <f t="shared" si="5"/>
        <v/>
      </c>
      <c r="C1878" s="31"/>
      <c r="D1878" s="37"/>
      <c r="E1878" s="37"/>
      <c r="F1878" s="1"/>
      <c r="G1878" s="37"/>
      <c r="H1878" s="46"/>
      <c r="I1878" s="37"/>
      <c r="J1878" s="17"/>
      <c r="K1878" s="17"/>
      <c r="L1878" s="37"/>
      <c r="M1878" s="37"/>
      <c r="N1878" s="17"/>
      <c r="O1878" s="1"/>
      <c r="P1878" s="15"/>
      <c r="Q1878" s="15"/>
      <c r="R1878" s="1"/>
      <c r="S1878" s="1"/>
    </row>
    <row r="1879">
      <c r="A1879" s="1"/>
      <c r="B1879" s="3" t="str">
        <f t="shared" si="5"/>
        <v/>
      </c>
      <c r="C1879" s="31"/>
      <c r="D1879" s="37"/>
      <c r="E1879" s="37"/>
      <c r="F1879" s="1"/>
      <c r="G1879" s="37"/>
      <c r="H1879" s="46"/>
      <c r="I1879" s="37"/>
      <c r="J1879" s="17"/>
      <c r="K1879" s="17"/>
      <c r="L1879" s="37"/>
      <c r="M1879" s="37"/>
      <c r="N1879" s="17"/>
      <c r="O1879" s="1"/>
      <c r="P1879" s="15"/>
      <c r="Q1879" s="15"/>
      <c r="R1879" s="1"/>
      <c r="S1879" s="1"/>
    </row>
    <row r="1880">
      <c r="A1880" s="1"/>
      <c r="B1880" s="3" t="str">
        <f t="shared" si="5"/>
        <v/>
      </c>
      <c r="C1880" s="31"/>
      <c r="D1880" s="37"/>
      <c r="E1880" s="37"/>
      <c r="F1880" s="1"/>
      <c r="G1880" s="37"/>
      <c r="H1880" s="46"/>
      <c r="I1880" s="37"/>
      <c r="J1880" s="17"/>
      <c r="K1880" s="17"/>
      <c r="L1880" s="37"/>
      <c r="M1880" s="37"/>
      <c r="N1880" s="17"/>
      <c r="O1880" s="1"/>
      <c r="P1880" s="15"/>
      <c r="Q1880" s="15"/>
      <c r="R1880" s="1"/>
      <c r="S1880" s="1"/>
    </row>
    <row r="1881">
      <c r="A1881" s="1"/>
      <c r="B1881" s="3" t="str">
        <f t="shared" si="5"/>
        <v/>
      </c>
      <c r="C1881" s="31"/>
      <c r="D1881" s="37"/>
      <c r="E1881" s="37"/>
      <c r="F1881" s="1"/>
      <c r="G1881" s="37"/>
      <c r="H1881" s="46"/>
      <c r="I1881" s="37"/>
      <c r="J1881" s="17"/>
      <c r="K1881" s="17"/>
      <c r="L1881" s="37"/>
      <c r="M1881" s="37"/>
      <c r="N1881" s="17"/>
      <c r="O1881" s="1"/>
      <c r="P1881" s="15"/>
      <c r="Q1881" s="15"/>
      <c r="R1881" s="1"/>
      <c r="S1881" s="1"/>
    </row>
    <row r="1882">
      <c r="A1882" s="1"/>
      <c r="B1882" s="3" t="str">
        <f t="shared" si="5"/>
        <v/>
      </c>
      <c r="C1882" s="31"/>
      <c r="D1882" s="37"/>
      <c r="E1882" s="37"/>
      <c r="F1882" s="1"/>
      <c r="G1882" s="37"/>
      <c r="H1882" s="46"/>
      <c r="I1882" s="37"/>
      <c r="J1882" s="17"/>
      <c r="K1882" s="17"/>
      <c r="L1882" s="37"/>
      <c r="M1882" s="37"/>
      <c r="N1882" s="17"/>
      <c r="O1882" s="1"/>
      <c r="P1882" s="15"/>
      <c r="Q1882" s="15"/>
      <c r="R1882" s="1"/>
      <c r="S1882" s="1"/>
    </row>
    <row r="1883">
      <c r="A1883" s="1"/>
      <c r="B1883" s="3" t="str">
        <f t="shared" si="5"/>
        <v/>
      </c>
      <c r="C1883" s="31"/>
      <c r="D1883" s="37"/>
      <c r="E1883" s="37"/>
      <c r="F1883" s="1"/>
      <c r="G1883" s="37"/>
      <c r="H1883" s="46"/>
      <c r="I1883" s="37"/>
      <c r="J1883" s="17"/>
      <c r="K1883" s="17"/>
      <c r="L1883" s="37"/>
      <c r="M1883" s="37"/>
      <c r="N1883" s="17"/>
      <c r="O1883" s="1"/>
      <c r="P1883" s="15"/>
      <c r="Q1883" s="15"/>
      <c r="R1883" s="1"/>
      <c r="S1883" s="1"/>
    </row>
    <row r="1884">
      <c r="A1884" s="1"/>
      <c r="B1884" s="3" t="str">
        <f t="shared" si="5"/>
        <v/>
      </c>
      <c r="C1884" s="31"/>
      <c r="D1884" s="37"/>
      <c r="E1884" s="37"/>
      <c r="F1884" s="1"/>
      <c r="G1884" s="37"/>
      <c r="H1884" s="46"/>
      <c r="I1884" s="37"/>
      <c r="J1884" s="17"/>
      <c r="K1884" s="17"/>
      <c r="L1884" s="37"/>
      <c r="M1884" s="37"/>
      <c r="N1884" s="17"/>
      <c r="O1884" s="1"/>
      <c r="P1884" s="15"/>
      <c r="Q1884" s="15"/>
      <c r="R1884" s="1"/>
      <c r="S1884" s="1"/>
    </row>
    <row r="1885">
      <c r="A1885" s="1"/>
      <c r="B1885" s="3" t="str">
        <f t="shared" si="5"/>
        <v/>
      </c>
      <c r="C1885" s="31"/>
      <c r="D1885" s="37"/>
      <c r="E1885" s="37"/>
      <c r="F1885" s="1"/>
      <c r="G1885" s="37"/>
      <c r="H1885" s="46"/>
      <c r="I1885" s="37"/>
      <c r="J1885" s="17"/>
      <c r="K1885" s="17"/>
      <c r="L1885" s="37"/>
      <c r="M1885" s="37"/>
      <c r="N1885" s="17"/>
      <c r="O1885" s="1"/>
      <c r="P1885" s="15"/>
      <c r="Q1885" s="15"/>
      <c r="R1885" s="1"/>
      <c r="S1885" s="1"/>
    </row>
    <row r="1886">
      <c r="A1886" s="1"/>
      <c r="B1886" s="3" t="str">
        <f t="shared" si="5"/>
        <v/>
      </c>
      <c r="C1886" s="31"/>
      <c r="D1886" s="37"/>
      <c r="E1886" s="37"/>
      <c r="F1886" s="1"/>
      <c r="G1886" s="37"/>
      <c r="H1886" s="46"/>
      <c r="I1886" s="37"/>
      <c r="J1886" s="17"/>
      <c r="K1886" s="17"/>
      <c r="L1886" s="37"/>
      <c r="M1886" s="37"/>
      <c r="N1886" s="17"/>
      <c r="O1886" s="1"/>
      <c r="P1886" s="15"/>
      <c r="Q1886" s="15"/>
      <c r="R1886" s="1"/>
      <c r="S1886" s="1"/>
    </row>
    <row r="1887">
      <c r="A1887" s="1"/>
      <c r="B1887" s="3" t="str">
        <f t="shared" si="5"/>
        <v/>
      </c>
      <c r="C1887" s="31"/>
      <c r="D1887" s="37"/>
      <c r="E1887" s="37"/>
      <c r="F1887" s="1"/>
      <c r="G1887" s="37"/>
      <c r="H1887" s="46"/>
      <c r="I1887" s="37"/>
      <c r="J1887" s="17"/>
      <c r="K1887" s="17"/>
      <c r="L1887" s="37"/>
      <c r="M1887" s="37"/>
      <c r="N1887" s="17"/>
      <c r="O1887" s="1"/>
      <c r="P1887" s="15"/>
      <c r="Q1887" s="15"/>
      <c r="R1887" s="1"/>
      <c r="S1887" s="1"/>
    </row>
    <row r="1888">
      <c r="A1888" s="1"/>
      <c r="B1888" s="3" t="str">
        <f t="shared" si="5"/>
        <v/>
      </c>
      <c r="C1888" s="31"/>
      <c r="D1888" s="37"/>
      <c r="E1888" s="37"/>
      <c r="F1888" s="1"/>
      <c r="G1888" s="37"/>
      <c r="H1888" s="46"/>
      <c r="I1888" s="37"/>
      <c r="J1888" s="17"/>
      <c r="K1888" s="17"/>
      <c r="L1888" s="37"/>
      <c r="M1888" s="37"/>
      <c r="N1888" s="17"/>
      <c r="O1888" s="1"/>
      <c r="P1888" s="15"/>
      <c r="Q1888" s="15"/>
      <c r="R1888" s="1"/>
      <c r="S1888" s="1"/>
    </row>
    <row r="1889">
      <c r="A1889" s="1"/>
      <c r="B1889" s="3" t="str">
        <f t="shared" si="5"/>
        <v/>
      </c>
      <c r="C1889" s="31"/>
      <c r="D1889" s="37"/>
      <c r="E1889" s="37"/>
      <c r="F1889" s="1"/>
      <c r="G1889" s="37"/>
      <c r="H1889" s="46"/>
      <c r="I1889" s="37"/>
      <c r="J1889" s="17"/>
      <c r="K1889" s="17"/>
      <c r="L1889" s="37"/>
      <c r="M1889" s="37"/>
      <c r="N1889" s="17"/>
      <c r="O1889" s="1"/>
      <c r="P1889" s="15"/>
      <c r="Q1889" s="15"/>
      <c r="R1889" s="1"/>
      <c r="S1889" s="1"/>
    </row>
    <row r="1890">
      <c r="A1890" s="1"/>
      <c r="B1890" s="3" t="str">
        <f t="shared" si="5"/>
        <v/>
      </c>
      <c r="C1890" s="31"/>
      <c r="D1890" s="37"/>
      <c r="E1890" s="37"/>
      <c r="F1890" s="1"/>
      <c r="G1890" s="37"/>
      <c r="H1890" s="46"/>
      <c r="I1890" s="37"/>
      <c r="J1890" s="17"/>
      <c r="K1890" s="17"/>
      <c r="L1890" s="37"/>
      <c r="M1890" s="37"/>
      <c r="N1890" s="17"/>
      <c r="O1890" s="1"/>
      <c r="P1890" s="15"/>
      <c r="Q1890" s="15"/>
      <c r="R1890" s="1"/>
      <c r="S1890" s="1"/>
    </row>
    <row r="1891">
      <c r="A1891" s="1"/>
      <c r="B1891" s="3" t="str">
        <f t="shared" si="5"/>
        <v/>
      </c>
      <c r="C1891" s="31"/>
      <c r="D1891" s="37"/>
      <c r="E1891" s="37"/>
      <c r="F1891" s="1"/>
      <c r="G1891" s="37"/>
      <c r="H1891" s="46"/>
      <c r="I1891" s="37"/>
      <c r="J1891" s="17"/>
      <c r="K1891" s="17"/>
      <c r="L1891" s="37"/>
      <c r="M1891" s="37"/>
      <c r="N1891" s="17"/>
      <c r="O1891" s="1"/>
      <c r="P1891" s="15"/>
      <c r="Q1891" s="15"/>
      <c r="R1891" s="1"/>
      <c r="S1891" s="1"/>
    </row>
    <row r="1892">
      <c r="A1892" s="1"/>
      <c r="B1892" s="3" t="str">
        <f t="shared" si="5"/>
        <v/>
      </c>
      <c r="C1892" s="31"/>
      <c r="D1892" s="37"/>
      <c r="E1892" s="37"/>
      <c r="F1892" s="1"/>
      <c r="G1892" s="37"/>
      <c r="H1892" s="46"/>
      <c r="I1892" s="37"/>
      <c r="J1892" s="17"/>
      <c r="K1892" s="17"/>
      <c r="L1892" s="37"/>
      <c r="M1892" s="37"/>
      <c r="N1892" s="17"/>
      <c r="O1892" s="1"/>
      <c r="P1892" s="15"/>
      <c r="Q1892" s="15"/>
      <c r="R1892" s="1"/>
      <c r="S1892" s="1"/>
    </row>
    <row r="1893">
      <c r="A1893" s="1"/>
      <c r="B1893" s="3" t="str">
        <f t="shared" si="5"/>
        <v/>
      </c>
      <c r="C1893" s="31"/>
      <c r="D1893" s="37"/>
      <c r="E1893" s="37"/>
      <c r="F1893" s="1"/>
      <c r="G1893" s="37"/>
      <c r="H1893" s="46"/>
      <c r="I1893" s="37"/>
      <c r="J1893" s="17"/>
      <c r="K1893" s="17"/>
      <c r="L1893" s="37"/>
      <c r="M1893" s="37"/>
      <c r="N1893" s="17"/>
      <c r="O1893" s="1"/>
      <c r="P1893" s="15"/>
      <c r="Q1893" s="15"/>
      <c r="R1893" s="1"/>
      <c r="S1893" s="1"/>
    </row>
    <row r="1894">
      <c r="A1894" s="1"/>
      <c r="B1894" s="3" t="str">
        <f t="shared" si="5"/>
        <v/>
      </c>
      <c r="C1894" s="31"/>
      <c r="D1894" s="37"/>
      <c r="E1894" s="37"/>
      <c r="F1894" s="1"/>
      <c r="G1894" s="37"/>
      <c r="H1894" s="46"/>
      <c r="I1894" s="37"/>
      <c r="J1894" s="17"/>
      <c r="K1894" s="17"/>
      <c r="L1894" s="37"/>
      <c r="M1894" s="37"/>
      <c r="N1894" s="17"/>
      <c r="O1894" s="1"/>
      <c r="P1894" s="15"/>
      <c r="Q1894" s="15"/>
      <c r="R1894" s="1"/>
      <c r="S1894" s="1"/>
    </row>
    <row r="1895">
      <c r="A1895" s="1"/>
      <c r="B1895" s="3" t="str">
        <f t="shared" si="5"/>
        <v/>
      </c>
      <c r="C1895" s="31"/>
      <c r="D1895" s="37"/>
      <c r="E1895" s="37"/>
      <c r="F1895" s="1"/>
      <c r="G1895" s="37"/>
      <c r="H1895" s="46"/>
      <c r="I1895" s="37"/>
      <c r="J1895" s="17"/>
      <c r="K1895" s="17"/>
      <c r="L1895" s="37"/>
      <c r="M1895" s="37"/>
      <c r="N1895" s="17"/>
      <c r="O1895" s="1"/>
      <c r="P1895" s="15"/>
      <c r="Q1895" s="15"/>
      <c r="R1895" s="1"/>
      <c r="S1895" s="1"/>
    </row>
    <row r="1896">
      <c r="A1896" s="1"/>
      <c r="B1896" s="3" t="str">
        <f t="shared" si="5"/>
        <v/>
      </c>
      <c r="C1896" s="31"/>
      <c r="D1896" s="37"/>
      <c r="E1896" s="37"/>
      <c r="F1896" s="1"/>
      <c r="G1896" s="37"/>
      <c r="H1896" s="46"/>
      <c r="I1896" s="37"/>
      <c r="J1896" s="17"/>
      <c r="K1896" s="17"/>
      <c r="L1896" s="37"/>
      <c r="M1896" s="37"/>
      <c r="N1896" s="17"/>
      <c r="O1896" s="1"/>
      <c r="P1896" s="15"/>
      <c r="Q1896" s="15"/>
      <c r="R1896" s="1"/>
      <c r="S1896" s="1"/>
    </row>
    <row r="1897">
      <c r="A1897" s="1"/>
      <c r="B1897" s="3" t="str">
        <f t="shared" si="5"/>
        <v/>
      </c>
      <c r="C1897" s="31"/>
      <c r="D1897" s="37"/>
      <c r="E1897" s="37"/>
      <c r="F1897" s="1"/>
      <c r="G1897" s="37"/>
      <c r="H1897" s="46"/>
      <c r="I1897" s="37"/>
      <c r="J1897" s="17"/>
      <c r="K1897" s="17"/>
      <c r="L1897" s="37"/>
      <c r="M1897" s="37"/>
      <c r="N1897" s="17"/>
      <c r="O1897" s="1"/>
      <c r="P1897" s="15"/>
      <c r="Q1897" s="15"/>
      <c r="R1897" s="1"/>
      <c r="S1897" s="1"/>
    </row>
    <row r="1898">
      <c r="A1898" s="1"/>
      <c r="B1898" s="3" t="str">
        <f t="shared" si="5"/>
        <v/>
      </c>
      <c r="C1898" s="31"/>
      <c r="D1898" s="37"/>
      <c r="E1898" s="37"/>
      <c r="F1898" s="1"/>
      <c r="G1898" s="37"/>
      <c r="H1898" s="46"/>
      <c r="I1898" s="37"/>
      <c r="J1898" s="17"/>
      <c r="K1898" s="17"/>
      <c r="L1898" s="37"/>
      <c r="M1898" s="37"/>
      <c r="N1898" s="17"/>
      <c r="O1898" s="1"/>
      <c r="P1898" s="15"/>
      <c r="Q1898" s="15"/>
      <c r="R1898" s="1"/>
      <c r="S1898" s="1"/>
    </row>
    <row r="1899">
      <c r="A1899" s="1"/>
      <c r="B1899" s="3" t="str">
        <f t="shared" si="5"/>
        <v/>
      </c>
      <c r="C1899" s="31"/>
      <c r="D1899" s="37"/>
      <c r="E1899" s="37"/>
      <c r="F1899" s="1"/>
      <c r="G1899" s="37"/>
      <c r="H1899" s="46"/>
      <c r="I1899" s="37"/>
      <c r="J1899" s="17"/>
      <c r="K1899" s="17"/>
      <c r="L1899" s="37"/>
      <c r="M1899" s="37"/>
      <c r="N1899" s="17"/>
      <c r="O1899" s="1"/>
      <c r="P1899" s="15"/>
      <c r="Q1899" s="15"/>
      <c r="R1899" s="1"/>
      <c r="S1899" s="1"/>
    </row>
    <row r="1900">
      <c r="A1900" s="1"/>
      <c r="B1900" s="3" t="str">
        <f t="shared" si="5"/>
        <v/>
      </c>
      <c r="C1900" s="31"/>
      <c r="D1900" s="37"/>
      <c r="E1900" s="37"/>
      <c r="F1900" s="1"/>
      <c r="G1900" s="37"/>
      <c r="H1900" s="46"/>
      <c r="I1900" s="37"/>
      <c r="J1900" s="17"/>
      <c r="K1900" s="17"/>
      <c r="L1900" s="37"/>
      <c r="M1900" s="37"/>
      <c r="N1900" s="17"/>
      <c r="O1900" s="1"/>
      <c r="P1900" s="15"/>
      <c r="Q1900" s="15"/>
      <c r="R1900" s="1"/>
      <c r="S1900" s="1"/>
    </row>
    <row r="1901">
      <c r="A1901" s="1"/>
      <c r="B1901" s="3" t="str">
        <f t="shared" si="5"/>
        <v/>
      </c>
      <c r="C1901" s="31"/>
      <c r="D1901" s="37"/>
      <c r="E1901" s="37"/>
      <c r="F1901" s="1"/>
      <c r="G1901" s="37"/>
      <c r="H1901" s="46"/>
      <c r="I1901" s="37"/>
      <c r="J1901" s="17"/>
      <c r="K1901" s="17"/>
      <c r="L1901" s="37"/>
      <c r="M1901" s="37"/>
      <c r="N1901" s="17"/>
      <c r="O1901" s="1"/>
      <c r="P1901" s="15"/>
      <c r="Q1901" s="15"/>
      <c r="R1901" s="1"/>
      <c r="S1901" s="1"/>
    </row>
    <row r="1902">
      <c r="A1902" s="1"/>
      <c r="B1902" s="3" t="str">
        <f t="shared" si="5"/>
        <v/>
      </c>
      <c r="C1902" s="31"/>
      <c r="D1902" s="37"/>
      <c r="E1902" s="37"/>
      <c r="F1902" s="1"/>
      <c r="G1902" s="37"/>
      <c r="H1902" s="46"/>
      <c r="I1902" s="37"/>
      <c r="J1902" s="17"/>
      <c r="K1902" s="17"/>
      <c r="L1902" s="37"/>
      <c r="M1902" s="37"/>
      <c r="N1902" s="17"/>
      <c r="O1902" s="1"/>
      <c r="P1902" s="15"/>
      <c r="Q1902" s="15"/>
      <c r="R1902" s="1"/>
      <c r="S1902" s="1"/>
    </row>
    <row r="1903">
      <c r="A1903" s="1"/>
      <c r="B1903" s="3" t="str">
        <f t="shared" si="5"/>
        <v/>
      </c>
      <c r="C1903" s="31"/>
      <c r="D1903" s="37"/>
      <c r="E1903" s="37"/>
      <c r="F1903" s="1"/>
      <c r="G1903" s="37"/>
      <c r="H1903" s="46"/>
      <c r="I1903" s="37"/>
      <c r="J1903" s="17"/>
      <c r="K1903" s="17"/>
      <c r="L1903" s="37"/>
      <c r="M1903" s="37"/>
      <c r="N1903" s="17"/>
      <c r="O1903" s="1"/>
      <c r="P1903" s="15"/>
      <c r="Q1903" s="15"/>
      <c r="R1903" s="1"/>
      <c r="S1903" s="1"/>
    </row>
    <row r="1904">
      <c r="A1904" s="1"/>
      <c r="B1904" s="3" t="str">
        <f t="shared" si="5"/>
        <v/>
      </c>
      <c r="C1904" s="31"/>
      <c r="D1904" s="37"/>
      <c r="E1904" s="37"/>
      <c r="F1904" s="1"/>
      <c r="G1904" s="37"/>
      <c r="H1904" s="46"/>
      <c r="I1904" s="37"/>
      <c r="J1904" s="17"/>
      <c r="K1904" s="17"/>
      <c r="L1904" s="37"/>
      <c r="M1904" s="37"/>
      <c r="N1904" s="17"/>
      <c r="O1904" s="1"/>
      <c r="P1904" s="15"/>
      <c r="Q1904" s="15"/>
      <c r="R1904" s="1"/>
      <c r="S1904" s="1"/>
    </row>
    <row r="1905">
      <c r="A1905" s="1"/>
      <c r="B1905" s="3" t="str">
        <f t="shared" si="5"/>
        <v/>
      </c>
      <c r="C1905" s="31"/>
      <c r="D1905" s="37"/>
      <c r="E1905" s="37"/>
      <c r="F1905" s="1"/>
      <c r="G1905" s="37"/>
      <c r="H1905" s="46"/>
      <c r="I1905" s="37"/>
      <c r="J1905" s="17"/>
      <c r="K1905" s="17"/>
      <c r="L1905" s="37"/>
      <c r="M1905" s="37"/>
      <c r="N1905" s="17"/>
      <c r="O1905" s="1"/>
      <c r="P1905" s="15"/>
      <c r="Q1905" s="15"/>
      <c r="R1905" s="1"/>
      <c r="S1905" s="1"/>
    </row>
    <row r="1906">
      <c r="A1906" s="1"/>
      <c r="B1906" s="3" t="str">
        <f t="shared" si="5"/>
        <v/>
      </c>
      <c r="C1906" s="31"/>
      <c r="D1906" s="37"/>
      <c r="E1906" s="37"/>
      <c r="F1906" s="1"/>
      <c r="G1906" s="37"/>
      <c r="H1906" s="46"/>
      <c r="I1906" s="37"/>
      <c r="J1906" s="17"/>
      <c r="K1906" s="17"/>
      <c r="L1906" s="37"/>
      <c r="M1906" s="37"/>
      <c r="N1906" s="17"/>
      <c r="O1906" s="1"/>
      <c r="P1906" s="15"/>
      <c r="Q1906" s="15"/>
      <c r="R1906" s="1"/>
      <c r="S1906" s="1"/>
    </row>
    <row r="1907">
      <c r="A1907" s="1"/>
      <c r="B1907" s="3" t="str">
        <f t="shared" si="5"/>
        <v/>
      </c>
      <c r="C1907" s="31"/>
      <c r="D1907" s="37"/>
      <c r="E1907" s="37"/>
      <c r="F1907" s="1"/>
      <c r="G1907" s="37"/>
      <c r="H1907" s="46"/>
      <c r="I1907" s="37"/>
      <c r="J1907" s="17"/>
      <c r="K1907" s="17"/>
      <c r="L1907" s="37"/>
      <c r="M1907" s="37"/>
      <c r="N1907" s="17"/>
      <c r="O1907" s="1"/>
      <c r="P1907" s="15"/>
      <c r="Q1907" s="15"/>
      <c r="R1907" s="1"/>
      <c r="S1907" s="1"/>
    </row>
    <row r="1908">
      <c r="A1908" s="1"/>
      <c r="B1908" s="3" t="str">
        <f t="shared" si="5"/>
        <v/>
      </c>
      <c r="C1908" s="31"/>
      <c r="D1908" s="37"/>
      <c r="E1908" s="37"/>
      <c r="F1908" s="1"/>
      <c r="G1908" s="37"/>
      <c r="H1908" s="46"/>
      <c r="I1908" s="37"/>
      <c r="J1908" s="17"/>
      <c r="K1908" s="17"/>
      <c r="L1908" s="37"/>
      <c r="M1908" s="37"/>
      <c r="N1908" s="17"/>
      <c r="O1908" s="1"/>
      <c r="P1908" s="15"/>
      <c r="Q1908" s="15"/>
      <c r="R1908" s="1"/>
      <c r="S1908" s="1"/>
    </row>
    <row r="1909">
      <c r="A1909" s="1"/>
      <c r="B1909" s="3" t="str">
        <f t="shared" si="5"/>
        <v/>
      </c>
      <c r="C1909" s="31"/>
      <c r="D1909" s="37"/>
      <c r="E1909" s="37"/>
      <c r="F1909" s="1"/>
      <c r="G1909" s="37"/>
      <c r="H1909" s="46"/>
      <c r="I1909" s="37"/>
      <c r="J1909" s="17"/>
      <c r="K1909" s="17"/>
      <c r="L1909" s="37"/>
      <c r="M1909" s="37"/>
      <c r="N1909" s="17"/>
      <c r="O1909" s="1"/>
      <c r="P1909" s="15"/>
      <c r="Q1909" s="15"/>
      <c r="R1909" s="1"/>
      <c r="S1909" s="1"/>
    </row>
    <row r="1910">
      <c r="A1910" s="1"/>
      <c r="B1910" s="3" t="str">
        <f t="shared" si="5"/>
        <v/>
      </c>
      <c r="C1910" s="31"/>
      <c r="D1910" s="37"/>
      <c r="E1910" s="37"/>
      <c r="F1910" s="1"/>
      <c r="G1910" s="37"/>
      <c r="H1910" s="46"/>
      <c r="I1910" s="37"/>
      <c r="J1910" s="17"/>
      <c r="K1910" s="17"/>
      <c r="L1910" s="37"/>
      <c r="M1910" s="37"/>
      <c r="N1910" s="17"/>
      <c r="O1910" s="1"/>
      <c r="P1910" s="15"/>
      <c r="Q1910" s="15"/>
      <c r="R1910" s="1"/>
      <c r="S1910" s="1"/>
    </row>
    <row r="1911">
      <c r="A1911" s="1"/>
      <c r="B1911" s="3" t="str">
        <f t="shared" si="5"/>
        <v/>
      </c>
      <c r="C1911" s="31"/>
      <c r="D1911" s="37"/>
      <c r="E1911" s="37"/>
      <c r="F1911" s="1"/>
      <c r="G1911" s="37"/>
      <c r="H1911" s="46"/>
      <c r="I1911" s="37"/>
      <c r="J1911" s="17"/>
      <c r="K1911" s="17"/>
      <c r="L1911" s="37"/>
      <c r="M1911" s="37"/>
      <c r="N1911" s="17"/>
      <c r="O1911" s="1"/>
      <c r="P1911" s="15"/>
      <c r="Q1911" s="15"/>
      <c r="R1911" s="1"/>
      <c r="S1911" s="1"/>
    </row>
    <row r="1912">
      <c r="A1912" s="1"/>
      <c r="B1912" s="3" t="str">
        <f t="shared" si="5"/>
        <v/>
      </c>
      <c r="C1912" s="31"/>
      <c r="D1912" s="37"/>
      <c r="E1912" s="37"/>
      <c r="F1912" s="1"/>
      <c r="G1912" s="37"/>
      <c r="H1912" s="46"/>
      <c r="I1912" s="37"/>
      <c r="J1912" s="17"/>
      <c r="K1912" s="17"/>
      <c r="L1912" s="37"/>
      <c r="M1912" s="37"/>
      <c r="N1912" s="17"/>
      <c r="O1912" s="1"/>
      <c r="P1912" s="15"/>
      <c r="Q1912" s="15"/>
      <c r="R1912" s="1"/>
      <c r="S1912" s="1"/>
    </row>
    <row r="1913">
      <c r="A1913" s="1"/>
      <c r="B1913" s="3" t="str">
        <f t="shared" si="5"/>
        <v/>
      </c>
      <c r="C1913" s="31"/>
      <c r="D1913" s="37"/>
      <c r="E1913" s="37"/>
      <c r="F1913" s="1"/>
      <c r="G1913" s="37"/>
      <c r="H1913" s="46"/>
      <c r="I1913" s="37"/>
      <c r="J1913" s="17"/>
      <c r="K1913" s="17"/>
      <c r="L1913" s="37"/>
      <c r="M1913" s="37"/>
      <c r="N1913" s="17"/>
      <c r="O1913" s="1"/>
      <c r="P1913" s="15"/>
      <c r="Q1913" s="15"/>
      <c r="R1913" s="1"/>
      <c r="S1913" s="1"/>
    </row>
    <row r="1914">
      <c r="A1914" s="1"/>
      <c r="B1914" s="3" t="str">
        <f t="shared" si="5"/>
        <v/>
      </c>
      <c r="C1914" s="31"/>
      <c r="D1914" s="37"/>
      <c r="E1914" s="37"/>
      <c r="F1914" s="1"/>
      <c r="G1914" s="37"/>
      <c r="H1914" s="46"/>
      <c r="I1914" s="37"/>
      <c r="J1914" s="17"/>
      <c r="K1914" s="17"/>
      <c r="L1914" s="37"/>
      <c r="M1914" s="37"/>
      <c r="N1914" s="17"/>
      <c r="O1914" s="1"/>
      <c r="P1914" s="15"/>
      <c r="Q1914" s="15"/>
      <c r="R1914" s="1"/>
      <c r="S1914" s="1"/>
    </row>
    <row r="1915">
      <c r="A1915" s="1"/>
      <c r="B1915" s="3" t="str">
        <f t="shared" si="5"/>
        <v/>
      </c>
      <c r="C1915" s="31"/>
      <c r="D1915" s="37"/>
      <c r="E1915" s="37"/>
      <c r="F1915" s="1"/>
      <c r="G1915" s="37"/>
      <c r="H1915" s="46"/>
      <c r="I1915" s="37"/>
      <c r="J1915" s="17"/>
      <c r="K1915" s="17"/>
      <c r="L1915" s="37"/>
      <c r="M1915" s="37"/>
      <c r="N1915" s="17"/>
      <c r="O1915" s="1"/>
      <c r="P1915" s="15"/>
      <c r="Q1915" s="15"/>
      <c r="R1915" s="1"/>
      <c r="S1915" s="1"/>
    </row>
    <row r="1916">
      <c r="A1916" s="1"/>
      <c r="B1916" s="3" t="str">
        <f t="shared" si="5"/>
        <v/>
      </c>
      <c r="C1916" s="31"/>
      <c r="D1916" s="37"/>
      <c r="E1916" s="37"/>
      <c r="F1916" s="1"/>
      <c r="G1916" s="37"/>
      <c r="H1916" s="46"/>
      <c r="I1916" s="37"/>
      <c r="J1916" s="17"/>
      <c r="K1916" s="17"/>
      <c r="L1916" s="37"/>
      <c r="M1916" s="37"/>
      <c r="N1916" s="17"/>
      <c r="O1916" s="1"/>
      <c r="P1916" s="15"/>
      <c r="Q1916" s="15"/>
      <c r="R1916" s="1"/>
      <c r="S1916" s="1"/>
    </row>
    <row r="1917">
      <c r="A1917" s="1"/>
      <c r="B1917" s="3" t="str">
        <f t="shared" si="5"/>
        <v/>
      </c>
      <c r="C1917" s="31"/>
      <c r="D1917" s="37"/>
      <c r="E1917" s="37"/>
      <c r="F1917" s="1"/>
      <c r="G1917" s="37"/>
      <c r="H1917" s="46"/>
      <c r="I1917" s="37"/>
      <c r="J1917" s="17"/>
      <c r="K1917" s="17"/>
      <c r="L1917" s="37"/>
      <c r="M1917" s="37"/>
      <c r="N1917" s="17"/>
      <c r="O1917" s="1"/>
      <c r="P1917" s="15"/>
      <c r="Q1917" s="15"/>
      <c r="R1917" s="1"/>
      <c r="S1917" s="1"/>
    </row>
    <row r="1918">
      <c r="A1918" s="1"/>
      <c r="B1918" s="3" t="str">
        <f t="shared" si="5"/>
        <v/>
      </c>
      <c r="C1918" s="31"/>
      <c r="D1918" s="37"/>
      <c r="E1918" s="37"/>
      <c r="F1918" s="1"/>
      <c r="G1918" s="37"/>
      <c r="H1918" s="46"/>
      <c r="I1918" s="37"/>
      <c r="J1918" s="17"/>
      <c r="K1918" s="17"/>
      <c r="L1918" s="37"/>
      <c r="M1918" s="37"/>
      <c r="N1918" s="17"/>
      <c r="O1918" s="1"/>
      <c r="P1918" s="15"/>
      <c r="Q1918" s="15"/>
      <c r="R1918" s="1"/>
      <c r="S1918" s="1"/>
    </row>
    <row r="1919">
      <c r="A1919" s="1"/>
      <c r="B1919" s="3" t="str">
        <f t="shared" si="5"/>
        <v/>
      </c>
      <c r="C1919" s="31"/>
      <c r="D1919" s="37"/>
      <c r="E1919" s="37"/>
      <c r="F1919" s="1"/>
      <c r="G1919" s="37"/>
      <c r="H1919" s="46"/>
      <c r="I1919" s="37"/>
      <c r="J1919" s="17"/>
      <c r="K1919" s="17"/>
      <c r="L1919" s="37"/>
      <c r="M1919" s="37"/>
      <c r="N1919" s="17"/>
      <c r="O1919" s="1"/>
      <c r="P1919" s="15"/>
      <c r="Q1919" s="15"/>
      <c r="R1919" s="1"/>
      <c r="S1919" s="1"/>
    </row>
    <row r="1920">
      <c r="A1920" s="1"/>
      <c r="B1920" s="3" t="str">
        <f t="shared" si="5"/>
        <v/>
      </c>
      <c r="C1920" s="31"/>
      <c r="D1920" s="37"/>
      <c r="E1920" s="37"/>
      <c r="F1920" s="1"/>
      <c r="G1920" s="37"/>
      <c r="H1920" s="46"/>
      <c r="I1920" s="37"/>
      <c r="J1920" s="17"/>
      <c r="K1920" s="17"/>
      <c r="L1920" s="37"/>
      <c r="M1920" s="37"/>
      <c r="N1920" s="17"/>
      <c r="O1920" s="1"/>
      <c r="P1920" s="15"/>
      <c r="Q1920" s="15"/>
      <c r="R1920" s="1"/>
      <c r="S1920" s="1"/>
    </row>
    <row r="1921">
      <c r="A1921" s="1"/>
      <c r="B1921" s="3" t="str">
        <f t="shared" si="5"/>
        <v/>
      </c>
      <c r="C1921" s="31"/>
      <c r="D1921" s="37"/>
      <c r="E1921" s="37"/>
      <c r="F1921" s="1"/>
      <c r="G1921" s="37"/>
      <c r="H1921" s="46"/>
      <c r="I1921" s="37"/>
      <c r="J1921" s="17"/>
      <c r="K1921" s="17"/>
      <c r="L1921" s="37"/>
      <c r="M1921" s="37"/>
      <c r="N1921" s="17"/>
      <c r="O1921" s="1"/>
      <c r="P1921" s="15"/>
      <c r="Q1921" s="15"/>
      <c r="R1921" s="1"/>
      <c r="S1921" s="1"/>
    </row>
    <row r="1922">
      <c r="A1922" s="1"/>
      <c r="B1922" s="3" t="str">
        <f t="shared" si="5"/>
        <v/>
      </c>
      <c r="C1922" s="31"/>
      <c r="D1922" s="37"/>
      <c r="E1922" s="37"/>
      <c r="F1922" s="1"/>
      <c r="G1922" s="37"/>
      <c r="H1922" s="46"/>
      <c r="I1922" s="37"/>
      <c r="J1922" s="17"/>
      <c r="K1922" s="17"/>
      <c r="L1922" s="37"/>
      <c r="M1922" s="37"/>
      <c r="N1922" s="17"/>
      <c r="O1922" s="1"/>
      <c r="P1922" s="15"/>
      <c r="Q1922" s="15"/>
      <c r="R1922" s="1"/>
      <c r="S1922" s="1"/>
    </row>
    <row r="1923">
      <c r="A1923" s="1"/>
      <c r="B1923" s="3" t="str">
        <f t="shared" si="5"/>
        <v/>
      </c>
      <c r="C1923" s="31"/>
      <c r="D1923" s="37"/>
      <c r="E1923" s="37"/>
      <c r="F1923" s="1"/>
      <c r="G1923" s="37"/>
      <c r="H1923" s="46"/>
      <c r="I1923" s="37"/>
      <c r="J1923" s="17"/>
      <c r="K1923" s="17"/>
      <c r="L1923" s="37"/>
      <c r="M1923" s="37"/>
      <c r="N1923" s="17"/>
      <c r="O1923" s="1"/>
      <c r="P1923" s="15"/>
      <c r="Q1923" s="15"/>
      <c r="R1923" s="1"/>
      <c r="S1923" s="1"/>
    </row>
    <row r="1924">
      <c r="A1924" s="1"/>
      <c r="B1924" s="3" t="str">
        <f t="shared" si="5"/>
        <v/>
      </c>
      <c r="C1924" s="31"/>
      <c r="D1924" s="37"/>
      <c r="E1924" s="37"/>
      <c r="F1924" s="1"/>
      <c r="G1924" s="37"/>
      <c r="H1924" s="46"/>
      <c r="I1924" s="37"/>
      <c r="J1924" s="17"/>
      <c r="K1924" s="17"/>
      <c r="L1924" s="37"/>
      <c r="M1924" s="37"/>
      <c r="N1924" s="17"/>
      <c r="O1924" s="1"/>
      <c r="P1924" s="15"/>
      <c r="Q1924" s="15"/>
      <c r="R1924" s="1"/>
      <c r="S1924" s="1"/>
    </row>
    <row r="1925">
      <c r="A1925" s="1"/>
      <c r="B1925" s="3" t="str">
        <f t="shared" si="5"/>
        <v/>
      </c>
      <c r="C1925" s="31"/>
      <c r="D1925" s="37"/>
      <c r="E1925" s="37"/>
      <c r="F1925" s="1"/>
      <c r="G1925" s="37"/>
      <c r="H1925" s="46"/>
      <c r="I1925" s="37"/>
      <c r="J1925" s="17"/>
      <c r="K1925" s="17"/>
      <c r="L1925" s="37"/>
      <c r="M1925" s="37"/>
      <c r="N1925" s="17"/>
      <c r="O1925" s="1"/>
      <c r="P1925" s="15"/>
      <c r="Q1925" s="15"/>
      <c r="R1925" s="1"/>
      <c r="S1925" s="1"/>
    </row>
    <row r="1926">
      <c r="A1926" s="1"/>
      <c r="B1926" s="3" t="str">
        <f t="shared" si="5"/>
        <v/>
      </c>
      <c r="C1926" s="31"/>
      <c r="D1926" s="37"/>
      <c r="E1926" s="37"/>
      <c r="F1926" s="1"/>
      <c r="G1926" s="37"/>
      <c r="H1926" s="46"/>
      <c r="I1926" s="37"/>
      <c r="J1926" s="17"/>
      <c r="K1926" s="17"/>
      <c r="L1926" s="37"/>
      <c r="M1926" s="37"/>
      <c r="N1926" s="17"/>
      <c r="O1926" s="1"/>
      <c r="P1926" s="15"/>
      <c r="Q1926" s="15"/>
      <c r="R1926" s="1"/>
      <c r="S1926" s="1"/>
    </row>
    <row r="1927">
      <c r="A1927" s="1"/>
      <c r="B1927" s="3" t="str">
        <f t="shared" si="5"/>
        <v/>
      </c>
      <c r="C1927" s="31"/>
      <c r="D1927" s="37"/>
      <c r="E1927" s="37"/>
      <c r="F1927" s="1"/>
      <c r="G1927" s="37"/>
      <c r="H1927" s="46"/>
      <c r="I1927" s="37"/>
      <c r="J1927" s="17"/>
      <c r="K1927" s="17"/>
      <c r="L1927" s="37"/>
      <c r="M1927" s="37"/>
      <c r="N1927" s="17"/>
      <c r="O1927" s="1"/>
      <c r="P1927" s="15"/>
      <c r="Q1927" s="15"/>
      <c r="R1927" s="1"/>
      <c r="S1927" s="1"/>
    </row>
    <row r="1928">
      <c r="A1928" s="1"/>
      <c r="B1928" s="3" t="str">
        <f t="shared" si="5"/>
        <v/>
      </c>
      <c r="C1928" s="31"/>
      <c r="D1928" s="37"/>
      <c r="E1928" s="37"/>
      <c r="F1928" s="1"/>
      <c r="G1928" s="37"/>
      <c r="H1928" s="46"/>
      <c r="I1928" s="37"/>
      <c r="J1928" s="17"/>
      <c r="K1928" s="17"/>
      <c r="L1928" s="37"/>
      <c r="M1928" s="37"/>
      <c r="N1928" s="17"/>
      <c r="O1928" s="1"/>
      <c r="P1928" s="15"/>
      <c r="Q1928" s="15"/>
      <c r="R1928" s="1"/>
      <c r="S1928" s="1"/>
    </row>
    <row r="1929">
      <c r="A1929" s="1"/>
      <c r="B1929" s="3" t="str">
        <f t="shared" si="5"/>
        <v/>
      </c>
      <c r="C1929" s="31"/>
      <c r="D1929" s="37"/>
      <c r="E1929" s="37"/>
      <c r="F1929" s="1"/>
      <c r="G1929" s="37"/>
      <c r="H1929" s="46"/>
      <c r="I1929" s="37"/>
      <c r="J1929" s="17"/>
      <c r="K1929" s="17"/>
      <c r="L1929" s="37"/>
      <c r="M1929" s="37"/>
      <c r="N1929" s="17"/>
      <c r="O1929" s="1"/>
      <c r="P1929" s="15"/>
      <c r="Q1929" s="15"/>
      <c r="R1929" s="1"/>
      <c r="S1929" s="1"/>
    </row>
    <row r="1930">
      <c r="A1930" s="1"/>
      <c r="B1930" s="3" t="str">
        <f t="shared" si="5"/>
        <v/>
      </c>
      <c r="C1930" s="31"/>
      <c r="D1930" s="37"/>
      <c r="E1930" s="37"/>
      <c r="F1930" s="1"/>
      <c r="G1930" s="37"/>
      <c r="H1930" s="46"/>
      <c r="I1930" s="37"/>
      <c r="J1930" s="17"/>
      <c r="K1930" s="17"/>
      <c r="L1930" s="37"/>
      <c r="M1930" s="37"/>
      <c r="N1930" s="17"/>
      <c r="O1930" s="1"/>
      <c r="P1930" s="15"/>
      <c r="Q1930" s="15"/>
      <c r="R1930" s="1"/>
      <c r="S1930" s="1"/>
    </row>
    <row r="1931">
      <c r="A1931" s="1"/>
      <c r="B1931" s="3" t="str">
        <f t="shared" si="5"/>
        <v/>
      </c>
      <c r="C1931" s="31"/>
      <c r="D1931" s="37"/>
      <c r="E1931" s="37"/>
      <c r="F1931" s="1"/>
      <c r="G1931" s="37"/>
      <c r="H1931" s="46"/>
      <c r="I1931" s="37"/>
      <c r="J1931" s="17"/>
      <c r="K1931" s="17"/>
      <c r="L1931" s="37"/>
      <c r="M1931" s="37"/>
      <c r="N1931" s="17"/>
      <c r="O1931" s="1"/>
      <c r="P1931" s="15"/>
      <c r="Q1931" s="15"/>
      <c r="R1931" s="1"/>
      <c r="S1931" s="1"/>
    </row>
    <row r="1932">
      <c r="A1932" s="1"/>
      <c r="B1932" s="3" t="str">
        <f t="shared" si="5"/>
        <v/>
      </c>
      <c r="C1932" s="31"/>
      <c r="D1932" s="37"/>
      <c r="E1932" s="37"/>
      <c r="F1932" s="1"/>
      <c r="G1932" s="37"/>
      <c r="H1932" s="46"/>
      <c r="I1932" s="37"/>
      <c r="J1932" s="17"/>
      <c r="K1932" s="17"/>
      <c r="L1932" s="37"/>
      <c r="M1932" s="37"/>
      <c r="N1932" s="17"/>
      <c r="O1932" s="1"/>
      <c r="P1932" s="15"/>
      <c r="Q1932" s="15"/>
      <c r="R1932" s="1"/>
      <c r="S1932" s="1"/>
    </row>
    <row r="1933">
      <c r="A1933" s="1"/>
      <c r="B1933" s="3" t="str">
        <f t="shared" si="5"/>
        <v/>
      </c>
      <c r="C1933" s="31"/>
      <c r="D1933" s="37"/>
      <c r="E1933" s="37"/>
      <c r="F1933" s="1"/>
      <c r="G1933" s="37"/>
      <c r="H1933" s="46"/>
      <c r="I1933" s="37"/>
      <c r="J1933" s="17"/>
      <c r="K1933" s="17"/>
      <c r="L1933" s="37"/>
      <c r="M1933" s="37"/>
      <c r="N1933" s="17"/>
      <c r="O1933" s="1"/>
      <c r="P1933" s="15"/>
      <c r="Q1933" s="15"/>
      <c r="R1933" s="1"/>
      <c r="S1933" s="1"/>
    </row>
    <row r="1934">
      <c r="A1934" s="1"/>
      <c r="B1934" s="3" t="str">
        <f t="shared" si="5"/>
        <v/>
      </c>
      <c r="C1934" s="31"/>
      <c r="D1934" s="37"/>
      <c r="E1934" s="37"/>
      <c r="F1934" s="1"/>
      <c r="G1934" s="37"/>
      <c r="H1934" s="46"/>
      <c r="I1934" s="37"/>
      <c r="J1934" s="17"/>
      <c r="K1934" s="17"/>
      <c r="L1934" s="37"/>
      <c r="M1934" s="37"/>
      <c r="N1934" s="17"/>
      <c r="O1934" s="1"/>
      <c r="P1934" s="15"/>
      <c r="Q1934" s="15"/>
      <c r="R1934" s="1"/>
      <c r="S1934" s="1"/>
    </row>
    <row r="1935">
      <c r="A1935" s="1"/>
      <c r="B1935" s="3" t="str">
        <f t="shared" si="5"/>
        <v/>
      </c>
      <c r="C1935" s="31"/>
      <c r="D1935" s="37"/>
      <c r="E1935" s="37"/>
      <c r="F1935" s="1"/>
      <c r="G1935" s="37"/>
      <c r="H1935" s="46"/>
      <c r="I1935" s="37"/>
      <c r="J1935" s="17"/>
      <c r="K1935" s="17"/>
      <c r="L1935" s="37"/>
      <c r="M1935" s="37"/>
      <c r="N1935" s="17"/>
      <c r="O1935" s="1"/>
      <c r="P1935" s="15"/>
      <c r="Q1935" s="15"/>
      <c r="R1935" s="1"/>
      <c r="S1935" s="1"/>
    </row>
    <row r="1936">
      <c r="A1936" s="1"/>
      <c r="B1936" s="3" t="str">
        <f t="shared" si="5"/>
        <v/>
      </c>
      <c r="C1936" s="31"/>
      <c r="D1936" s="37"/>
      <c r="E1936" s="37"/>
      <c r="F1936" s="1"/>
      <c r="G1936" s="37"/>
      <c r="H1936" s="46"/>
      <c r="I1936" s="37"/>
      <c r="J1936" s="17"/>
      <c r="K1936" s="17"/>
      <c r="L1936" s="37"/>
      <c r="M1936" s="37"/>
      <c r="N1936" s="17"/>
      <c r="O1936" s="1"/>
      <c r="P1936" s="15"/>
      <c r="Q1936" s="15"/>
      <c r="R1936" s="1"/>
      <c r="S1936" s="1"/>
    </row>
    <row r="1937">
      <c r="A1937" s="1"/>
      <c r="B1937" s="3" t="str">
        <f t="shared" si="5"/>
        <v/>
      </c>
      <c r="C1937" s="31"/>
      <c r="D1937" s="37"/>
      <c r="E1937" s="37"/>
      <c r="F1937" s="1"/>
      <c r="G1937" s="37"/>
      <c r="H1937" s="46"/>
      <c r="I1937" s="37"/>
      <c r="J1937" s="17"/>
      <c r="K1937" s="17"/>
      <c r="L1937" s="37"/>
      <c r="M1937" s="37"/>
      <c r="N1937" s="17"/>
      <c r="O1937" s="1"/>
      <c r="P1937" s="15"/>
      <c r="Q1937" s="15"/>
      <c r="R1937" s="1"/>
      <c r="S1937" s="1"/>
    </row>
    <row r="1938">
      <c r="A1938" s="1"/>
      <c r="B1938" s="3" t="str">
        <f t="shared" si="5"/>
        <v/>
      </c>
      <c r="C1938" s="31"/>
      <c r="D1938" s="37"/>
      <c r="E1938" s="37"/>
      <c r="F1938" s="1"/>
      <c r="G1938" s="37"/>
      <c r="H1938" s="46"/>
      <c r="I1938" s="37"/>
      <c r="J1938" s="17"/>
      <c r="K1938" s="17"/>
      <c r="L1938" s="37"/>
      <c r="M1938" s="37"/>
      <c r="N1938" s="17"/>
      <c r="O1938" s="1"/>
      <c r="P1938" s="15"/>
      <c r="Q1938" s="15"/>
      <c r="R1938" s="1"/>
      <c r="S1938" s="1"/>
    </row>
    <row r="1939">
      <c r="A1939" s="1"/>
      <c r="B1939" s="3" t="str">
        <f t="shared" si="5"/>
        <v/>
      </c>
      <c r="C1939" s="31"/>
      <c r="D1939" s="37"/>
      <c r="E1939" s="37"/>
      <c r="F1939" s="1"/>
      <c r="G1939" s="37"/>
      <c r="H1939" s="46"/>
      <c r="I1939" s="37"/>
      <c r="J1939" s="17"/>
      <c r="K1939" s="17"/>
      <c r="L1939" s="37"/>
      <c r="M1939" s="37"/>
      <c r="N1939" s="17"/>
      <c r="O1939" s="1"/>
      <c r="P1939" s="15"/>
      <c r="Q1939" s="15"/>
      <c r="R1939" s="1"/>
      <c r="S1939" s="1"/>
    </row>
    <row r="1940">
      <c r="A1940" s="1"/>
      <c r="B1940" s="3" t="str">
        <f t="shared" si="5"/>
        <v/>
      </c>
      <c r="C1940" s="31"/>
      <c r="D1940" s="37"/>
      <c r="E1940" s="37"/>
      <c r="F1940" s="1"/>
      <c r="G1940" s="37"/>
      <c r="H1940" s="46"/>
      <c r="I1940" s="37"/>
      <c r="J1940" s="17"/>
      <c r="K1940" s="17"/>
      <c r="L1940" s="37"/>
      <c r="M1940" s="37"/>
      <c r="N1940" s="17"/>
      <c r="O1940" s="1"/>
      <c r="P1940" s="15"/>
      <c r="Q1940" s="15"/>
      <c r="R1940" s="1"/>
      <c r="S1940" s="1"/>
    </row>
    <row r="1941">
      <c r="A1941" s="1"/>
      <c r="B1941" s="3" t="str">
        <f t="shared" si="5"/>
        <v/>
      </c>
      <c r="C1941" s="31"/>
      <c r="D1941" s="37"/>
      <c r="E1941" s="37"/>
      <c r="F1941" s="1"/>
      <c r="G1941" s="37"/>
      <c r="H1941" s="46"/>
      <c r="I1941" s="37"/>
      <c r="J1941" s="17"/>
      <c r="K1941" s="17"/>
      <c r="L1941" s="37"/>
      <c r="M1941" s="37"/>
      <c r="N1941" s="17"/>
      <c r="O1941" s="1"/>
      <c r="P1941" s="15"/>
      <c r="Q1941" s="15"/>
      <c r="R1941" s="1"/>
      <c r="S1941" s="1"/>
    </row>
    <row r="1942">
      <c r="A1942" s="1"/>
      <c r="B1942" s="3" t="str">
        <f t="shared" si="5"/>
        <v/>
      </c>
      <c r="C1942" s="31"/>
      <c r="D1942" s="37"/>
      <c r="E1942" s="37"/>
      <c r="F1942" s="1"/>
      <c r="G1942" s="37"/>
      <c r="H1942" s="46"/>
      <c r="I1942" s="37"/>
      <c r="J1942" s="17"/>
      <c r="K1942" s="17"/>
      <c r="L1942" s="37"/>
      <c r="M1942" s="37"/>
      <c r="N1942" s="17"/>
      <c r="O1942" s="1"/>
      <c r="P1942" s="15"/>
      <c r="Q1942" s="15"/>
      <c r="R1942" s="1"/>
      <c r="S1942" s="1"/>
    </row>
    <row r="1943">
      <c r="A1943" s="1"/>
      <c r="B1943" s="3" t="str">
        <f t="shared" si="5"/>
        <v/>
      </c>
      <c r="C1943" s="31"/>
      <c r="D1943" s="37"/>
      <c r="E1943" s="37"/>
      <c r="F1943" s="1"/>
      <c r="G1943" s="37"/>
      <c r="H1943" s="46"/>
      <c r="I1943" s="37"/>
      <c r="J1943" s="17"/>
      <c r="K1943" s="17"/>
      <c r="L1943" s="37"/>
      <c r="M1943" s="37"/>
      <c r="N1943" s="17"/>
      <c r="O1943" s="1"/>
      <c r="P1943" s="15"/>
      <c r="Q1943" s="15"/>
      <c r="R1943" s="1"/>
      <c r="S1943" s="1"/>
    </row>
    <row r="1944">
      <c r="A1944" s="1"/>
      <c r="B1944" s="3" t="str">
        <f t="shared" si="5"/>
        <v/>
      </c>
      <c r="C1944" s="31"/>
      <c r="D1944" s="37"/>
      <c r="E1944" s="37"/>
      <c r="F1944" s="1"/>
      <c r="G1944" s="37"/>
      <c r="H1944" s="46"/>
      <c r="I1944" s="37"/>
      <c r="J1944" s="17"/>
      <c r="K1944" s="17"/>
      <c r="L1944" s="37"/>
      <c r="M1944" s="37"/>
      <c r="N1944" s="17"/>
      <c r="O1944" s="1"/>
      <c r="P1944" s="15"/>
      <c r="Q1944" s="15"/>
      <c r="R1944" s="1"/>
      <c r="S1944" s="1"/>
    </row>
    <row r="1945">
      <c r="A1945" s="1"/>
      <c r="B1945" s="3" t="str">
        <f t="shared" si="5"/>
        <v/>
      </c>
      <c r="C1945" s="31"/>
      <c r="D1945" s="37"/>
      <c r="E1945" s="37"/>
      <c r="F1945" s="1"/>
      <c r="G1945" s="37"/>
      <c r="H1945" s="46"/>
      <c r="I1945" s="37"/>
      <c r="J1945" s="17"/>
      <c r="K1945" s="17"/>
      <c r="L1945" s="37"/>
      <c r="M1945" s="37"/>
      <c r="N1945" s="17"/>
      <c r="O1945" s="1"/>
      <c r="P1945" s="15"/>
      <c r="Q1945" s="15"/>
      <c r="R1945" s="1"/>
      <c r="S1945" s="1"/>
    </row>
    <row r="1946">
      <c r="A1946" s="1"/>
      <c r="B1946" s="3" t="str">
        <f t="shared" si="5"/>
        <v/>
      </c>
      <c r="C1946" s="31"/>
      <c r="D1946" s="37"/>
      <c r="E1946" s="37"/>
      <c r="F1946" s="1"/>
      <c r="G1946" s="37"/>
      <c r="H1946" s="46"/>
      <c r="I1946" s="37"/>
      <c r="J1946" s="17"/>
      <c r="K1946" s="17"/>
      <c r="L1946" s="37"/>
      <c r="M1946" s="37"/>
      <c r="N1946" s="17"/>
      <c r="O1946" s="1"/>
      <c r="P1946" s="15"/>
      <c r="Q1946" s="15"/>
      <c r="R1946" s="1"/>
      <c r="S1946" s="1"/>
    </row>
    <row r="1947">
      <c r="A1947" s="1"/>
      <c r="B1947" s="3" t="str">
        <f t="shared" si="5"/>
        <v/>
      </c>
      <c r="C1947" s="31"/>
      <c r="D1947" s="37"/>
      <c r="E1947" s="37"/>
      <c r="F1947" s="1"/>
      <c r="G1947" s="37"/>
      <c r="H1947" s="46"/>
      <c r="I1947" s="37"/>
      <c r="J1947" s="17"/>
      <c r="K1947" s="17"/>
      <c r="L1947" s="37"/>
      <c r="M1947" s="37"/>
      <c r="N1947" s="17"/>
      <c r="O1947" s="1"/>
      <c r="P1947" s="15"/>
      <c r="Q1947" s="15"/>
      <c r="R1947" s="1"/>
      <c r="S1947" s="1"/>
    </row>
    <row r="1948">
      <c r="A1948" s="1"/>
      <c r="B1948" s="3" t="str">
        <f t="shared" si="5"/>
        <v/>
      </c>
      <c r="C1948" s="31"/>
      <c r="D1948" s="37"/>
      <c r="E1948" s="37"/>
      <c r="F1948" s="1"/>
      <c r="G1948" s="37"/>
      <c r="H1948" s="46"/>
      <c r="I1948" s="37"/>
      <c r="J1948" s="17"/>
      <c r="K1948" s="17"/>
      <c r="L1948" s="37"/>
      <c r="M1948" s="37"/>
      <c r="N1948" s="17"/>
      <c r="O1948" s="1"/>
      <c r="P1948" s="15"/>
      <c r="Q1948" s="15"/>
      <c r="R1948" s="1"/>
      <c r="S1948" s="1"/>
    </row>
    <row r="1949">
      <c r="A1949" s="1"/>
      <c r="B1949" s="3" t="str">
        <f t="shared" si="5"/>
        <v/>
      </c>
      <c r="C1949" s="31"/>
      <c r="D1949" s="37"/>
      <c r="E1949" s="37"/>
      <c r="F1949" s="1"/>
      <c r="G1949" s="37"/>
      <c r="H1949" s="46"/>
      <c r="I1949" s="37"/>
      <c r="J1949" s="17"/>
      <c r="K1949" s="17"/>
      <c r="L1949" s="37"/>
      <c r="M1949" s="37"/>
      <c r="N1949" s="17"/>
      <c r="O1949" s="1"/>
      <c r="P1949" s="15"/>
      <c r="Q1949" s="15"/>
      <c r="R1949" s="1"/>
      <c r="S1949" s="1"/>
    </row>
    <row r="1950">
      <c r="A1950" s="1"/>
      <c r="B1950" s="3" t="str">
        <f t="shared" si="5"/>
        <v/>
      </c>
      <c r="C1950" s="31"/>
      <c r="D1950" s="37"/>
      <c r="E1950" s="37"/>
      <c r="F1950" s="1"/>
      <c r="G1950" s="37"/>
      <c r="H1950" s="46"/>
      <c r="I1950" s="37"/>
      <c r="J1950" s="17"/>
      <c r="K1950" s="17"/>
      <c r="L1950" s="37"/>
      <c r="M1950" s="37"/>
      <c r="N1950" s="17"/>
      <c r="O1950" s="1"/>
      <c r="P1950" s="15"/>
      <c r="Q1950" s="15"/>
      <c r="R1950" s="1"/>
      <c r="S1950" s="1"/>
    </row>
    <row r="1951">
      <c r="A1951" s="1"/>
      <c r="B1951" s="3" t="str">
        <f t="shared" si="5"/>
        <v/>
      </c>
      <c r="C1951" s="31"/>
      <c r="D1951" s="37"/>
      <c r="E1951" s="37"/>
      <c r="F1951" s="1"/>
      <c r="G1951" s="37"/>
      <c r="H1951" s="46"/>
      <c r="I1951" s="37"/>
      <c r="J1951" s="17"/>
      <c r="K1951" s="17"/>
      <c r="L1951" s="37"/>
      <c r="M1951" s="37"/>
      <c r="N1951" s="17"/>
      <c r="O1951" s="1"/>
      <c r="P1951" s="15"/>
      <c r="Q1951" s="15"/>
      <c r="R1951" s="1"/>
      <c r="S1951" s="1"/>
    </row>
    <row r="1952">
      <c r="A1952" s="1"/>
      <c r="B1952" s="3" t="str">
        <f t="shared" si="5"/>
        <v/>
      </c>
      <c r="C1952" s="31"/>
      <c r="D1952" s="37"/>
      <c r="E1952" s="37"/>
      <c r="F1952" s="1"/>
      <c r="G1952" s="37"/>
      <c r="H1952" s="46"/>
      <c r="I1952" s="37"/>
      <c r="J1952" s="17"/>
      <c r="K1952" s="17"/>
      <c r="L1952" s="37"/>
      <c r="M1952" s="37"/>
      <c r="N1952" s="17"/>
      <c r="O1952" s="1"/>
      <c r="P1952" s="15"/>
      <c r="Q1952" s="15"/>
      <c r="R1952" s="1"/>
      <c r="S1952" s="1"/>
    </row>
    <row r="1953">
      <c r="A1953" s="1"/>
      <c r="B1953" s="3" t="str">
        <f t="shared" si="5"/>
        <v/>
      </c>
      <c r="C1953" s="31"/>
      <c r="D1953" s="37"/>
      <c r="E1953" s="37"/>
      <c r="F1953" s="1"/>
      <c r="G1953" s="37"/>
      <c r="H1953" s="46"/>
      <c r="I1953" s="37"/>
      <c r="J1953" s="17"/>
      <c r="K1953" s="17"/>
      <c r="L1953" s="37"/>
      <c r="M1953" s="37"/>
      <c r="N1953" s="17"/>
      <c r="O1953" s="1"/>
      <c r="P1953" s="15"/>
      <c r="Q1953" s="15"/>
      <c r="R1953" s="1"/>
      <c r="S1953" s="1"/>
    </row>
    <row r="1954">
      <c r="A1954" s="1"/>
      <c r="B1954" s="3" t="str">
        <f t="shared" si="5"/>
        <v/>
      </c>
      <c r="C1954" s="31"/>
      <c r="D1954" s="37"/>
      <c r="E1954" s="37"/>
      <c r="F1954" s="1"/>
      <c r="G1954" s="37"/>
      <c r="H1954" s="46"/>
      <c r="I1954" s="37"/>
      <c r="J1954" s="17"/>
      <c r="K1954" s="17"/>
      <c r="L1954" s="37"/>
      <c r="M1954" s="37"/>
      <c r="N1954" s="17"/>
      <c r="O1954" s="1"/>
      <c r="P1954" s="15"/>
      <c r="Q1954" s="15"/>
      <c r="R1954" s="1"/>
      <c r="S1954" s="1"/>
    </row>
    <row r="1955">
      <c r="A1955" s="1"/>
      <c r="B1955" s="3" t="str">
        <f t="shared" si="5"/>
        <v/>
      </c>
      <c r="C1955" s="31"/>
      <c r="D1955" s="37"/>
      <c r="E1955" s="37"/>
      <c r="F1955" s="1"/>
      <c r="G1955" s="37"/>
      <c r="H1955" s="46"/>
      <c r="I1955" s="37"/>
      <c r="J1955" s="17"/>
      <c r="K1955" s="17"/>
      <c r="L1955" s="37"/>
      <c r="M1955" s="37"/>
      <c r="N1955" s="17"/>
      <c r="O1955" s="1"/>
      <c r="P1955" s="15"/>
      <c r="Q1955" s="15"/>
      <c r="R1955" s="1"/>
      <c r="S1955" s="1"/>
    </row>
    <row r="1956">
      <c r="A1956" s="1"/>
      <c r="B1956" s="3" t="str">
        <f t="shared" si="5"/>
        <v/>
      </c>
      <c r="C1956" s="31"/>
      <c r="D1956" s="37"/>
      <c r="E1956" s="37"/>
      <c r="F1956" s="1"/>
      <c r="G1956" s="37"/>
      <c r="H1956" s="46"/>
      <c r="I1956" s="37"/>
      <c r="J1956" s="17"/>
      <c r="K1956" s="17"/>
      <c r="L1956" s="37"/>
      <c r="M1956" s="37"/>
      <c r="N1956" s="17"/>
      <c r="O1956" s="1"/>
      <c r="P1956" s="15"/>
      <c r="Q1956" s="15"/>
      <c r="R1956" s="1"/>
      <c r="S1956" s="1"/>
    </row>
    <row r="1957">
      <c r="A1957" s="1"/>
      <c r="B1957" s="3" t="str">
        <f t="shared" si="5"/>
        <v/>
      </c>
      <c r="C1957" s="31"/>
      <c r="D1957" s="37"/>
      <c r="E1957" s="37"/>
      <c r="F1957" s="1"/>
      <c r="G1957" s="37"/>
      <c r="H1957" s="46"/>
      <c r="I1957" s="37"/>
      <c r="J1957" s="17"/>
      <c r="K1957" s="17"/>
      <c r="L1957" s="37"/>
      <c r="M1957" s="37"/>
      <c r="N1957" s="17"/>
      <c r="O1957" s="1"/>
      <c r="P1957" s="15"/>
      <c r="Q1957" s="15"/>
      <c r="R1957" s="1"/>
      <c r="S1957" s="1"/>
    </row>
    <row r="1958">
      <c r="A1958" s="1"/>
      <c r="B1958" s="3" t="str">
        <f t="shared" si="5"/>
        <v/>
      </c>
      <c r="C1958" s="31"/>
      <c r="D1958" s="37"/>
      <c r="E1958" s="37"/>
      <c r="F1958" s="1"/>
      <c r="G1958" s="37"/>
      <c r="H1958" s="46"/>
      <c r="I1958" s="37"/>
      <c r="J1958" s="17"/>
      <c r="K1958" s="17"/>
      <c r="L1958" s="37"/>
      <c r="M1958" s="37"/>
      <c r="N1958" s="17"/>
      <c r="O1958" s="1"/>
      <c r="P1958" s="15"/>
      <c r="Q1958" s="15"/>
      <c r="R1958" s="1"/>
      <c r="S1958" s="1"/>
    </row>
    <row r="1959">
      <c r="A1959" s="1"/>
      <c r="B1959" s="3" t="str">
        <f t="shared" si="5"/>
        <v/>
      </c>
      <c r="C1959" s="31"/>
      <c r="D1959" s="37"/>
      <c r="E1959" s="37"/>
      <c r="F1959" s="1"/>
      <c r="G1959" s="37"/>
      <c r="H1959" s="46"/>
      <c r="I1959" s="37"/>
      <c r="J1959" s="17"/>
      <c r="K1959" s="17"/>
      <c r="L1959" s="37"/>
      <c r="M1959" s="37"/>
      <c r="N1959" s="17"/>
      <c r="O1959" s="1"/>
      <c r="P1959" s="15"/>
      <c r="Q1959" s="15"/>
      <c r="R1959" s="1"/>
      <c r="S1959" s="1"/>
    </row>
    <row r="1960">
      <c r="A1960" s="1"/>
      <c r="B1960" s="3" t="str">
        <f t="shared" si="5"/>
        <v/>
      </c>
      <c r="C1960" s="31"/>
      <c r="D1960" s="37"/>
      <c r="E1960" s="37"/>
      <c r="F1960" s="1"/>
      <c r="G1960" s="37"/>
      <c r="H1960" s="46"/>
      <c r="I1960" s="37"/>
      <c r="J1960" s="17"/>
      <c r="K1960" s="17"/>
      <c r="L1960" s="37"/>
      <c r="M1960" s="37"/>
      <c r="N1960" s="17"/>
      <c r="O1960" s="1"/>
      <c r="P1960" s="15"/>
      <c r="Q1960" s="15"/>
      <c r="R1960" s="1"/>
      <c r="S1960" s="1"/>
    </row>
    <row r="1961">
      <c r="A1961" s="1"/>
      <c r="B1961" s="3" t="str">
        <f t="shared" si="5"/>
        <v/>
      </c>
      <c r="C1961" s="31"/>
      <c r="D1961" s="37"/>
      <c r="E1961" s="37"/>
      <c r="F1961" s="1"/>
      <c r="G1961" s="37"/>
      <c r="H1961" s="46"/>
      <c r="I1961" s="37"/>
      <c r="J1961" s="17"/>
      <c r="K1961" s="17"/>
      <c r="L1961" s="37"/>
      <c r="M1961" s="37"/>
      <c r="N1961" s="17"/>
      <c r="O1961" s="1"/>
      <c r="P1961" s="15"/>
      <c r="Q1961" s="15"/>
      <c r="R1961" s="1"/>
      <c r="S1961" s="1"/>
    </row>
    <row r="1962">
      <c r="A1962" s="1"/>
      <c r="B1962" s="3" t="str">
        <f t="shared" si="5"/>
        <v/>
      </c>
      <c r="C1962" s="31"/>
      <c r="D1962" s="37"/>
      <c r="E1962" s="37"/>
      <c r="F1962" s="1"/>
      <c r="G1962" s="37"/>
      <c r="H1962" s="46"/>
      <c r="I1962" s="37"/>
      <c r="J1962" s="17"/>
      <c r="K1962" s="17"/>
      <c r="L1962" s="37"/>
      <c r="M1962" s="37"/>
      <c r="N1962" s="17"/>
      <c r="O1962" s="1"/>
      <c r="P1962" s="15"/>
      <c r="Q1962" s="15"/>
      <c r="R1962" s="1"/>
      <c r="S1962" s="1"/>
    </row>
    <row r="1963">
      <c r="A1963" s="1"/>
      <c r="B1963" s="3" t="str">
        <f t="shared" si="5"/>
        <v/>
      </c>
      <c r="C1963" s="31"/>
      <c r="D1963" s="37"/>
      <c r="E1963" s="37"/>
      <c r="F1963" s="1"/>
      <c r="G1963" s="37"/>
      <c r="H1963" s="46"/>
      <c r="I1963" s="37"/>
      <c r="J1963" s="17"/>
      <c r="K1963" s="17"/>
      <c r="L1963" s="37"/>
      <c r="M1963" s="37"/>
      <c r="N1963" s="17"/>
      <c r="O1963" s="1"/>
      <c r="P1963" s="15"/>
      <c r="Q1963" s="15"/>
      <c r="R1963" s="1"/>
      <c r="S1963" s="1"/>
    </row>
    <row r="1964">
      <c r="A1964" s="1"/>
      <c r="B1964" s="3" t="str">
        <f t="shared" si="5"/>
        <v/>
      </c>
      <c r="C1964" s="31"/>
      <c r="D1964" s="37"/>
      <c r="E1964" s="37"/>
      <c r="F1964" s="1"/>
      <c r="G1964" s="37"/>
      <c r="H1964" s="46"/>
      <c r="I1964" s="37"/>
      <c r="J1964" s="17"/>
      <c r="K1964" s="17"/>
      <c r="L1964" s="37"/>
      <c r="M1964" s="37"/>
      <c r="N1964" s="17"/>
      <c r="O1964" s="1"/>
      <c r="P1964" s="15"/>
      <c r="Q1964" s="15"/>
      <c r="R1964" s="1"/>
      <c r="S1964" s="1"/>
    </row>
    <row r="1965">
      <c r="A1965" s="1"/>
      <c r="B1965" s="3" t="str">
        <f t="shared" si="5"/>
        <v/>
      </c>
      <c r="C1965" s="31"/>
      <c r="D1965" s="37"/>
      <c r="E1965" s="37"/>
      <c r="F1965" s="1"/>
      <c r="G1965" s="37"/>
      <c r="H1965" s="46"/>
      <c r="I1965" s="37"/>
      <c r="J1965" s="17"/>
      <c r="K1965" s="17"/>
      <c r="L1965" s="37"/>
      <c r="M1965" s="37"/>
      <c r="N1965" s="17"/>
      <c r="O1965" s="1"/>
      <c r="P1965" s="15"/>
      <c r="Q1965" s="15"/>
      <c r="R1965" s="1"/>
      <c r="S1965" s="1"/>
    </row>
    <row r="1966">
      <c r="A1966" s="1"/>
      <c r="B1966" s="3" t="str">
        <f t="shared" si="5"/>
        <v/>
      </c>
      <c r="C1966" s="31"/>
      <c r="D1966" s="37"/>
      <c r="E1966" s="37"/>
      <c r="F1966" s="1"/>
      <c r="G1966" s="37"/>
      <c r="H1966" s="46"/>
      <c r="I1966" s="37"/>
      <c r="J1966" s="17"/>
      <c r="K1966" s="17"/>
      <c r="L1966" s="37"/>
      <c r="M1966" s="37"/>
      <c r="N1966" s="17"/>
      <c r="O1966" s="1"/>
      <c r="P1966" s="15"/>
      <c r="Q1966" s="15"/>
      <c r="R1966" s="1"/>
      <c r="S1966" s="1"/>
    </row>
    <row r="1967">
      <c r="A1967" s="1"/>
      <c r="B1967" s="3" t="str">
        <f t="shared" si="5"/>
        <v/>
      </c>
      <c r="C1967" s="31"/>
      <c r="D1967" s="37"/>
      <c r="E1967" s="37"/>
      <c r="F1967" s="1"/>
      <c r="G1967" s="37"/>
      <c r="H1967" s="46"/>
      <c r="I1967" s="37"/>
      <c r="J1967" s="17"/>
      <c r="K1967" s="17"/>
      <c r="L1967" s="37"/>
      <c r="M1967" s="37"/>
      <c r="N1967" s="17"/>
      <c r="O1967" s="1"/>
      <c r="P1967" s="15"/>
      <c r="Q1967" s="15"/>
      <c r="R1967" s="1"/>
      <c r="S1967" s="1"/>
    </row>
    <row r="1968">
      <c r="A1968" s="1"/>
      <c r="B1968" s="3" t="str">
        <f t="shared" si="5"/>
        <v/>
      </c>
      <c r="C1968" s="31"/>
      <c r="D1968" s="37"/>
      <c r="E1968" s="37"/>
      <c r="F1968" s="1"/>
      <c r="G1968" s="37"/>
      <c r="H1968" s="46"/>
      <c r="I1968" s="37"/>
      <c r="J1968" s="17"/>
      <c r="K1968" s="17"/>
      <c r="L1968" s="37"/>
      <c r="M1968" s="37"/>
      <c r="N1968" s="17"/>
      <c r="O1968" s="1"/>
      <c r="P1968" s="15"/>
      <c r="Q1968" s="15"/>
      <c r="R1968" s="1"/>
      <c r="S1968" s="1"/>
    </row>
    <row r="1969">
      <c r="A1969" s="1"/>
      <c r="B1969" s="3" t="str">
        <f t="shared" si="5"/>
        <v/>
      </c>
      <c r="C1969" s="31"/>
      <c r="D1969" s="37"/>
      <c r="E1969" s="37"/>
      <c r="F1969" s="1"/>
      <c r="G1969" s="37"/>
      <c r="H1969" s="46"/>
      <c r="I1969" s="37"/>
      <c r="J1969" s="17"/>
      <c r="K1969" s="17"/>
      <c r="L1969" s="37"/>
      <c r="M1969" s="37"/>
      <c r="N1969" s="17"/>
      <c r="O1969" s="1"/>
      <c r="P1969" s="15"/>
      <c r="Q1969" s="15"/>
      <c r="R1969" s="1"/>
      <c r="S1969" s="1"/>
    </row>
    <row r="1970">
      <c r="A1970" s="1"/>
      <c r="B1970" s="3" t="str">
        <f t="shared" si="5"/>
        <v/>
      </c>
      <c r="C1970" s="31"/>
      <c r="D1970" s="37"/>
      <c r="E1970" s="37"/>
      <c r="F1970" s="1"/>
      <c r="G1970" s="37"/>
      <c r="H1970" s="46"/>
      <c r="I1970" s="37"/>
      <c r="J1970" s="17"/>
      <c r="K1970" s="17"/>
      <c r="L1970" s="37"/>
      <c r="M1970" s="37"/>
      <c r="N1970" s="17"/>
      <c r="O1970" s="1"/>
      <c r="P1970" s="15"/>
      <c r="Q1970" s="15"/>
      <c r="R1970" s="1"/>
      <c r="S1970" s="1"/>
    </row>
    <row r="1971">
      <c r="A1971" s="1"/>
      <c r="B1971" s="3" t="str">
        <f t="shared" si="5"/>
        <v/>
      </c>
      <c r="C1971" s="31"/>
      <c r="D1971" s="37"/>
      <c r="E1971" s="37"/>
      <c r="F1971" s="1"/>
      <c r="G1971" s="37"/>
      <c r="H1971" s="46"/>
      <c r="I1971" s="37"/>
      <c r="J1971" s="17"/>
      <c r="K1971" s="17"/>
      <c r="L1971" s="37"/>
      <c r="M1971" s="37"/>
      <c r="N1971" s="17"/>
      <c r="O1971" s="1"/>
      <c r="P1971" s="15"/>
      <c r="Q1971" s="15"/>
      <c r="R1971" s="1"/>
      <c r="S1971" s="1"/>
    </row>
    <row r="1972">
      <c r="A1972" s="1"/>
      <c r="B1972" s="3" t="str">
        <f t="shared" si="5"/>
        <v/>
      </c>
      <c r="C1972" s="31"/>
      <c r="D1972" s="37"/>
      <c r="E1972" s="37"/>
      <c r="F1972" s="1"/>
      <c r="G1972" s="37"/>
      <c r="H1972" s="46"/>
      <c r="I1972" s="37"/>
      <c r="J1972" s="17"/>
      <c r="K1972" s="17"/>
      <c r="L1972" s="37"/>
      <c r="M1972" s="37"/>
      <c r="N1972" s="17"/>
      <c r="O1972" s="1"/>
      <c r="P1972" s="15"/>
      <c r="Q1972" s="15"/>
      <c r="R1972" s="1"/>
      <c r="S1972" s="1"/>
    </row>
    <row r="1973">
      <c r="A1973" s="1"/>
      <c r="B1973" s="3" t="str">
        <f t="shared" si="5"/>
        <v/>
      </c>
      <c r="C1973" s="31"/>
      <c r="D1973" s="37"/>
      <c r="E1973" s="37"/>
      <c r="F1973" s="1"/>
      <c r="G1973" s="37"/>
      <c r="H1973" s="46"/>
      <c r="I1973" s="37"/>
      <c r="J1973" s="17"/>
      <c r="K1973" s="17"/>
      <c r="L1973" s="37"/>
      <c r="M1973" s="37"/>
      <c r="N1973" s="17"/>
      <c r="O1973" s="1"/>
      <c r="P1973" s="15"/>
      <c r="Q1973" s="15"/>
      <c r="R1973" s="1"/>
      <c r="S1973" s="1"/>
    </row>
    <row r="1974">
      <c r="A1974" s="1"/>
      <c r="B1974" s="3" t="str">
        <f t="shared" si="5"/>
        <v/>
      </c>
      <c r="C1974" s="31"/>
      <c r="D1974" s="37"/>
      <c r="E1974" s="37"/>
      <c r="F1974" s="1"/>
      <c r="G1974" s="37"/>
      <c r="H1974" s="46"/>
      <c r="I1974" s="37"/>
      <c r="J1974" s="17"/>
      <c r="K1974" s="17"/>
      <c r="L1974" s="37"/>
      <c r="M1974" s="37"/>
      <c r="N1974" s="17"/>
      <c r="O1974" s="1"/>
      <c r="P1974" s="15"/>
      <c r="Q1974" s="15"/>
      <c r="R1974" s="1"/>
      <c r="S1974" s="1"/>
    </row>
    <row r="1975">
      <c r="A1975" s="1"/>
      <c r="B1975" s="3" t="str">
        <f t="shared" si="5"/>
        <v/>
      </c>
      <c r="C1975" s="31"/>
      <c r="D1975" s="37"/>
      <c r="E1975" s="37"/>
      <c r="F1975" s="1"/>
      <c r="G1975" s="37"/>
      <c r="H1975" s="46"/>
      <c r="I1975" s="37"/>
      <c r="J1975" s="17"/>
      <c r="K1975" s="17"/>
      <c r="L1975" s="37"/>
      <c r="M1975" s="37"/>
      <c r="N1975" s="17"/>
      <c r="O1975" s="1"/>
      <c r="P1975" s="15"/>
      <c r="Q1975" s="15"/>
      <c r="R1975" s="1"/>
      <c r="S1975" s="1"/>
    </row>
    <row r="1976">
      <c r="A1976" s="1"/>
      <c r="B1976" s="3" t="str">
        <f t="shared" si="5"/>
        <v/>
      </c>
      <c r="C1976" s="31"/>
      <c r="D1976" s="37"/>
      <c r="E1976" s="37"/>
      <c r="F1976" s="1"/>
      <c r="G1976" s="37"/>
      <c r="H1976" s="46"/>
      <c r="I1976" s="37"/>
      <c r="J1976" s="17"/>
      <c r="K1976" s="17"/>
      <c r="L1976" s="37"/>
      <c r="M1976" s="37"/>
      <c r="N1976" s="17"/>
      <c r="O1976" s="1"/>
      <c r="P1976" s="15"/>
      <c r="Q1976" s="15"/>
      <c r="R1976" s="1"/>
      <c r="S1976" s="1"/>
    </row>
    <row r="1977">
      <c r="A1977" s="1"/>
      <c r="B1977" s="3" t="str">
        <f t="shared" si="5"/>
        <v/>
      </c>
      <c r="C1977" s="31"/>
      <c r="D1977" s="37"/>
      <c r="E1977" s="37"/>
      <c r="F1977" s="1"/>
      <c r="G1977" s="37"/>
      <c r="H1977" s="46"/>
      <c r="I1977" s="37"/>
      <c r="J1977" s="17"/>
      <c r="K1977" s="17"/>
      <c r="L1977" s="37"/>
      <c r="M1977" s="37"/>
      <c r="N1977" s="17"/>
      <c r="O1977" s="1"/>
      <c r="P1977" s="15"/>
      <c r="Q1977" s="15"/>
      <c r="R1977" s="1"/>
      <c r="S1977" s="1"/>
    </row>
    <row r="1978">
      <c r="A1978" s="1"/>
      <c r="B1978" s="3" t="str">
        <f t="shared" si="5"/>
        <v/>
      </c>
      <c r="C1978" s="31"/>
      <c r="D1978" s="37"/>
      <c r="E1978" s="37"/>
      <c r="F1978" s="1"/>
      <c r="G1978" s="37"/>
      <c r="H1978" s="46"/>
      <c r="I1978" s="37"/>
      <c r="J1978" s="17"/>
      <c r="K1978" s="17"/>
      <c r="L1978" s="37"/>
      <c r="M1978" s="37"/>
      <c r="N1978" s="17"/>
      <c r="O1978" s="1"/>
      <c r="P1978" s="15"/>
      <c r="Q1978" s="15"/>
      <c r="R1978" s="1"/>
      <c r="S1978" s="1"/>
    </row>
    <row r="1979">
      <c r="A1979" s="1"/>
      <c r="B1979" s="3" t="str">
        <f t="shared" si="5"/>
        <v/>
      </c>
      <c r="C1979" s="31"/>
      <c r="D1979" s="37"/>
      <c r="E1979" s="37"/>
      <c r="F1979" s="1"/>
      <c r="G1979" s="37"/>
      <c r="H1979" s="46"/>
      <c r="I1979" s="37"/>
      <c r="J1979" s="17"/>
      <c r="K1979" s="17"/>
      <c r="L1979" s="37"/>
      <c r="M1979" s="37"/>
      <c r="N1979" s="17"/>
      <c r="O1979" s="1"/>
      <c r="P1979" s="15"/>
      <c r="Q1979" s="15"/>
      <c r="R1979" s="1"/>
      <c r="S1979" s="1"/>
    </row>
    <row r="1980">
      <c r="A1980" s="1"/>
      <c r="B1980" s="3" t="str">
        <f t="shared" si="5"/>
        <v/>
      </c>
      <c r="C1980" s="31"/>
      <c r="D1980" s="37"/>
      <c r="E1980" s="37"/>
      <c r="F1980" s="1"/>
      <c r="G1980" s="37"/>
      <c r="H1980" s="46"/>
      <c r="I1980" s="37"/>
      <c r="J1980" s="17"/>
      <c r="K1980" s="17"/>
      <c r="L1980" s="37"/>
      <c r="M1980" s="37"/>
      <c r="N1980" s="17"/>
      <c r="O1980" s="1"/>
      <c r="P1980" s="15"/>
      <c r="Q1980" s="15"/>
      <c r="R1980" s="1"/>
      <c r="S1980" s="1"/>
    </row>
    <row r="1981">
      <c r="A1981" s="1"/>
      <c r="B1981" s="3" t="str">
        <f t="shared" si="5"/>
        <v/>
      </c>
      <c r="C1981" s="31"/>
      <c r="D1981" s="37"/>
      <c r="E1981" s="37"/>
      <c r="F1981" s="1"/>
      <c r="G1981" s="37"/>
      <c r="H1981" s="46"/>
      <c r="I1981" s="37"/>
      <c r="J1981" s="17"/>
      <c r="K1981" s="17"/>
      <c r="L1981" s="37"/>
      <c r="M1981" s="37"/>
      <c r="N1981" s="17"/>
      <c r="O1981" s="1"/>
      <c r="P1981" s="15"/>
      <c r="Q1981" s="15"/>
      <c r="R1981" s="1"/>
      <c r="S1981" s="1"/>
    </row>
    <row r="1982">
      <c r="A1982" s="1"/>
      <c r="B1982" s="3" t="str">
        <f t="shared" si="5"/>
        <v/>
      </c>
      <c r="C1982" s="31"/>
      <c r="D1982" s="37"/>
      <c r="E1982" s="37"/>
      <c r="F1982" s="1"/>
      <c r="G1982" s="37"/>
      <c r="H1982" s="46"/>
      <c r="I1982" s="37"/>
      <c r="J1982" s="17"/>
      <c r="K1982" s="17"/>
      <c r="L1982" s="37"/>
      <c r="M1982" s="37"/>
      <c r="N1982" s="17"/>
      <c r="O1982" s="1"/>
      <c r="P1982" s="15"/>
      <c r="Q1982" s="15"/>
      <c r="R1982" s="1"/>
      <c r="S1982" s="1"/>
    </row>
    <row r="1983">
      <c r="A1983" s="1"/>
      <c r="B1983" s="3" t="str">
        <f t="shared" si="5"/>
        <v/>
      </c>
      <c r="C1983" s="31"/>
      <c r="D1983" s="37"/>
      <c r="E1983" s="37"/>
      <c r="F1983" s="1"/>
      <c r="G1983" s="37"/>
      <c r="H1983" s="46"/>
      <c r="I1983" s="37"/>
      <c r="J1983" s="17"/>
      <c r="K1983" s="17"/>
      <c r="L1983" s="37"/>
      <c r="M1983" s="37"/>
      <c r="N1983" s="17"/>
      <c r="O1983" s="1"/>
      <c r="P1983" s="15"/>
      <c r="Q1983" s="15"/>
      <c r="R1983" s="1"/>
      <c r="S1983" s="1"/>
    </row>
    <row r="1984">
      <c r="A1984" s="1"/>
      <c r="B1984" s="3" t="str">
        <f t="shared" si="5"/>
        <v/>
      </c>
      <c r="C1984" s="31"/>
      <c r="D1984" s="37"/>
      <c r="E1984" s="37"/>
      <c r="F1984" s="1"/>
      <c r="G1984" s="37"/>
      <c r="H1984" s="46"/>
      <c r="I1984" s="37"/>
      <c r="J1984" s="17"/>
      <c r="K1984" s="17"/>
      <c r="L1984" s="37"/>
      <c r="M1984" s="37"/>
      <c r="N1984" s="17"/>
      <c r="O1984" s="1"/>
      <c r="P1984" s="15"/>
      <c r="Q1984" s="15"/>
      <c r="R1984" s="1"/>
      <c r="S1984" s="1"/>
    </row>
    <row r="1985">
      <c r="A1985" s="1"/>
      <c r="B1985" s="3" t="str">
        <f t="shared" si="5"/>
        <v/>
      </c>
      <c r="C1985" s="31"/>
      <c r="D1985" s="37"/>
      <c r="E1985" s="37"/>
      <c r="F1985" s="1"/>
      <c r="G1985" s="37"/>
      <c r="H1985" s="46"/>
      <c r="I1985" s="37"/>
      <c r="J1985" s="17"/>
      <c r="K1985" s="17"/>
      <c r="L1985" s="37"/>
      <c r="M1985" s="37"/>
      <c r="N1985" s="17"/>
      <c r="O1985" s="1"/>
      <c r="P1985" s="15"/>
      <c r="Q1985" s="15"/>
      <c r="R1985" s="1"/>
      <c r="S1985" s="1"/>
    </row>
    <row r="1986">
      <c r="A1986" s="1"/>
      <c r="B1986" s="3" t="str">
        <f t="shared" si="5"/>
        <v/>
      </c>
      <c r="C1986" s="31"/>
      <c r="D1986" s="37"/>
      <c r="E1986" s="37"/>
      <c r="F1986" s="1"/>
      <c r="G1986" s="37"/>
      <c r="H1986" s="46"/>
      <c r="I1986" s="37"/>
      <c r="J1986" s="17"/>
      <c r="K1986" s="17"/>
      <c r="L1986" s="37"/>
      <c r="M1986" s="37"/>
      <c r="N1986" s="17"/>
      <c r="O1986" s="1"/>
      <c r="P1986" s="15"/>
      <c r="Q1986" s="15"/>
      <c r="R1986" s="1"/>
      <c r="S1986" s="1"/>
    </row>
    <row r="1987">
      <c r="A1987" s="1"/>
      <c r="B1987" s="3" t="str">
        <f t="shared" si="5"/>
        <v/>
      </c>
      <c r="C1987" s="31"/>
      <c r="D1987" s="37"/>
      <c r="E1987" s="37"/>
      <c r="F1987" s="1"/>
      <c r="G1987" s="37"/>
      <c r="H1987" s="46"/>
      <c r="I1987" s="37"/>
      <c r="J1987" s="17"/>
      <c r="K1987" s="17"/>
      <c r="L1987" s="37"/>
      <c r="M1987" s="37"/>
      <c r="N1987" s="17"/>
      <c r="O1987" s="1"/>
      <c r="P1987" s="15"/>
      <c r="Q1987" s="15"/>
      <c r="R1987" s="1"/>
      <c r="S1987" s="1"/>
    </row>
    <row r="1988">
      <c r="A1988" s="1"/>
      <c r="B1988" s="3" t="str">
        <f t="shared" si="5"/>
        <v/>
      </c>
      <c r="C1988" s="31"/>
      <c r="D1988" s="37"/>
      <c r="E1988" s="37"/>
      <c r="F1988" s="1"/>
      <c r="G1988" s="37"/>
      <c r="H1988" s="46"/>
      <c r="I1988" s="37"/>
      <c r="J1988" s="17"/>
      <c r="K1988" s="17"/>
      <c r="L1988" s="37"/>
      <c r="M1988" s="37"/>
      <c r="N1988" s="17"/>
      <c r="O1988" s="1"/>
      <c r="P1988" s="15"/>
      <c r="Q1988" s="15"/>
      <c r="R1988" s="1"/>
      <c r="S1988" s="1"/>
    </row>
    <row r="1989">
      <c r="A1989" s="1"/>
      <c r="B1989" s="3" t="str">
        <f t="shared" si="5"/>
        <v/>
      </c>
      <c r="C1989" s="31"/>
      <c r="D1989" s="37"/>
      <c r="E1989" s="37"/>
      <c r="F1989" s="1"/>
      <c r="G1989" s="37"/>
      <c r="H1989" s="46"/>
      <c r="I1989" s="37"/>
      <c r="J1989" s="17"/>
      <c r="K1989" s="17"/>
      <c r="L1989" s="37"/>
      <c r="M1989" s="37"/>
      <c r="N1989" s="17"/>
      <c r="O1989" s="1"/>
      <c r="P1989" s="15"/>
      <c r="Q1989" s="15"/>
      <c r="R1989" s="1"/>
      <c r="S1989" s="1"/>
    </row>
    <row r="1990">
      <c r="A1990" s="1"/>
      <c r="B1990" s="3" t="str">
        <f t="shared" si="5"/>
        <v/>
      </c>
      <c r="C1990" s="31"/>
      <c r="D1990" s="37"/>
      <c r="E1990" s="37"/>
      <c r="F1990" s="1"/>
      <c r="G1990" s="37"/>
      <c r="H1990" s="46"/>
      <c r="I1990" s="37"/>
      <c r="J1990" s="17"/>
      <c r="K1990" s="17"/>
      <c r="L1990" s="37"/>
      <c r="M1990" s="37"/>
      <c r="N1990" s="17"/>
      <c r="O1990" s="1"/>
      <c r="P1990" s="15"/>
      <c r="Q1990" s="15"/>
      <c r="R1990" s="1"/>
      <c r="S1990" s="1"/>
    </row>
    <row r="1991">
      <c r="A1991" s="1"/>
      <c r="B1991" s="3" t="str">
        <f t="shared" si="5"/>
        <v/>
      </c>
      <c r="C1991" s="31"/>
      <c r="D1991" s="37"/>
      <c r="E1991" s="37"/>
      <c r="F1991" s="1"/>
      <c r="G1991" s="37"/>
      <c r="H1991" s="46"/>
      <c r="I1991" s="37"/>
      <c r="J1991" s="17"/>
      <c r="K1991" s="17"/>
      <c r="L1991" s="37"/>
      <c r="M1991" s="37"/>
      <c r="N1991" s="17"/>
      <c r="O1991" s="1"/>
      <c r="P1991" s="15"/>
      <c r="Q1991" s="15"/>
      <c r="R1991" s="1"/>
      <c r="S1991" s="1"/>
    </row>
    <row r="1992">
      <c r="A1992" s="1"/>
      <c r="B1992" s="3" t="str">
        <f t="shared" si="5"/>
        <v/>
      </c>
      <c r="C1992" s="31"/>
      <c r="D1992" s="37"/>
      <c r="E1992" s="37"/>
      <c r="F1992" s="1"/>
      <c r="G1992" s="37"/>
      <c r="H1992" s="46"/>
      <c r="I1992" s="37"/>
      <c r="J1992" s="17"/>
      <c r="K1992" s="17"/>
      <c r="L1992" s="37"/>
      <c r="M1992" s="37"/>
      <c r="N1992" s="17"/>
      <c r="O1992" s="1"/>
      <c r="P1992" s="15"/>
      <c r="Q1992" s="15"/>
      <c r="R1992" s="1"/>
      <c r="S1992" s="1"/>
    </row>
    <row r="1993">
      <c r="A1993" s="1"/>
      <c r="B1993" s="3" t="str">
        <f t="shared" si="5"/>
        <v/>
      </c>
      <c r="C1993" s="31"/>
      <c r="D1993" s="37"/>
      <c r="E1993" s="37"/>
      <c r="F1993" s="1"/>
      <c r="G1993" s="37"/>
      <c r="H1993" s="46"/>
      <c r="I1993" s="37"/>
      <c r="J1993" s="17"/>
      <c r="K1993" s="17"/>
      <c r="L1993" s="37"/>
      <c r="M1993" s="37"/>
      <c r="N1993" s="17"/>
      <c r="O1993" s="1"/>
      <c r="P1993" s="15"/>
      <c r="Q1993" s="15"/>
      <c r="R1993" s="1"/>
      <c r="S1993" s="1"/>
    </row>
    <row r="1994">
      <c r="A1994" s="1"/>
      <c r="B1994" s="3" t="str">
        <f t="shared" si="5"/>
        <v/>
      </c>
      <c r="C1994" s="31"/>
      <c r="D1994" s="37"/>
      <c r="E1994" s="37"/>
      <c r="F1994" s="1"/>
      <c r="G1994" s="37"/>
      <c r="H1994" s="46"/>
      <c r="I1994" s="37"/>
      <c r="J1994" s="17"/>
      <c r="K1994" s="17"/>
      <c r="L1994" s="37"/>
      <c r="M1994" s="37"/>
      <c r="N1994" s="17"/>
      <c r="O1994" s="1"/>
      <c r="P1994" s="15"/>
      <c r="Q1994" s="15"/>
      <c r="R1994" s="1"/>
      <c r="S1994" s="1"/>
    </row>
    <row r="1995">
      <c r="A1995" s="1"/>
      <c r="B1995" s="3" t="str">
        <f t="shared" si="5"/>
        <v/>
      </c>
      <c r="C1995" s="31"/>
      <c r="D1995" s="37"/>
      <c r="E1995" s="37"/>
      <c r="F1995" s="1"/>
      <c r="G1995" s="37"/>
      <c r="H1995" s="46"/>
      <c r="I1995" s="37"/>
      <c r="J1995" s="17"/>
      <c r="K1995" s="17"/>
      <c r="L1995" s="37"/>
      <c r="M1995" s="37"/>
      <c r="N1995" s="17"/>
      <c r="O1995" s="1"/>
      <c r="P1995" s="15"/>
      <c r="Q1995" s="15"/>
      <c r="R1995" s="1"/>
      <c r="S1995" s="1"/>
    </row>
    <row r="1996">
      <c r="A1996" s="1"/>
      <c r="B1996" s="3" t="str">
        <f t="shared" si="5"/>
        <v/>
      </c>
      <c r="C1996" s="31"/>
      <c r="D1996" s="37"/>
      <c r="E1996" s="37"/>
      <c r="F1996" s="1"/>
      <c r="G1996" s="37"/>
      <c r="H1996" s="46"/>
      <c r="I1996" s="37"/>
      <c r="J1996" s="17"/>
      <c r="K1996" s="17"/>
      <c r="L1996" s="37"/>
      <c r="M1996" s="37"/>
      <c r="N1996" s="17"/>
      <c r="O1996" s="1"/>
      <c r="P1996" s="15"/>
      <c r="Q1996" s="15"/>
      <c r="R1996" s="1"/>
      <c r="S1996" s="1"/>
    </row>
    <row r="1997">
      <c r="A1997" s="1"/>
      <c r="B1997" s="3" t="str">
        <f t="shared" si="5"/>
        <v/>
      </c>
      <c r="C1997" s="31"/>
      <c r="D1997" s="37"/>
      <c r="E1997" s="37"/>
      <c r="F1997" s="1"/>
      <c r="G1997" s="37"/>
      <c r="H1997" s="46"/>
      <c r="I1997" s="37"/>
      <c r="J1997" s="17"/>
      <c r="K1997" s="17"/>
      <c r="L1997" s="37"/>
      <c r="M1997" s="37"/>
      <c r="N1997" s="17"/>
      <c r="O1997" s="1"/>
      <c r="P1997" s="15"/>
      <c r="Q1997" s="15"/>
      <c r="R1997" s="1"/>
      <c r="S1997" s="1"/>
    </row>
    <row r="1998">
      <c r="A1998" s="1"/>
      <c r="B1998" s="3" t="str">
        <f t="shared" si="5"/>
        <v/>
      </c>
      <c r="C1998" s="31"/>
      <c r="D1998" s="37"/>
      <c r="E1998" s="37"/>
      <c r="F1998" s="1"/>
      <c r="G1998" s="37"/>
      <c r="H1998" s="46"/>
      <c r="I1998" s="37"/>
      <c r="J1998" s="17"/>
      <c r="K1998" s="17"/>
      <c r="L1998" s="37"/>
      <c r="M1998" s="37"/>
      <c r="N1998" s="17"/>
      <c r="O1998" s="1"/>
      <c r="P1998" s="15"/>
      <c r="Q1998" s="15"/>
      <c r="R1998" s="1"/>
      <c r="S1998" s="1"/>
    </row>
  </sheetData>
  <dataValidations>
    <dataValidation type="list" allowBlank="1" showErrorMessage="1" sqref="D1412">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,servicios generales"</formula1>
    </dataValidation>
    <dataValidation type="list" allowBlank="1" showErrorMessage="1" sqref="D1630">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,Sistema "</formula1>
    </dataValidation>
    <dataValidation type="list" allowBlank="1" showErrorMessage="1" sqref="D1500">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,Pasante Finanzas"</formula1>
    </dataValidation>
    <dataValidation type="list" allowBlank="1" showErrorMessage="1" sqref="D5:D1094 D1096:D1399 D1401:D1404 D1406:D1411 D1413:D1499 D1501:D1629 D1631:D1998">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formula1>
    </dataValidation>
    <dataValidation type="list" allowBlank="1" showErrorMessage="1" sqref="L5:L1998">
      <formula1>"Descartado,Elegible,No Entrevistado"</formula1>
    </dataValidation>
    <dataValidation type="list" allowBlank="1" showErrorMessage="1" sqref="D1095">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,Operadora de Trafico"</formula1>
    </dataValidation>
    <dataValidation type="list" allowBlank="1" showErrorMessage="1" sqref="I5:I1998">
      <formula1>"Charinga, S,Gonzalez, F,Hernandez, MF,Maria Fernanda,Mesa, R,No Entrevistado,Quintero, MF,Rodriguez, E.,Sala, D,Villarroel, A,Colmenares, E"</formula1>
    </dataValidation>
    <dataValidation type="list" allowBlank="1" showErrorMessage="1" sqref="D1400">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,Pasante de Tecnologia"</formula1>
    </dataValidation>
    <dataValidation type="list" allowBlank="1" showErrorMessage="1" sqref="M5:M1998">
      <formula1>"BU11ANN,BU13LG,BU14BSC,BU15BEP,BU16BER,BU17ANNER,BU18ZGB,BU19BM,BU1BLT,BU20BB,BU2BLB,BU3BLN,BU4BAV,BU5BSB,BU6BSLC,Sin asignar"</formula1>
    </dataValidation>
    <dataValidation type="list" allowBlank="1" showErrorMessage="1" sqref="G5:G1487 G1489:G1998">
      <formula1>"Correo Electrónico,LinkedIn,Whatsapp,Solicitud Preempleo,Referido,Tienda,Kuentro"</formula1>
    </dataValidation>
    <dataValidation type="list" allowBlank="1" showErrorMessage="1" sqref="N5:N1998">
      <formula1>"No,Si"</formula1>
    </dataValidation>
    <dataValidation type="list" allowBlank="1" showErrorMessage="1" sqref="D1405">
      <formula1>"Ayudante Integral,Almacenista,Anfitriona,Ayudante de Barra / Bartender,Ayudante de Sala,Bartender,Cadena de Suministro,Cajera,Chofer,Cocinero / Sushero,Coord. Motorizados,Creador de Contenido,Delivery,Disenador Grafico,Empaquetador,Gerente,Jefe de Cocina,"&amp;"Jefe de sala,Mantenimiento,Marketing,Mesonero,Nomina,Supervisor,Valet Parking,Asesora de ventas,Analista y Cuentas por Pagar ,Distribucion y Logistica"</formula1>
    </dataValidation>
  </dataValidations>
  <hyperlinks>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20"/>
    <hyperlink r:id="rId18" ref="F21"/>
    <hyperlink r:id="rId19" ref="F23"/>
    <hyperlink r:id="rId20" ref="F24"/>
    <hyperlink r:id="rId21" ref="F26"/>
    <hyperlink r:id="rId22" ref="F28"/>
    <hyperlink r:id="rId23" ref="F29"/>
    <hyperlink r:id="rId24" ref="F30"/>
    <hyperlink r:id="rId25" ref="F33"/>
    <hyperlink r:id="rId26" ref="F37"/>
    <hyperlink r:id="rId27" ref="F38"/>
    <hyperlink r:id="rId28" ref="F39"/>
    <hyperlink r:id="rId29" ref="F40"/>
    <hyperlink r:id="rId30" ref="F44"/>
    <hyperlink r:id="rId31" ref="F47"/>
    <hyperlink r:id="rId32" ref="F48"/>
    <hyperlink r:id="rId33" ref="F49"/>
    <hyperlink r:id="rId34" ref="F50"/>
    <hyperlink r:id="rId35" ref="F51"/>
    <hyperlink r:id="rId36" ref="F52"/>
    <hyperlink r:id="rId37" ref="F53"/>
    <hyperlink r:id="rId38" ref="F54"/>
    <hyperlink r:id="rId39" ref="F56"/>
    <hyperlink r:id="rId40" ref="F57"/>
    <hyperlink r:id="rId41" ref="F58"/>
    <hyperlink r:id="rId42" ref="F59"/>
    <hyperlink r:id="rId43" ref="F60"/>
    <hyperlink r:id="rId44" ref="F61"/>
    <hyperlink r:id="rId45" ref="F62"/>
    <hyperlink r:id="rId46" ref="F63"/>
    <hyperlink r:id="rId47" ref="F64"/>
    <hyperlink r:id="rId48" ref="F66"/>
    <hyperlink r:id="rId49" ref="F67"/>
    <hyperlink r:id="rId50" ref="F68"/>
    <hyperlink r:id="rId51" ref="F69"/>
    <hyperlink r:id="rId52" ref="F70"/>
    <hyperlink r:id="rId53" ref="F71"/>
    <hyperlink r:id="rId54" ref="F72"/>
    <hyperlink r:id="rId55" ref="F73"/>
    <hyperlink r:id="rId56" ref="F74"/>
    <hyperlink r:id="rId57" ref="F75"/>
    <hyperlink r:id="rId58" ref="F76"/>
    <hyperlink r:id="rId59" ref="F77"/>
    <hyperlink r:id="rId60" ref="F78"/>
    <hyperlink r:id="rId61" ref="F79"/>
    <hyperlink r:id="rId62" ref="F80"/>
    <hyperlink r:id="rId63" ref="F81"/>
    <hyperlink r:id="rId64" ref="F82"/>
    <hyperlink r:id="rId65" ref="F83"/>
    <hyperlink r:id="rId66" ref="F84"/>
    <hyperlink r:id="rId67" ref="F85"/>
    <hyperlink r:id="rId68" ref="F86"/>
    <hyperlink r:id="rId69" ref="F87"/>
    <hyperlink r:id="rId70" ref="F88"/>
    <hyperlink r:id="rId71" ref="F89"/>
    <hyperlink r:id="rId72" ref="F90"/>
    <hyperlink r:id="rId73" ref="F91"/>
    <hyperlink r:id="rId74" ref="F92"/>
    <hyperlink r:id="rId75" ref="F93"/>
    <hyperlink r:id="rId76" ref="F94"/>
    <hyperlink r:id="rId77" ref="F95"/>
    <hyperlink r:id="rId78" ref="F96"/>
    <hyperlink r:id="rId79" ref="F97"/>
    <hyperlink r:id="rId80" ref="F98"/>
    <hyperlink r:id="rId81" ref="F108"/>
    <hyperlink r:id="rId82" ref="F114"/>
    <hyperlink r:id="rId83" ref="F117"/>
    <hyperlink r:id="rId84" ref="F118"/>
    <hyperlink r:id="rId85" ref="F139"/>
    <hyperlink r:id="rId86" ref="F186"/>
    <hyperlink r:id="rId87" ref="F227"/>
    <hyperlink r:id="rId88" ref="F351"/>
    <hyperlink r:id="rId89" ref="F397"/>
    <hyperlink r:id="rId90" ref="F424"/>
    <hyperlink r:id="rId91" ref="F434"/>
    <hyperlink r:id="rId92" ref="F502"/>
    <hyperlink r:id="rId93" ref="F511"/>
    <hyperlink r:id="rId94" ref="F514"/>
    <hyperlink r:id="rId95" ref="F523"/>
    <hyperlink r:id="rId96" ref="F585"/>
    <hyperlink r:id="rId97" ref="F588"/>
    <hyperlink r:id="rId98" ref="F589"/>
    <hyperlink r:id="rId99" ref="F590"/>
    <hyperlink r:id="rId100" ref="F591"/>
    <hyperlink r:id="rId101" ref="F592"/>
    <hyperlink r:id="rId102" ref="F593"/>
    <hyperlink r:id="rId103" ref="F594"/>
    <hyperlink r:id="rId104" ref="F595"/>
    <hyperlink r:id="rId105" ref="F596"/>
    <hyperlink r:id="rId106" ref="F597"/>
    <hyperlink r:id="rId107" ref="F598"/>
    <hyperlink r:id="rId108" ref="F599"/>
    <hyperlink r:id="rId109" ref="F600"/>
    <hyperlink r:id="rId110" ref="F601"/>
    <hyperlink r:id="rId111" ref="F602"/>
    <hyperlink r:id="rId112" ref="F603"/>
    <hyperlink r:id="rId113" ref="F604"/>
    <hyperlink r:id="rId114" ref="F605"/>
    <hyperlink r:id="rId115" ref="F606"/>
    <hyperlink r:id="rId116" ref="F607"/>
    <hyperlink r:id="rId117" ref="F608"/>
    <hyperlink r:id="rId118" ref="F614"/>
    <hyperlink r:id="rId119" ref="F617"/>
    <hyperlink r:id="rId120" ref="F619"/>
    <hyperlink r:id="rId121" ref="F620"/>
    <hyperlink r:id="rId122" ref="F626"/>
    <hyperlink r:id="rId123" ref="F630"/>
    <hyperlink r:id="rId124" ref="F637"/>
    <hyperlink r:id="rId125" ref="F638"/>
    <hyperlink r:id="rId126" ref="F642"/>
    <hyperlink r:id="rId127" ref="F646"/>
    <hyperlink r:id="rId128" ref="F650"/>
    <hyperlink r:id="rId129" ref="F653"/>
    <hyperlink r:id="rId130" ref="F657"/>
    <hyperlink r:id="rId131" ref="F660"/>
    <hyperlink r:id="rId132" ref="F661"/>
    <hyperlink r:id="rId133" ref="F662"/>
    <hyperlink r:id="rId134" ref="F663"/>
    <hyperlink r:id="rId135" ref="F664"/>
    <hyperlink r:id="rId136" ref="F665"/>
    <hyperlink r:id="rId137" ref="F666"/>
    <hyperlink r:id="rId138" ref="F667"/>
    <hyperlink r:id="rId139" ref="F668"/>
    <hyperlink r:id="rId140" ref="F669"/>
    <hyperlink r:id="rId141" ref="F670"/>
    <hyperlink r:id="rId142" ref="F671"/>
    <hyperlink r:id="rId143" ref="F672"/>
    <hyperlink r:id="rId144" ref="F673"/>
    <hyperlink r:id="rId145" ref="F674"/>
    <hyperlink r:id="rId146" ref="F675"/>
    <hyperlink r:id="rId147" ref="F676"/>
    <hyperlink r:id="rId148" ref="F677"/>
    <hyperlink r:id="rId149" ref="F678"/>
    <hyperlink r:id="rId150" ref="F679"/>
    <hyperlink r:id="rId151" ref="F680"/>
    <hyperlink r:id="rId152" ref="F681"/>
    <hyperlink r:id="rId153" ref="F682"/>
    <hyperlink r:id="rId154" ref="F683"/>
    <hyperlink r:id="rId155" ref="F684"/>
    <hyperlink r:id="rId156" ref="F685"/>
    <hyperlink r:id="rId157" ref="F686"/>
    <hyperlink r:id="rId158" ref="F687"/>
    <hyperlink r:id="rId159" ref="F688"/>
    <hyperlink r:id="rId160" ref="F689"/>
    <hyperlink r:id="rId161" ref="F690"/>
    <hyperlink r:id="rId162" ref="F691"/>
    <hyperlink r:id="rId163" ref="F692"/>
    <hyperlink r:id="rId164" ref="F693"/>
    <hyperlink r:id="rId165" ref="F694"/>
    <hyperlink r:id="rId166" ref="F695"/>
    <hyperlink r:id="rId167" ref="F696"/>
    <hyperlink r:id="rId168" ref="F711"/>
    <hyperlink r:id="rId169" ref="F739"/>
    <hyperlink r:id="rId170" ref="F740"/>
    <hyperlink r:id="rId171" ref="F741"/>
    <hyperlink r:id="rId172" ref="F742"/>
    <hyperlink r:id="rId173" ref="F743"/>
    <hyperlink r:id="rId174" ref="F744"/>
    <hyperlink r:id="rId175" ref="F746"/>
    <hyperlink r:id="rId176" ref="F751"/>
    <hyperlink r:id="rId177" ref="F753"/>
    <hyperlink r:id="rId178" ref="F754"/>
    <hyperlink r:id="rId179" ref="F755"/>
    <hyperlink r:id="rId180" ref="F756"/>
    <hyperlink r:id="rId181" ref="F757"/>
    <hyperlink r:id="rId182" ref="F758"/>
    <hyperlink r:id="rId183" ref="F759"/>
    <hyperlink r:id="rId184" ref="F760"/>
    <hyperlink r:id="rId185" ref="F761"/>
    <hyperlink r:id="rId186" ref="F762"/>
    <hyperlink r:id="rId187" ref="F763"/>
    <hyperlink r:id="rId188" ref="F764"/>
    <hyperlink r:id="rId189" ref="F765"/>
    <hyperlink r:id="rId190" ref="F766"/>
    <hyperlink r:id="rId191" ref="F767"/>
    <hyperlink r:id="rId192" ref="F768"/>
    <hyperlink r:id="rId193" ref="F769"/>
    <hyperlink r:id="rId194" ref="F770"/>
    <hyperlink r:id="rId195" ref="F771"/>
    <hyperlink r:id="rId196" ref="F772"/>
    <hyperlink r:id="rId197" ref="F773"/>
    <hyperlink r:id="rId198" ref="F774"/>
    <hyperlink r:id="rId199" ref="F775"/>
    <hyperlink r:id="rId200" ref="F776"/>
    <hyperlink r:id="rId201" ref="F777"/>
    <hyperlink r:id="rId202" ref="F778"/>
    <hyperlink r:id="rId203" ref="F779"/>
    <hyperlink r:id="rId204" ref="F780"/>
    <hyperlink r:id="rId205" ref="F781"/>
    <hyperlink r:id="rId206" ref="F782"/>
    <hyperlink r:id="rId207" ref="F783"/>
    <hyperlink r:id="rId208" ref="F784"/>
    <hyperlink r:id="rId209" ref="F785"/>
    <hyperlink r:id="rId210" ref="F786"/>
    <hyperlink r:id="rId211" ref="F787"/>
    <hyperlink r:id="rId212" ref="F788"/>
    <hyperlink r:id="rId213" ref="F789"/>
    <hyperlink r:id="rId214" ref="F790"/>
    <hyperlink r:id="rId215" ref="F791"/>
    <hyperlink r:id="rId216" ref="F792"/>
    <hyperlink r:id="rId217" ref="F793"/>
    <hyperlink r:id="rId218" ref="F794"/>
    <hyperlink r:id="rId219" ref="F795"/>
    <hyperlink r:id="rId220" ref="F796"/>
    <hyperlink r:id="rId221" ref="F797"/>
    <hyperlink r:id="rId222" ref="F798"/>
    <hyperlink r:id="rId223" ref="F799"/>
    <hyperlink r:id="rId224" ref="F800"/>
    <hyperlink r:id="rId225" ref="F801"/>
    <hyperlink r:id="rId226" ref="F802"/>
    <hyperlink r:id="rId227" ref="F803"/>
    <hyperlink r:id="rId228" ref="F804"/>
    <hyperlink r:id="rId229" ref="F805"/>
    <hyperlink r:id="rId230" ref="F806"/>
    <hyperlink r:id="rId231" ref="F807"/>
    <hyperlink r:id="rId232" ref="F808"/>
    <hyperlink r:id="rId233" ref="F809"/>
    <hyperlink r:id="rId234" ref="F810"/>
    <hyperlink r:id="rId235" ref="F811"/>
    <hyperlink r:id="rId236" ref="F812"/>
    <hyperlink r:id="rId237" ref="F813"/>
    <hyperlink r:id="rId238" ref="F814"/>
    <hyperlink r:id="rId239" ref="F815"/>
    <hyperlink r:id="rId240" ref="F816"/>
    <hyperlink r:id="rId241" ref="F817"/>
    <hyperlink r:id="rId242" ref="F818"/>
    <hyperlink r:id="rId243" ref="F819"/>
    <hyperlink r:id="rId244" ref="F820"/>
    <hyperlink r:id="rId245" ref="F822"/>
    <hyperlink r:id="rId246" ref="F823"/>
    <hyperlink r:id="rId247" ref="F824"/>
    <hyperlink r:id="rId248" ref="F825"/>
    <hyperlink r:id="rId249" ref="F826"/>
    <hyperlink r:id="rId250" ref="F827"/>
    <hyperlink r:id="rId251" ref="F828"/>
    <hyperlink r:id="rId252" ref="F829"/>
    <hyperlink r:id="rId253" ref="F830"/>
    <hyperlink r:id="rId254" ref="F831"/>
    <hyperlink r:id="rId255" ref="F832"/>
    <hyperlink r:id="rId256" ref="F833"/>
    <hyperlink r:id="rId257" ref="F834"/>
    <hyperlink r:id="rId258" ref="F835"/>
    <hyperlink r:id="rId259" ref="F836"/>
    <hyperlink r:id="rId260" ref="F837"/>
    <hyperlink r:id="rId261" ref="F840"/>
    <hyperlink r:id="rId262" ref="F841"/>
    <hyperlink r:id="rId263" ref="F842"/>
    <hyperlink r:id="rId264" ref="F843"/>
    <hyperlink r:id="rId265" ref="F844"/>
    <hyperlink r:id="rId266" ref="F845"/>
    <hyperlink r:id="rId267" ref="F846"/>
    <hyperlink r:id="rId268" ref="F847"/>
    <hyperlink r:id="rId269" ref="F848"/>
    <hyperlink r:id="rId270" ref="F849"/>
    <hyperlink r:id="rId271" ref="F850"/>
    <hyperlink r:id="rId272" ref="F851"/>
    <hyperlink r:id="rId273" ref="F852"/>
    <hyperlink r:id="rId274" ref="F853"/>
    <hyperlink r:id="rId275" ref="F854"/>
    <hyperlink r:id="rId276" ref="F855"/>
    <hyperlink r:id="rId277" ref="F856"/>
    <hyperlink r:id="rId278" ref="F857"/>
    <hyperlink r:id="rId279" ref="F858"/>
    <hyperlink r:id="rId280" ref="F859"/>
    <hyperlink r:id="rId281" ref="F860"/>
    <hyperlink r:id="rId282" ref="F861"/>
    <hyperlink r:id="rId283" ref="F862"/>
    <hyperlink r:id="rId284" ref="F863"/>
    <hyperlink r:id="rId285" ref="F864"/>
    <hyperlink r:id="rId286" ref="F865"/>
    <hyperlink r:id="rId287" ref="F866"/>
    <hyperlink r:id="rId288" ref="F867"/>
    <hyperlink r:id="rId289" ref="F868"/>
    <hyperlink r:id="rId290" ref="F869"/>
    <hyperlink r:id="rId291" ref="F870"/>
    <hyperlink r:id="rId292" ref="F871"/>
    <hyperlink r:id="rId293" ref="F872"/>
    <hyperlink r:id="rId294" ref="F873"/>
    <hyperlink r:id="rId295" ref="F874"/>
    <hyperlink r:id="rId296" ref="F875"/>
    <hyperlink r:id="rId297" ref="F876"/>
    <hyperlink r:id="rId298" ref="F877"/>
    <hyperlink r:id="rId299" ref="F878"/>
    <hyperlink r:id="rId300" ref="F879"/>
    <hyperlink r:id="rId301" ref="F880"/>
    <hyperlink r:id="rId302" ref="F881"/>
    <hyperlink r:id="rId303" ref="F882"/>
    <hyperlink r:id="rId304" ref="F883"/>
    <hyperlink r:id="rId305" ref="F884"/>
    <hyperlink r:id="rId306" ref="F885"/>
    <hyperlink r:id="rId307" ref="F886"/>
    <hyperlink r:id="rId308" ref="F887"/>
    <hyperlink r:id="rId309" ref="F888"/>
    <hyperlink r:id="rId310" ref="F889"/>
    <hyperlink r:id="rId311" ref="F890"/>
    <hyperlink r:id="rId312" ref="F891"/>
    <hyperlink r:id="rId313" ref="F892"/>
    <hyperlink r:id="rId314" ref="F893"/>
    <hyperlink r:id="rId315" ref="F894"/>
    <hyperlink r:id="rId316" ref="F895"/>
    <hyperlink r:id="rId317" ref="F896"/>
    <hyperlink r:id="rId318" ref="F897"/>
    <hyperlink r:id="rId319" ref="F898"/>
    <hyperlink r:id="rId320" ref="F899"/>
    <hyperlink r:id="rId321" ref="F900"/>
    <hyperlink r:id="rId322" ref="F901"/>
    <hyperlink r:id="rId323" ref="F902"/>
    <hyperlink r:id="rId324" ref="F903"/>
    <hyperlink r:id="rId325" ref="F904"/>
    <hyperlink r:id="rId326" ref="F905"/>
    <hyperlink r:id="rId327" ref="F906"/>
    <hyperlink r:id="rId328" ref="F916"/>
    <hyperlink r:id="rId329" ref="F919"/>
    <hyperlink r:id="rId330" ref="F922"/>
    <hyperlink r:id="rId331" ref="F923"/>
    <hyperlink r:id="rId332" ref="F924"/>
    <hyperlink r:id="rId333" ref="F925"/>
    <hyperlink r:id="rId334" ref="F926"/>
    <hyperlink r:id="rId335" ref="F927"/>
    <hyperlink r:id="rId336" ref="F928"/>
    <hyperlink r:id="rId337" ref="F929"/>
    <hyperlink r:id="rId338" ref="F930"/>
    <hyperlink r:id="rId339" ref="F931"/>
    <hyperlink r:id="rId340" ref="F932"/>
    <hyperlink r:id="rId341" ref="F933"/>
    <hyperlink r:id="rId342" ref="F934"/>
    <hyperlink r:id="rId343" ref="F935"/>
    <hyperlink r:id="rId344" ref="F936"/>
    <hyperlink r:id="rId345" ref="F937"/>
    <hyperlink r:id="rId346" ref="F938"/>
    <hyperlink r:id="rId347" ref="F939"/>
    <hyperlink r:id="rId348" ref="F940"/>
    <hyperlink r:id="rId349" ref="F941"/>
    <hyperlink r:id="rId350" ref="F942"/>
    <hyperlink r:id="rId351" ref="F943"/>
    <hyperlink r:id="rId352" ref="F944"/>
    <hyperlink r:id="rId353" ref="F945"/>
    <hyperlink r:id="rId354" ref="F946"/>
    <hyperlink r:id="rId355" ref="F947"/>
    <hyperlink r:id="rId356" ref="F948"/>
    <hyperlink r:id="rId357" ref="F949"/>
    <hyperlink r:id="rId358" ref="F950"/>
    <hyperlink r:id="rId359" ref="F951"/>
    <hyperlink r:id="rId360" ref="F952"/>
    <hyperlink r:id="rId361" ref="F953"/>
    <hyperlink r:id="rId362" ref="F954"/>
    <hyperlink r:id="rId363" ref="F955"/>
    <hyperlink r:id="rId364" ref="F956"/>
    <hyperlink r:id="rId365" ref="F957"/>
    <hyperlink r:id="rId366" ref="F958"/>
    <hyperlink r:id="rId367" ref="F959"/>
    <hyperlink r:id="rId368" ref="F960"/>
    <hyperlink r:id="rId369" ref="F961"/>
    <hyperlink r:id="rId370" ref="F962"/>
    <hyperlink r:id="rId371" ref="F963"/>
    <hyperlink r:id="rId372" ref="F964"/>
    <hyperlink r:id="rId373" ref="F965"/>
    <hyperlink r:id="rId374" ref="F966"/>
    <hyperlink r:id="rId375" ref="F967"/>
    <hyperlink r:id="rId376" ref="F968"/>
    <hyperlink r:id="rId377" ref="F969"/>
    <hyperlink r:id="rId378" ref="F970"/>
    <hyperlink r:id="rId379" ref="F971"/>
    <hyperlink r:id="rId380" ref="F972"/>
    <hyperlink r:id="rId381" ref="F973"/>
    <hyperlink r:id="rId382" ref="F974"/>
    <hyperlink r:id="rId383" ref="F975"/>
    <hyperlink r:id="rId384" ref="F976"/>
    <hyperlink r:id="rId385" ref="F977"/>
    <hyperlink r:id="rId386" ref="F979"/>
    <hyperlink r:id="rId387" ref="F988"/>
    <hyperlink r:id="rId388" ref="F989"/>
    <hyperlink r:id="rId389" ref="F990"/>
    <hyperlink r:id="rId390" ref="F991"/>
    <hyperlink r:id="rId391" ref="F992"/>
    <hyperlink r:id="rId392" ref="F993"/>
    <hyperlink r:id="rId393" ref="F994"/>
    <hyperlink r:id="rId394" ref="F995"/>
    <hyperlink r:id="rId395" ref="F996"/>
    <hyperlink r:id="rId396" ref="F997"/>
    <hyperlink r:id="rId397" ref="F998"/>
    <hyperlink r:id="rId398" ref="F1000"/>
    <hyperlink r:id="rId399" ref="F1002"/>
    <hyperlink r:id="rId400" ref="F1003"/>
    <hyperlink r:id="rId401" ref="F1004"/>
    <hyperlink r:id="rId402" ref="F1005"/>
    <hyperlink r:id="rId403" ref="F1006"/>
    <hyperlink r:id="rId404" ref="F1007"/>
    <hyperlink r:id="rId405" ref="F1008"/>
    <hyperlink r:id="rId406" ref="F1009"/>
    <hyperlink r:id="rId407" ref="F1010"/>
    <hyperlink r:id="rId408" ref="F1011"/>
    <hyperlink r:id="rId409" ref="F1012"/>
    <hyperlink r:id="rId410" ref="F1013"/>
    <hyperlink r:id="rId411" ref="F1014"/>
    <hyperlink r:id="rId412" ref="F1015"/>
    <hyperlink r:id="rId413" ref="F1016"/>
    <hyperlink r:id="rId414" ref="F1017"/>
    <hyperlink r:id="rId415" ref="F1018"/>
    <hyperlink r:id="rId416" ref="F1019"/>
    <hyperlink r:id="rId417" ref="F1020"/>
    <hyperlink r:id="rId418" ref="F1021"/>
    <hyperlink r:id="rId419" ref="F1022"/>
    <hyperlink r:id="rId420" ref="F1023"/>
    <hyperlink r:id="rId421" ref="F1024"/>
    <hyperlink r:id="rId422" ref="F1025"/>
    <hyperlink r:id="rId423" ref="F1026"/>
    <hyperlink r:id="rId424" ref="F1027"/>
    <hyperlink r:id="rId425" ref="F1028"/>
    <hyperlink r:id="rId426" ref="F1029"/>
    <hyperlink r:id="rId427" ref="F1030"/>
    <hyperlink r:id="rId428" ref="F1031"/>
    <hyperlink r:id="rId429" ref="F1032"/>
    <hyperlink r:id="rId430" ref="F1033"/>
    <hyperlink r:id="rId431" ref="F1034"/>
    <hyperlink r:id="rId432" ref="F1035"/>
    <hyperlink r:id="rId433" ref="F1036"/>
    <hyperlink r:id="rId434" ref="F1037"/>
    <hyperlink r:id="rId435" ref="F1038"/>
    <hyperlink r:id="rId436" ref="F1039"/>
    <hyperlink r:id="rId437" ref="F1040"/>
    <hyperlink r:id="rId438" ref="F1041"/>
    <hyperlink r:id="rId439" ref="F1042"/>
    <hyperlink r:id="rId440" ref="F1043"/>
    <hyperlink r:id="rId441" ref="F1044"/>
    <hyperlink r:id="rId442" ref="F1045"/>
    <hyperlink r:id="rId443" ref="F1046"/>
    <hyperlink r:id="rId444" ref="F1047"/>
    <hyperlink r:id="rId445" ref="F1048"/>
    <hyperlink r:id="rId446" ref="F1049"/>
    <hyperlink r:id="rId447" ref="F1050"/>
    <hyperlink r:id="rId448" ref="F1051"/>
    <hyperlink r:id="rId449" ref="F1052"/>
    <hyperlink r:id="rId450" ref="F1053"/>
    <hyperlink r:id="rId451" ref="F1054"/>
    <hyperlink r:id="rId452" ref="F1055"/>
    <hyperlink r:id="rId453" ref="F1056"/>
    <hyperlink r:id="rId454" ref="F1060"/>
    <hyperlink r:id="rId455" ref="F1061"/>
    <hyperlink r:id="rId456" ref="F1062"/>
    <hyperlink r:id="rId457" ref="F1063"/>
    <hyperlink r:id="rId458" ref="F1064"/>
    <hyperlink r:id="rId459" ref="F1065"/>
    <hyperlink r:id="rId460" ref="F1066"/>
    <hyperlink r:id="rId461" ref="F1067"/>
    <hyperlink r:id="rId462" ref="F1068"/>
    <hyperlink r:id="rId463" ref="F1070"/>
    <hyperlink r:id="rId464" ref="F1071"/>
    <hyperlink r:id="rId465" ref="F1072"/>
    <hyperlink r:id="rId466" ref="F1073"/>
    <hyperlink r:id="rId467" ref="F1074"/>
    <hyperlink r:id="rId468" ref="F1075"/>
    <hyperlink r:id="rId469" ref="F1076"/>
    <hyperlink r:id="rId470" ref="F1077"/>
    <hyperlink r:id="rId471" ref="F1078"/>
    <hyperlink r:id="rId472" ref="F1079"/>
    <hyperlink r:id="rId473" ref="F1080"/>
    <hyperlink r:id="rId474" ref="F1081"/>
    <hyperlink r:id="rId475" ref="F1083"/>
    <hyperlink r:id="rId476" ref="F1086"/>
    <hyperlink r:id="rId477" ref="F1087"/>
    <hyperlink r:id="rId478" ref="F1089"/>
    <hyperlink r:id="rId479" ref="F1091"/>
    <hyperlink r:id="rId480" ref="F1092"/>
    <hyperlink r:id="rId481" ref="F1093"/>
    <hyperlink r:id="rId482" ref="F1094"/>
    <hyperlink r:id="rId483" ref="F1095"/>
    <hyperlink r:id="rId484" ref="F1096"/>
    <hyperlink r:id="rId485" ref="F1097"/>
    <hyperlink r:id="rId486" ref="F1098"/>
    <hyperlink r:id="rId487" ref="F1099"/>
    <hyperlink r:id="rId488" ref="F1100"/>
    <hyperlink r:id="rId489" ref="F1101"/>
    <hyperlink r:id="rId490" ref="F1102"/>
    <hyperlink r:id="rId491" ref="F1103"/>
    <hyperlink r:id="rId492" ref="F1104"/>
    <hyperlink r:id="rId493" ref="F1105"/>
    <hyperlink r:id="rId494" ref="F1106"/>
    <hyperlink r:id="rId495" ref="F1107"/>
    <hyperlink r:id="rId496" ref="F1108"/>
    <hyperlink r:id="rId497" ref="F1109"/>
    <hyperlink r:id="rId498" ref="F1110"/>
    <hyperlink r:id="rId499" ref="F1111"/>
    <hyperlink r:id="rId500" ref="F1112"/>
    <hyperlink r:id="rId501" ref="F1113"/>
    <hyperlink r:id="rId502" ref="F1114"/>
    <hyperlink r:id="rId503" ref="F1115"/>
    <hyperlink r:id="rId504" ref="F1116"/>
    <hyperlink r:id="rId505" ref="F1117"/>
    <hyperlink r:id="rId506" ref="F1118"/>
    <hyperlink r:id="rId507" ref="F1122"/>
    <hyperlink r:id="rId508" ref="F1123"/>
    <hyperlink r:id="rId509" ref="F1124"/>
    <hyperlink r:id="rId510" ref="F1125"/>
    <hyperlink r:id="rId511" ref="F1126"/>
    <hyperlink r:id="rId512" ref="F1127"/>
    <hyperlink r:id="rId513" ref="F1128"/>
    <hyperlink r:id="rId514" ref="F1129"/>
    <hyperlink r:id="rId515" ref="F1130"/>
    <hyperlink r:id="rId516" ref="F1132"/>
    <hyperlink r:id="rId517" ref="F1133"/>
    <hyperlink r:id="rId518" ref="F1134"/>
    <hyperlink r:id="rId519" ref="F1135"/>
    <hyperlink r:id="rId520" ref="F1136"/>
    <hyperlink r:id="rId521" ref="F1137"/>
    <hyperlink r:id="rId522" ref="F1138"/>
    <hyperlink r:id="rId523" ref="F1139"/>
    <hyperlink r:id="rId524" ref="F1140"/>
    <hyperlink r:id="rId525" ref="F1141"/>
    <hyperlink r:id="rId526" ref="F1142"/>
    <hyperlink r:id="rId527" ref="F1143"/>
    <hyperlink r:id="rId528" ref="F1144"/>
    <hyperlink r:id="rId529" ref="F1145"/>
    <hyperlink r:id="rId530" ref="F1146"/>
    <hyperlink r:id="rId531" ref="F1148"/>
    <hyperlink r:id="rId532" ref="F1149"/>
    <hyperlink r:id="rId533" ref="F1150"/>
    <hyperlink r:id="rId534" ref="F1151"/>
    <hyperlink r:id="rId535" ref="F1152"/>
    <hyperlink r:id="rId536" ref="F1153"/>
    <hyperlink r:id="rId537" ref="F1154"/>
    <hyperlink r:id="rId538" ref="F1155"/>
    <hyperlink r:id="rId539" ref="F1156"/>
    <hyperlink r:id="rId540" ref="F1157"/>
    <hyperlink r:id="rId541" ref="F1158"/>
    <hyperlink r:id="rId542" ref="F1159"/>
    <hyperlink r:id="rId543" ref="F1160"/>
    <hyperlink r:id="rId544" ref="F1161"/>
    <hyperlink r:id="rId545" ref="F1162"/>
    <hyperlink r:id="rId546" ref="F1163"/>
    <hyperlink r:id="rId547" ref="F1164"/>
    <hyperlink r:id="rId548" ref="F1168"/>
    <hyperlink r:id="rId549" ref="F1169"/>
    <hyperlink r:id="rId550" ref="F1170"/>
    <hyperlink r:id="rId551" ref="F1171"/>
    <hyperlink r:id="rId552" ref="F1172"/>
    <hyperlink r:id="rId553" ref="F1173"/>
    <hyperlink r:id="rId554" ref="F1176"/>
    <hyperlink r:id="rId555" ref="F1177"/>
    <hyperlink r:id="rId556" ref="F1178"/>
    <hyperlink r:id="rId557" ref="F1179"/>
    <hyperlink r:id="rId558" ref="F1180"/>
    <hyperlink r:id="rId559" ref="F1181"/>
    <hyperlink r:id="rId560" ref="F1182"/>
    <hyperlink r:id="rId561" ref="F1183"/>
    <hyperlink r:id="rId562" ref="F1184"/>
    <hyperlink r:id="rId563" ref="F1185"/>
    <hyperlink r:id="rId564" ref="F1186"/>
    <hyperlink r:id="rId565" ref="F1187"/>
    <hyperlink r:id="rId566" ref="F1188"/>
    <hyperlink r:id="rId567" ref="F1189"/>
    <hyperlink r:id="rId568" ref="F1190"/>
    <hyperlink r:id="rId569" ref="F1191"/>
    <hyperlink r:id="rId570" ref="F1192"/>
    <hyperlink r:id="rId571" ref="F1193"/>
    <hyperlink r:id="rId572" ref="F1194"/>
    <hyperlink r:id="rId573" ref="F1195"/>
    <hyperlink r:id="rId574" ref="F1196"/>
    <hyperlink r:id="rId575" ref="F1197"/>
    <hyperlink r:id="rId576" ref="F1198"/>
    <hyperlink r:id="rId577" ref="F1199"/>
    <hyperlink r:id="rId578" ref="F1200"/>
    <hyperlink r:id="rId579" ref="F1201"/>
    <hyperlink r:id="rId580" ref="F1202"/>
    <hyperlink r:id="rId581" ref="F1203"/>
    <hyperlink r:id="rId582" ref="F1204"/>
    <hyperlink r:id="rId583" ref="F1206"/>
    <hyperlink r:id="rId584" ref="F1207"/>
    <hyperlink r:id="rId585" ref="F1208"/>
    <hyperlink r:id="rId586" ref="F1209"/>
    <hyperlink r:id="rId587" ref="F1210"/>
    <hyperlink r:id="rId588" ref="F1211"/>
    <hyperlink r:id="rId589" ref="F1212"/>
    <hyperlink r:id="rId590" ref="F1213"/>
    <hyperlink r:id="rId591" ref="F1226"/>
    <hyperlink r:id="rId592" ref="F1227"/>
    <hyperlink r:id="rId593" ref="F1228"/>
    <hyperlink r:id="rId594" ref="F1229"/>
    <hyperlink r:id="rId595" ref="F1230"/>
    <hyperlink r:id="rId596" ref="F1231"/>
    <hyperlink r:id="rId597" ref="F1232"/>
    <hyperlink r:id="rId598" ref="F1233"/>
    <hyperlink r:id="rId599" ref="F1234"/>
    <hyperlink r:id="rId600" ref="F1235"/>
    <hyperlink r:id="rId601" ref="F1236"/>
    <hyperlink r:id="rId602" ref="F1237"/>
    <hyperlink r:id="rId603" ref="F1238"/>
    <hyperlink r:id="rId604" ref="F1239"/>
    <hyperlink r:id="rId605" ref="F1240"/>
    <hyperlink r:id="rId606" ref="F1241"/>
    <hyperlink r:id="rId607" ref="F1242"/>
    <hyperlink r:id="rId608" ref="F1244"/>
    <hyperlink r:id="rId609" ref="F1245"/>
    <hyperlink r:id="rId610" ref="F1246"/>
    <hyperlink r:id="rId611" ref="F1247"/>
    <hyperlink r:id="rId612" ref="F1248"/>
    <hyperlink r:id="rId613" ref="F1252"/>
    <hyperlink r:id="rId614" ref="F1262"/>
    <hyperlink r:id="rId615" ref="F1263"/>
    <hyperlink r:id="rId616" ref="F1264"/>
    <hyperlink r:id="rId617" ref="F1265"/>
    <hyperlink r:id="rId618" ref="F1266"/>
    <hyperlink r:id="rId619" ref="F1267"/>
    <hyperlink r:id="rId620" ref="F1268"/>
    <hyperlink r:id="rId621" ref="F1269"/>
    <hyperlink r:id="rId622" ref="F1270"/>
    <hyperlink r:id="rId623" ref="F1271"/>
    <hyperlink r:id="rId624" ref="F1272"/>
    <hyperlink r:id="rId625" ref="F1273"/>
    <hyperlink r:id="rId626" ref="F1274"/>
    <hyperlink r:id="rId627" ref="F1275"/>
    <hyperlink r:id="rId628" ref="F1276"/>
    <hyperlink r:id="rId629" ref="F1277"/>
    <hyperlink r:id="rId630" ref="F1278"/>
    <hyperlink r:id="rId631" ref="F1279"/>
    <hyperlink r:id="rId632" ref="F1280"/>
    <hyperlink r:id="rId633" ref="F1281"/>
    <hyperlink r:id="rId634" ref="F1282"/>
    <hyperlink r:id="rId635" ref="F1283"/>
    <hyperlink r:id="rId636" ref="F1284"/>
    <hyperlink r:id="rId637" ref="F1285"/>
    <hyperlink r:id="rId638" ref="F1286"/>
    <hyperlink r:id="rId639" ref="F1289"/>
    <hyperlink r:id="rId640" ref="F1290"/>
    <hyperlink r:id="rId641" ref="F1291"/>
    <hyperlink r:id="rId642" ref="F1292"/>
    <hyperlink r:id="rId643" ref="F1293"/>
    <hyperlink r:id="rId644" ref="F1294"/>
    <hyperlink r:id="rId645" ref="F1295"/>
    <hyperlink r:id="rId646" ref="F1296"/>
    <hyperlink r:id="rId647" ref="F1297"/>
    <hyperlink r:id="rId648" ref="F1298"/>
    <hyperlink r:id="rId649" ref="F1299"/>
    <hyperlink r:id="rId650" ref="F1300"/>
    <hyperlink r:id="rId651" ref="F1301"/>
    <hyperlink r:id="rId652" ref="F1302"/>
    <hyperlink r:id="rId653" ref="F1303"/>
    <hyperlink r:id="rId654" ref="F1304"/>
    <hyperlink r:id="rId655" ref="F1305"/>
    <hyperlink r:id="rId656" ref="F1308"/>
    <hyperlink r:id="rId657" ref="F1309"/>
    <hyperlink r:id="rId658" ref="F1310"/>
    <hyperlink r:id="rId659" ref="F1311"/>
    <hyperlink r:id="rId660" ref="F1312"/>
    <hyperlink r:id="rId661" ref="F1313"/>
    <hyperlink r:id="rId662" ref="F1314"/>
    <hyperlink r:id="rId663" ref="F1315"/>
    <hyperlink r:id="rId664" ref="F1316"/>
    <hyperlink r:id="rId665" ref="F1317"/>
    <hyperlink r:id="rId666" ref="F1318"/>
    <hyperlink r:id="rId667" ref="F1319"/>
    <hyperlink r:id="rId668" ref="F1320"/>
    <hyperlink r:id="rId669" ref="F1321"/>
    <hyperlink r:id="rId670" ref="F1322"/>
    <hyperlink r:id="rId671" ref="F1323"/>
    <hyperlink r:id="rId672" ref="F1324"/>
    <hyperlink r:id="rId673" ref="F1325"/>
    <hyperlink r:id="rId674" ref="F1326"/>
    <hyperlink r:id="rId675" ref="F1327"/>
    <hyperlink r:id="rId676" ref="F1328"/>
    <hyperlink r:id="rId677" ref="F1329"/>
    <hyperlink r:id="rId678" ref="F1330"/>
    <hyperlink r:id="rId679" ref="F1331"/>
    <hyperlink r:id="rId680" ref="F1332"/>
    <hyperlink r:id="rId681" ref="F1333"/>
    <hyperlink r:id="rId682" ref="F1334"/>
    <hyperlink r:id="rId683" ref="F1335"/>
    <hyperlink r:id="rId684" ref="F1336"/>
    <hyperlink r:id="rId685" ref="F1337"/>
    <hyperlink r:id="rId686" ref="F1338"/>
    <hyperlink r:id="rId687" ref="F1339"/>
    <hyperlink r:id="rId688" ref="F1340"/>
    <hyperlink r:id="rId689" ref="F1341"/>
    <hyperlink r:id="rId690" ref="F1342"/>
    <hyperlink r:id="rId691" ref="F1343"/>
    <hyperlink r:id="rId692" ref="F1344"/>
    <hyperlink r:id="rId693" ref="F1345"/>
    <hyperlink r:id="rId694" ref="F1346"/>
    <hyperlink r:id="rId695" ref="F1347"/>
    <hyperlink r:id="rId696" ref="F1348"/>
    <hyperlink r:id="rId697" ref="F1364"/>
    <hyperlink r:id="rId698" ref="F1365"/>
    <hyperlink r:id="rId699" ref="F1366"/>
    <hyperlink r:id="rId700" ref="F1367"/>
    <hyperlink r:id="rId701" ref="F1368"/>
    <hyperlink r:id="rId702" ref="F1369"/>
    <hyperlink r:id="rId703" ref="F1370"/>
    <hyperlink r:id="rId704" ref="F1371"/>
    <hyperlink r:id="rId705" ref="F1372"/>
    <hyperlink r:id="rId706" ref="F1373"/>
    <hyperlink r:id="rId707" ref="F1374"/>
    <hyperlink r:id="rId708" ref="F1375"/>
    <hyperlink r:id="rId709" ref="F1376"/>
    <hyperlink r:id="rId710" ref="F1377"/>
    <hyperlink r:id="rId711" ref="F1378"/>
    <hyperlink r:id="rId712" ref="F1379"/>
    <hyperlink r:id="rId713" ref="F1381"/>
    <hyperlink r:id="rId714" ref="F1382"/>
    <hyperlink r:id="rId715" ref="F1383"/>
    <hyperlink r:id="rId716" ref="F1384"/>
    <hyperlink r:id="rId717" ref="F1385"/>
    <hyperlink r:id="rId718" ref="F1386"/>
    <hyperlink r:id="rId719" ref="F1387"/>
    <hyperlink r:id="rId720" ref="F1388"/>
    <hyperlink r:id="rId721" ref="F1389"/>
    <hyperlink r:id="rId722" ref="F1390"/>
    <hyperlink r:id="rId723" ref="F1391"/>
    <hyperlink r:id="rId724" ref="F1392"/>
    <hyperlink r:id="rId725" ref="F1393"/>
    <hyperlink r:id="rId726" ref="F1396"/>
    <hyperlink r:id="rId727" ref="F1397"/>
    <hyperlink r:id="rId728" ref="F1398"/>
    <hyperlink r:id="rId729" ref="F1399"/>
    <hyperlink r:id="rId730" ref="F1400"/>
    <hyperlink r:id="rId731" ref="F1401"/>
    <hyperlink r:id="rId732" ref="F1402"/>
    <hyperlink r:id="rId733" ref="F1403"/>
    <hyperlink r:id="rId734" ref="F1404"/>
    <hyperlink r:id="rId735" ref="F1405"/>
    <hyperlink r:id="rId736" ref="F1406"/>
    <hyperlink r:id="rId737" ref="F1407"/>
    <hyperlink r:id="rId738" ref="F1408"/>
    <hyperlink r:id="rId739" ref="F1409"/>
    <hyperlink r:id="rId740" ref="F1410"/>
    <hyperlink r:id="rId741" ref="F1411"/>
    <hyperlink r:id="rId742" ref="F1412"/>
    <hyperlink r:id="rId743" ref="F1413"/>
    <hyperlink r:id="rId744" ref="F1414"/>
    <hyperlink r:id="rId745" ref="F1415"/>
    <hyperlink r:id="rId746" ref="F1416"/>
    <hyperlink r:id="rId747" ref="F1417"/>
    <hyperlink r:id="rId748" ref="F1418"/>
    <hyperlink r:id="rId749" ref="F1419"/>
    <hyperlink r:id="rId750" ref="F1420"/>
    <hyperlink r:id="rId751" ref="F1421"/>
    <hyperlink r:id="rId752" ref="F1422"/>
    <hyperlink r:id="rId753" ref="F1423"/>
    <hyperlink r:id="rId754" ref="F1424"/>
    <hyperlink r:id="rId755" ref="F1425"/>
    <hyperlink r:id="rId756" ref="F1426"/>
    <hyperlink r:id="rId757" ref="F1427"/>
    <hyperlink r:id="rId758" ref="F1428"/>
    <hyperlink r:id="rId759" ref="F1429"/>
    <hyperlink r:id="rId760" ref="F1430"/>
    <hyperlink r:id="rId761" ref="F1431"/>
    <hyperlink r:id="rId762" ref="F1432"/>
    <hyperlink r:id="rId763" ref="F1433"/>
    <hyperlink r:id="rId764" ref="F1434"/>
    <hyperlink r:id="rId765" ref="F1435"/>
    <hyperlink r:id="rId766" ref="F1437"/>
    <hyperlink r:id="rId767" ref="F1438"/>
    <hyperlink r:id="rId768" ref="F1439"/>
    <hyperlink r:id="rId769" ref="F1440"/>
    <hyperlink r:id="rId770" ref="F1441"/>
    <hyperlink r:id="rId771" ref="F1442"/>
    <hyperlink r:id="rId772" ref="F1443"/>
    <hyperlink r:id="rId773" ref="F1444"/>
    <hyperlink r:id="rId774" ref="F1445"/>
    <hyperlink r:id="rId775" ref="F1446"/>
    <hyperlink r:id="rId776" ref="F1447"/>
    <hyperlink r:id="rId777" ref="F1448"/>
    <hyperlink r:id="rId778" ref="F1449"/>
    <hyperlink r:id="rId779" ref="F1450"/>
    <hyperlink r:id="rId780" ref="F1451"/>
    <hyperlink r:id="rId781" ref="F1452"/>
    <hyperlink r:id="rId782" ref="F1453"/>
    <hyperlink r:id="rId783" ref="F1454"/>
    <hyperlink r:id="rId784" ref="F1455"/>
    <hyperlink r:id="rId785" ref="F1456"/>
    <hyperlink r:id="rId786" ref="F1457"/>
    <hyperlink r:id="rId787" ref="F1458"/>
    <hyperlink r:id="rId788" ref="F1459"/>
    <hyperlink r:id="rId789" ref="F1460"/>
    <hyperlink r:id="rId790" ref="F1461"/>
    <hyperlink r:id="rId791" ref="F1462"/>
    <hyperlink r:id="rId792" ref="F1463"/>
    <hyperlink r:id="rId793" ref="F1464"/>
    <hyperlink r:id="rId794" ref="F1465"/>
    <hyperlink r:id="rId795" ref="F1466"/>
    <hyperlink r:id="rId796" ref="F1467"/>
    <hyperlink r:id="rId797" ref="F1468"/>
    <hyperlink r:id="rId798" ref="F1469"/>
    <hyperlink r:id="rId799" ref="F1470"/>
    <hyperlink r:id="rId800" ref="F1471"/>
    <hyperlink r:id="rId801" ref="F1472"/>
    <hyperlink r:id="rId802" ref="F1473"/>
    <hyperlink r:id="rId803" ref="F1475"/>
    <hyperlink r:id="rId804" ref="F1476"/>
    <hyperlink r:id="rId805" ref="F1479"/>
    <hyperlink r:id="rId806" ref="F1480"/>
    <hyperlink r:id="rId807" ref="F1481"/>
    <hyperlink r:id="rId808" ref="F1483"/>
    <hyperlink r:id="rId809" ref="F1484"/>
    <hyperlink r:id="rId810" ref="F1485"/>
    <hyperlink r:id="rId811" ref="F1486"/>
    <hyperlink r:id="rId812" ref="F1487"/>
    <hyperlink r:id="rId813" ref="F1488"/>
    <hyperlink r:id="rId814" ref="F1489"/>
    <hyperlink r:id="rId815" ref="F1490"/>
    <hyperlink r:id="rId816" ref="F1491"/>
    <hyperlink r:id="rId817" ref="F1492"/>
    <hyperlink r:id="rId818" ref="F1493"/>
    <hyperlink r:id="rId819" ref="F1494"/>
    <hyperlink r:id="rId820" ref="F1495"/>
    <hyperlink r:id="rId821" ref="F1496"/>
    <hyperlink r:id="rId822" ref="F1497"/>
    <hyperlink r:id="rId823" ref="F1498"/>
    <hyperlink r:id="rId824" ref="F1499"/>
    <hyperlink r:id="rId825" ref="F1500"/>
    <hyperlink r:id="rId826" ref="F1501"/>
    <hyperlink r:id="rId827" ref="F1502"/>
    <hyperlink r:id="rId828" ref="F1505"/>
    <hyperlink r:id="rId829" ref="F1506"/>
    <hyperlink r:id="rId830" ref="F1507"/>
    <hyperlink r:id="rId831" ref="F1508"/>
    <hyperlink r:id="rId832" ref="F1509"/>
    <hyperlink r:id="rId833" ref="F1510"/>
    <hyperlink r:id="rId834" ref="F1511"/>
    <hyperlink r:id="rId835" ref="F1512"/>
    <hyperlink r:id="rId836" ref="F1513"/>
    <hyperlink r:id="rId837" ref="F1514"/>
    <hyperlink r:id="rId838" ref="F1515"/>
    <hyperlink r:id="rId839" ref="F1516"/>
    <hyperlink r:id="rId840" ref="F1517"/>
    <hyperlink r:id="rId841" ref="F1518"/>
    <hyperlink r:id="rId842" ref="F1519"/>
    <hyperlink r:id="rId843" ref="F1520"/>
    <hyperlink r:id="rId844" ref="F1521"/>
    <hyperlink r:id="rId845" ref="F1522"/>
    <hyperlink r:id="rId846" ref="F1523"/>
    <hyperlink r:id="rId847" ref="F1524"/>
    <hyperlink r:id="rId848" ref="F1525"/>
    <hyperlink r:id="rId849" ref="F1526"/>
    <hyperlink r:id="rId850" ref="F1527"/>
    <hyperlink r:id="rId851" ref="F1528"/>
    <hyperlink r:id="rId852" ref="F1529"/>
    <hyperlink r:id="rId853" ref="F1530"/>
    <hyperlink r:id="rId854" ref="F1531"/>
    <hyperlink r:id="rId855" ref="F1532"/>
    <hyperlink r:id="rId856" ref="F1533"/>
    <hyperlink r:id="rId857" ref="F1534"/>
    <hyperlink r:id="rId858" ref="F1535"/>
    <hyperlink r:id="rId859" ref="F1536"/>
    <hyperlink r:id="rId860" ref="F1537"/>
    <hyperlink r:id="rId861" ref="F1538"/>
    <hyperlink r:id="rId862" ref="F1539"/>
    <hyperlink r:id="rId863" ref="F1540"/>
    <hyperlink r:id="rId864" ref="F1541"/>
    <hyperlink r:id="rId865" ref="F1542"/>
    <hyperlink r:id="rId866" ref="F1543"/>
    <hyperlink r:id="rId867" ref="F1544"/>
    <hyperlink r:id="rId868" ref="F1545"/>
    <hyperlink r:id="rId869" ref="F1546"/>
    <hyperlink r:id="rId870" ref="F1547"/>
    <hyperlink r:id="rId871" ref="F1548"/>
    <hyperlink r:id="rId872" ref="F1549"/>
    <hyperlink r:id="rId873" ref="F1550"/>
    <hyperlink r:id="rId874" ref="F1551"/>
    <hyperlink r:id="rId875" ref="F1552"/>
    <hyperlink r:id="rId876" ref="F1553"/>
    <hyperlink r:id="rId877" ref="F1554"/>
    <hyperlink r:id="rId878" ref="F1555"/>
    <hyperlink r:id="rId879" ref="F1556"/>
    <hyperlink r:id="rId880" ref="F1557"/>
    <hyperlink r:id="rId881" ref="F1558"/>
    <hyperlink r:id="rId882" ref="F1559"/>
    <hyperlink r:id="rId883" ref="F1560"/>
    <hyperlink r:id="rId884" ref="F1561"/>
    <hyperlink r:id="rId885" ref="F1562"/>
    <hyperlink r:id="rId886" ref="F1563"/>
    <hyperlink r:id="rId887" ref="F1564"/>
    <hyperlink r:id="rId888" ref="F1565"/>
    <hyperlink r:id="rId889" ref="F1566"/>
    <hyperlink r:id="rId890" ref="F1567"/>
    <hyperlink r:id="rId891" ref="F1568"/>
    <hyperlink r:id="rId892" ref="F1569"/>
    <hyperlink r:id="rId893" ref="F1570"/>
    <hyperlink r:id="rId894" ref="F1571"/>
    <hyperlink r:id="rId895" ref="F1572"/>
    <hyperlink r:id="rId896" ref="F1573"/>
    <hyperlink r:id="rId897" ref="F1574"/>
    <hyperlink r:id="rId898" ref="F1575"/>
    <hyperlink r:id="rId899" ref="F1576"/>
    <hyperlink r:id="rId900" ref="F1577"/>
    <hyperlink r:id="rId901" ref="F1578"/>
    <hyperlink r:id="rId902" ref="F1579"/>
    <hyperlink r:id="rId903" ref="F1580"/>
    <hyperlink r:id="rId904" ref="F1581"/>
    <hyperlink r:id="rId905" ref="F1582"/>
    <hyperlink r:id="rId906" ref="F1583"/>
    <hyperlink r:id="rId907" ref="F1584"/>
    <hyperlink r:id="rId908" ref="F1585"/>
    <hyperlink r:id="rId909" ref="F1586"/>
    <hyperlink r:id="rId910" ref="F1587"/>
    <hyperlink r:id="rId911" ref="F1588"/>
    <hyperlink r:id="rId912" ref="F1589"/>
    <hyperlink r:id="rId913" ref="F1590"/>
    <hyperlink r:id="rId914" ref="F1591"/>
    <hyperlink r:id="rId915" ref="F1592"/>
    <hyperlink r:id="rId916" ref="F1593"/>
    <hyperlink r:id="rId917" ref="F1594"/>
    <hyperlink r:id="rId918" ref="F1595"/>
    <hyperlink r:id="rId919" ref="F1596"/>
    <hyperlink r:id="rId920" ref="F1597"/>
    <hyperlink r:id="rId921" ref="F1598"/>
    <hyperlink r:id="rId922" ref="F1599"/>
    <hyperlink r:id="rId923" ref="F1600"/>
    <hyperlink r:id="rId924" ref="F1601"/>
    <hyperlink r:id="rId925" ref="F1603"/>
    <hyperlink r:id="rId926" ref="F1604"/>
    <hyperlink r:id="rId927" ref="F1605"/>
    <hyperlink r:id="rId928" ref="F1606"/>
    <hyperlink r:id="rId929" ref="F1607"/>
    <hyperlink r:id="rId930" ref="F1608"/>
    <hyperlink r:id="rId931" ref="F1609"/>
    <hyperlink r:id="rId932" ref="F1610"/>
    <hyperlink r:id="rId933" ref="F1611"/>
    <hyperlink r:id="rId934" ref="F1612"/>
    <hyperlink r:id="rId935" ref="F1613"/>
    <hyperlink r:id="rId936" ref="F1614"/>
    <hyperlink r:id="rId937" ref="F1615"/>
    <hyperlink r:id="rId938" ref="F1616"/>
    <hyperlink r:id="rId939" ref="F1617"/>
    <hyperlink r:id="rId940" ref="F1618"/>
    <hyperlink r:id="rId941" ref="F1619"/>
    <hyperlink r:id="rId942" ref="F1620"/>
    <hyperlink r:id="rId943" ref="F1621"/>
    <hyperlink r:id="rId944" ref="F1622"/>
    <hyperlink r:id="rId945" ref="F1623"/>
    <hyperlink r:id="rId946" ref="F1624"/>
    <hyperlink r:id="rId947" ref="F1625"/>
    <hyperlink r:id="rId948" ref="F1626"/>
    <hyperlink r:id="rId949" ref="F1627"/>
    <hyperlink r:id="rId950" ref="F1628"/>
    <hyperlink r:id="rId951" ref="F1629"/>
    <hyperlink r:id="rId952" ref="F1630"/>
    <hyperlink r:id="rId953" ref="F1631"/>
    <hyperlink r:id="rId954" ref="F1632"/>
    <hyperlink r:id="rId955" ref="F1633"/>
    <hyperlink r:id="rId956" ref="F1634"/>
    <hyperlink r:id="rId957" ref="F1635"/>
    <hyperlink r:id="rId958" ref="F1636"/>
    <hyperlink r:id="rId959" ref="F1637"/>
    <hyperlink r:id="rId960" ref="F1638"/>
    <hyperlink r:id="rId961" ref="F1639"/>
    <hyperlink r:id="rId962" ref="F1640"/>
    <hyperlink r:id="rId963" ref="F1641"/>
    <hyperlink r:id="rId964" ref="F1642"/>
    <hyperlink r:id="rId965" ref="F1643"/>
    <hyperlink r:id="rId966" ref="F1644"/>
    <hyperlink r:id="rId967" ref="F1645"/>
    <hyperlink r:id="rId968" ref="F1646"/>
    <hyperlink r:id="rId969" ref="F1647"/>
    <hyperlink r:id="rId970" ref="F1648"/>
    <hyperlink r:id="rId971" ref="F1649"/>
    <hyperlink r:id="rId972" ref="F1650"/>
    <hyperlink r:id="rId973" ref="F1651"/>
    <hyperlink r:id="rId974" ref="F1652"/>
    <hyperlink r:id="rId975" ref="F1653"/>
    <hyperlink r:id="rId976" ref="F1654"/>
    <hyperlink r:id="rId977" ref="F1655"/>
    <hyperlink r:id="rId978" ref="F1656"/>
    <hyperlink r:id="rId979" ref="F1657"/>
    <hyperlink r:id="rId980" ref="F1658"/>
    <hyperlink r:id="rId981" ref="F1659"/>
    <hyperlink r:id="rId982" ref="F1660"/>
    <hyperlink r:id="rId983" ref="F1661"/>
    <hyperlink r:id="rId984" ref="F1662"/>
    <hyperlink r:id="rId985" ref="F1663"/>
    <hyperlink r:id="rId986" ref="F1664"/>
    <hyperlink r:id="rId987" ref="F1665"/>
    <hyperlink r:id="rId988" ref="F1666"/>
    <hyperlink r:id="rId989" ref="F1667"/>
    <hyperlink r:id="rId990" ref="F1668"/>
    <hyperlink r:id="rId991" ref="F1669"/>
    <hyperlink r:id="rId992" ref="F1670"/>
    <hyperlink r:id="rId993" ref="F1671"/>
    <hyperlink r:id="rId994" ref="F1672"/>
    <hyperlink r:id="rId995" ref="F1673"/>
    <hyperlink r:id="rId996" ref="F1674"/>
    <hyperlink r:id="rId997" ref="F1675"/>
    <hyperlink r:id="rId998" ref="F1676"/>
    <hyperlink r:id="rId999" ref="F1677"/>
    <hyperlink r:id="rId1000" ref="F1678"/>
    <hyperlink r:id="rId1001" ref="F1679"/>
    <hyperlink r:id="rId1002" ref="F1680"/>
    <hyperlink r:id="rId1003" ref="F1681"/>
    <hyperlink r:id="rId1004" ref="F1682"/>
    <hyperlink r:id="rId1005" ref="F1683"/>
    <hyperlink r:id="rId1006" ref="F1684"/>
    <hyperlink r:id="rId1007" ref="F1685"/>
    <hyperlink r:id="rId1008" ref="F1687"/>
    <hyperlink r:id="rId1009" ref="F1688"/>
    <hyperlink r:id="rId1010" ref="F1689"/>
    <hyperlink r:id="rId1011" ref="F1690"/>
    <hyperlink r:id="rId1012" ref="F1691"/>
    <hyperlink r:id="rId1013" ref="F1692"/>
    <hyperlink r:id="rId1014" ref="F1693"/>
    <hyperlink r:id="rId1015" ref="F1694"/>
    <hyperlink r:id="rId1016" ref="F1695"/>
    <hyperlink r:id="rId1017" ref="F1696"/>
    <hyperlink r:id="rId1018" ref="F1697"/>
    <hyperlink r:id="rId1019" ref="F1698"/>
    <hyperlink r:id="rId1020" ref="F1699"/>
    <hyperlink r:id="rId1021" ref="F1700"/>
    <hyperlink r:id="rId1022" ref="F1701"/>
    <hyperlink r:id="rId1023" ref="F1702"/>
    <hyperlink r:id="rId1024" ref="F1703"/>
    <hyperlink r:id="rId1025" ref="F1704"/>
    <hyperlink r:id="rId1026" ref="F1705"/>
    <hyperlink r:id="rId1027" ref="F1706"/>
    <hyperlink r:id="rId1028" ref="F1707"/>
    <hyperlink r:id="rId1029" ref="F1708"/>
    <hyperlink r:id="rId1030" ref="F1709"/>
    <hyperlink r:id="rId1031" ref="F1710"/>
    <hyperlink r:id="rId1032" ref="F1711"/>
    <hyperlink r:id="rId1033" ref="F1712"/>
    <hyperlink r:id="rId1034" ref="F1713"/>
    <hyperlink r:id="rId1035" ref="F1714"/>
    <hyperlink r:id="rId1036" ref="F1715"/>
    <hyperlink r:id="rId1037" ref="F1716"/>
    <hyperlink r:id="rId1038" ref="F1717"/>
    <hyperlink r:id="rId1039" ref="F1718"/>
    <hyperlink r:id="rId1040" ref="F1719"/>
    <hyperlink r:id="rId1041" ref="F1720"/>
    <hyperlink r:id="rId1042" ref="F1721"/>
    <hyperlink r:id="rId1043" ref="F1722"/>
    <hyperlink r:id="rId1044" ref="F1723"/>
    <hyperlink r:id="rId1045" ref="F1724"/>
    <hyperlink r:id="rId1046" ref="F1725"/>
    <hyperlink r:id="rId1047" ref="F1726"/>
    <hyperlink r:id="rId1048" ref="F1727"/>
    <hyperlink r:id="rId1049" ref="F1729"/>
    <hyperlink r:id="rId1050" ref="F1730"/>
    <hyperlink r:id="rId1051" ref="F1731"/>
    <hyperlink r:id="rId1052" ref="F1732"/>
    <hyperlink r:id="rId1053" ref="F1733"/>
    <hyperlink r:id="rId1054" ref="F1734"/>
    <hyperlink r:id="rId1055" ref="F1735"/>
    <hyperlink r:id="rId1056" ref="F1736"/>
    <hyperlink r:id="rId1057" ref="F1737"/>
    <hyperlink r:id="rId1058" ref="F1738"/>
    <hyperlink r:id="rId1059" ref="F1739"/>
    <hyperlink r:id="rId1060" ref="F1741"/>
    <hyperlink r:id="rId1061" ref="F1742"/>
  </hyperlinks>
  <drawing r:id="rId1062"/>
  <legacyDrawing r:id="rId10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8.38"/>
    <col customWidth="1" min="3" max="3" width="19.75"/>
    <col customWidth="1" min="4" max="4" width="19.25"/>
    <col customWidth="1" min="5" max="8" width="16.13"/>
    <col customWidth="1" min="9" max="9" width="15.75"/>
    <col customWidth="1" min="10" max="10" width="22.38"/>
    <col customWidth="1" min="12" max="12" width="7.38"/>
  </cols>
  <sheetData>
    <row r="1">
      <c r="A1" s="2"/>
      <c r="B1" s="2"/>
      <c r="C1" s="2"/>
      <c r="D1" s="2"/>
      <c r="E1" s="4"/>
      <c r="F1" s="4"/>
      <c r="G1" s="4"/>
      <c r="H1" s="4"/>
      <c r="I1" s="5"/>
      <c r="J1" s="6"/>
      <c r="K1" s="1"/>
      <c r="L1" s="1"/>
      <c r="M1" s="1"/>
      <c r="N1" s="1"/>
      <c r="O1" s="1"/>
      <c r="P1" s="1"/>
      <c r="Q1" s="1"/>
      <c r="R1" s="1"/>
      <c r="S1" s="1"/>
      <c r="T1" s="1"/>
      <c r="U1" s="1"/>
      <c r="V1" s="1"/>
      <c r="W1" s="1"/>
      <c r="X1" s="1"/>
    </row>
    <row r="2">
      <c r="B2" s="9" t="s">
        <v>0</v>
      </c>
      <c r="D2" s="2"/>
      <c r="E2" s="4"/>
      <c r="F2" s="4"/>
      <c r="G2" s="4"/>
      <c r="H2" s="4"/>
      <c r="I2" s="11" t="s">
        <v>2</v>
      </c>
      <c r="J2" s="23">
        <f>COUNTIF(I6:I847,"En Proceso")</f>
        <v>7</v>
      </c>
      <c r="K2" s="1"/>
      <c r="L2" s="1"/>
      <c r="M2" s="25"/>
      <c r="N2" s="25"/>
      <c r="O2" s="1"/>
      <c r="P2" s="1"/>
      <c r="Q2" s="1"/>
      <c r="R2" s="1"/>
      <c r="S2" s="1"/>
      <c r="T2" s="1"/>
      <c r="U2" s="1"/>
      <c r="V2" s="1"/>
      <c r="W2" s="1"/>
      <c r="X2" s="1"/>
    </row>
    <row r="3">
      <c r="A3" s="2"/>
      <c r="B3" s="2"/>
      <c r="C3" s="2"/>
      <c r="D3" s="2"/>
      <c r="E3" s="4"/>
      <c r="F3" s="4"/>
      <c r="G3" s="4"/>
      <c r="H3" s="4"/>
      <c r="I3" s="27"/>
      <c r="J3" s="30">
        <f>TODAY()</f>
        <v>46287</v>
      </c>
      <c r="K3" s="1"/>
      <c r="L3" s="1"/>
      <c r="M3" s="32"/>
      <c r="N3" s="25"/>
      <c r="O3" s="1"/>
      <c r="P3" s="1"/>
      <c r="Q3" s="1"/>
      <c r="R3" s="1"/>
      <c r="S3" s="1"/>
      <c r="T3" s="1"/>
      <c r="U3" s="1"/>
      <c r="V3" s="1"/>
      <c r="W3" s="1"/>
      <c r="X3" s="1"/>
    </row>
    <row r="4">
      <c r="A4" s="2"/>
      <c r="B4" s="2"/>
      <c r="C4" s="2"/>
      <c r="D4" s="2"/>
      <c r="E4" s="4"/>
      <c r="F4" s="4"/>
      <c r="G4" s="4"/>
      <c r="H4" s="4"/>
      <c r="I4" s="27"/>
      <c r="J4" s="2"/>
      <c r="K4" s="1"/>
      <c r="L4" s="1"/>
      <c r="N4" s="34"/>
      <c r="O4" s="1"/>
      <c r="P4" s="1"/>
      <c r="Q4" s="1"/>
      <c r="R4" s="1"/>
      <c r="S4" s="1"/>
      <c r="T4" s="1"/>
      <c r="U4" s="1"/>
      <c r="V4" s="1"/>
      <c r="W4" s="1"/>
      <c r="X4" s="1"/>
    </row>
    <row r="5">
      <c r="A5" s="24"/>
      <c r="B5" s="24" t="s">
        <v>29</v>
      </c>
      <c r="C5" s="24" t="s">
        <v>30</v>
      </c>
      <c r="D5" s="24" t="s">
        <v>31</v>
      </c>
      <c r="E5" s="35" t="s">
        <v>32</v>
      </c>
      <c r="F5" s="21" t="s">
        <v>33</v>
      </c>
      <c r="G5" s="21" t="s">
        <v>34</v>
      </c>
      <c r="H5" s="35" t="s">
        <v>35</v>
      </c>
      <c r="I5" s="21" t="s">
        <v>36</v>
      </c>
      <c r="J5" s="24" t="s">
        <v>37</v>
      </c>
      <c r="K5" s="2"/>
      <c r="L5" s="36"/>
      <c r="M5" s="34"/>
      <c r="N5" s="38"/>
      <c r="O5" s="2"/>
      <c r="P5" s="2"/>
      <c r="Q5" s="2"/>
      <c r="R5" s="2"/>
      <c r="S5" s="2"/>
      <c r="T5" s="2"/>
      <c r="U5" s="2"/>
      <c r="V5" s="2"/>
      <c r="W5" s="2"/>
      <c r="X5" s="2"/>
    </row>
    <row r="6" hidden="1">
      <c r="A6" s="39"/>
      <c r="B6" s="39" t="s">
        <v>41</v>
      </c>
      <c r="C6" s="42" t="s">
        <v>44</v>
      </c>
      <c r="D6" s="42" t="s">
        <v>45</v>
      </c>
      <c r="E6" s="45">
        <v>46210.0</v>
      </c>
      <c r="F6" s="50" t="s">
        <v>51</v>
      </c>
      <c r="G6" s="50">
        <v>2026.0</v>
      </c>
      <c r="H6" s="45">
        <v>46221.0</v>
      </c>
      <c r="I6" s="52" t="str">
        <f t="shared" ref="I6:I119" si="1">IF(H6="","En Proceso",IF(H6="NA","Cancelada",IF(H6&gt;0,"Cubierta")))</f>
        <v>Cubierta</v>
      </c>
      <c r="J6" s="53"/>
      <c r="K6" s="53"/>
      <c r="L6" s="53"/>
      <c r="M6" s="34"/>
      <c r="N6" s="38"/>
      <c r="O6" s="53"/>
      <c r="P6" s="53"/>
      <c r="Q6" s="53"/>
      <c r="R6" s="53"/>
      <c r="S6" s="53"/>
      <c r="T6" s="53"/>
      <c r="U6" s="53"/>
      <c r="V6" s="53"/>
      <c r="W6" s="53"/>
      <c r="X6" s="53"/>
    </row>
    <row r="7" hidden="1">
      <c r="A7" s="39"/>
      <c r="B7" s="39" t="s">
        <v>69</v>
      </c>
      <c r="C7" s="42" t="s">
        <v>44</v>
      </c>
      <c r="D7" s="42" t="s">
        <v>53</v>
      </c>
      <c r="E7" s="45">
        <v>46210.0</v>
      </c>
      <c r="F7" s="50" t="s">
        <v>51</v>
      </c>
      <c r="G7" s="50">
        <v>2026.0</v>
      </c>
      <c r="H7" s="45">
        <v>46213.0</v>
      </c>
      <c r="I7" s="52" t="str">
        <f t="shared" si="1"/>
        <v>Cubierta</v>
      </c>
      <c r="J7" s="53"/>
      <c r="K7" s="53"/>
      <c r="L7" s="53"/>
      <c r="M7" s="34"/>
      <c r="N7" s="38"/>
      <c r="O7" s="53"/>
      <c r="P7" s="53"/>
      <c r="Q7" s="53"/>
      <c r="R7" s="53"/>
      <c r="S7" s="53"/>
      <c r="T7" s="53"/>
      <c r="U7" s="53"/>
      <c r="V7" s="53"/>
      <c r="W7" s="53"/>
      <c r="X7" s="53"/>
    </row>
    <row r="8" hidden="1">
      <c r="A8" s="39"/>
      <c r="B8" s="39" t="s">
        <v>75</v>
      </c>
      <c r="C8" s="42" t="s">
        <v>44</v>
      </c>
      <c r="D8" s="42" t="s">
        <v>45</v>
      </c>
      <c r="E8" s="45">
        <v>46217.0</v>
      </c>
      <c r="F8" s="50" t="s">
        <v>51</v>
      </c>
      <c r="G8" s="50">
        <v>2026.0</v>
      </c>
      <c r="H8" s="45">
        <v>46220.0</v>
      </c>
      <c r="I8" s="52" t="str">
        <f t="shared" si="1"/>
        <v>Cubierta</v>
      </c>
      <c r="J8" s="53"/>
      <c r="K8" s="53"/>
      <c r="L8" s="53"/>
      <c r="M8" s="34"/>
      <c r="N8" s="38"/>
      <c r="O8" s="53"/>
      <c r="P8" s="53"/>
      <c r="Q8" s="53"/>
      <c r="R8" s="53"/>
      <c r="S8" s="53"/>
      <c r="T8" s="53"/>
      <c r="U8" s="53"/>
      <c r="V8" s="53"/>
      <c r="W8" s="53"/>
      <c r="X8" s="53"/>
    </row>
    <row r="9" hidden="1">
      <c r="A9" s="39"/>
      <c r="B9" s="39" t="s">
        <v>80</v>
      </c>
      <c r="C9" s="42" t="s">
        <v>56</v>
      </c>
      <c r="D9" s="42" t="s">
        <v>45</v>
      </c>
      <c r="E9" s="45">
        <v>46210.0</v>
      </c>
      <c r="F9" s="50" t="s">
        <v>51</v>
      </c>
      <c r="G9" s="50">
        <v>2026.0</v>
      </c>
      <c r="H9" s="45">
        <v>46220.0</v>
      </c>
      <c r="I9" s="52" t="str">
        <f t="shared" si="1"/>
        <v>Cubierta</v>
      </c>
      <c r="J9" s="53"/>
      <c r="K9" s="53"/>
      <c r="L9" s="53"/>
      <c r="M9" s="34"/>
      <c r="N9" s="38"/>
      <c r="O9" s="53"/>
      <c r="P9" s="53"/>
      <c r="Q9" s="53"/>
      <c r="R9" s="53"/>
      <c r="S9" s="53"/>
      <c r="T9" s="53"/>
      <c r="U9" s="53"/>
      <c r="V9" s="53"/>
      <c r="W9" s="53"/>
      <c r="X9" s="53"/>
    </row>
    <row r="10" hidden="1">
      <c r="A10" s="39"/>
      <c r="B10" s="39" t="s">
        <v>86</v>
      </c>
      <c r="C10" s="42" t="s">
        <v>44</v>
      </c>
      <c r="D10" s="42" t="s">
        <v>54</v>
      </c>
      <c r="E10" s="45">
        <v>46210.0</v>
      </c>
      <c r="F10" s="50" t="s">
        <v>51</v>
      </c>
      <c r="G10" s="50">
        <v>2026.0</v>
      </c>
      <c r="H10" s="45">
        <v>46220.0</v>
      </c>
      <c r="I10" s="52" t="str">
        <f t="shared" si="1"/>
        <v>Cubierta</v>
      </c>
      <c r="J10" s="53"/>
      <c r="K10" s="53"/>
      <c r="L10" s="53"/>
      <c r="M10" s="34"/>
      <c r="N10" s="38"/>
      <c r="O10" s="53"/>
      <c r="P10" s="53"/>
      <c r="Q10" s="53"/>
      <c r="R10" s="53"/>
      <c r="S10" s="53"/>
      <c r="T10" s="53"/>
      <c r="U10" s="53"/>
      <c r="V10" s="53"/>
      <c r="W10" s="53"/>
      <c r="X10" s="53"/>
    </row>
    <row r="11" hidden="1">
      <c r="A11" s="39"/>
      <c r="B11" s="39" t="s">
        <v>91</v>
      </c>
      <c r="C11" s="42" t="s">
        <v>44</v>
      </c>
      <c r="D11" s="42" t="s">
        <v>57</v>
      </c>
      <c r="E11" s="45">
        <v>46210.0</v>
      </c>
      <c r="F11" s="50" t="s">
        <v>51</v>
      </c>
      <c r="G11" s="50">
        <v>2026.0</v>
      </c>
      <c r="H11" s="45">
        <v>46214.0</v>
      </c>
      <c r="I11" s="52" t="str">
        <f t="shared" si="1"/>
        <v>Cubierta</v>
      </c>
      <c r="J11" s="53"/>
      <c r="K11" s="53"/>
      <c r="L11" s="53"/>
      <c r="M11" s="34"/>
      <c r="N11" s="38"/>
      <c r="O11" s="53"/>
      <c r="P11" s="53"/>
      <c r="Q11" s="53"/>
      <c r="R11" s="53"/>
      <c r="S11" s="53"/>
      <c r="T11" s="53"/>
      <c r="U11" s="53"/>
      <c r="V11" s="53"/>
      <c r="W11" s="53"/>
      <c r="X11" s="53"/>
    </row>
    <row r="12" hidden="1">
      <c r="A12" s="39"/>
      <c r="B12" s="39" t="s">
        <v>97</v>
      </c>
      <c r="C12" s="42" t="s">
        <v>44</v>
      </c>
      <c r="D12" s="42" t="s">
        <v>57</v>
      </c>
      <c r="E12" s="45">
        <v>46210.0</v>
      </c>
      <c r="F12" s="50" t="s">
        <v>51</v>
      </c>
      <c r="G12" s="50">
        <v>2026.0</v>
      </c>
      <c r="H12" s="45">
        <v>46213.0</v>
      </c>
      <c r="I12" s="52" t="str">
        <f t="shared" si="1"/>
        <v>Cubierta</v>
      </c>
      <c r="J12" s="53"/>
      <c r="K12" s="53"/>
      <c r="L12" s="53"/>
      <c r="M12" s="34"/>
      <c r="N12" s="38"/>
      <c r="O12" s="53"/>
      <c r="P12" s="53"/>
      <c r="Q12" s="53"/>
      <c r="R12" s="53"/>
      <c r="S12" s="53"/>
      <c r="T12" s="53"/>
      <c r="U12" s="53"/>
      <c r="V12" s="53"/>
      <c r="W12" s="53"/>
      <c r="X12" s="53"/>
    </row>
    <row r="13" hidden="1">
      <c r="A13" s="39"/>
      <c r="B13" s="39" t="s">
        <v>100</v>
      </c>
      <c r="C13" s="42" t="s">
        <v>44</v>
      </c>
      <c r="D13" s="42" t="s">
        <v>68</v>
      </c>
      <c r="E13" s="45">
        <v>46210.0</v>
      </c>
      <c r="F13" s="50" t="s">
        <v>51</v>
      </c>
      <c r="G13" s="50">
        <v>2026.0</v>
      </c>
      <c r="H13" s="45">
        <v>46213.0</v>
      </c>
      <c r="I13" s="52" t="str">
        <f t="shared" si="1"/>
        <v>Cubierta</v>
      </c>
      <c r="J13" s="53"/>
      <c r="K13" s="53"/>
      <c r="L13" s="53"/>
      <c r="M13" s="34"/>
      <c r="N13" s="38"/>
      <c r="O13" s="53"/>
      <c r="P13" s="53"/>
      <c r="Q13" s="53"/>
      <c r="R13" s="53"/>
      <c r="S13" s="53"/>
      <c r="T13" s="53"/>
      <c r="U13" s="53"/>
      <c r="V13" s="53"/>
      <c r="W13" s="53"/>
      <c r="X13" s="53"/>
    </row>
    <row r="14" hidden="1">
      <c r="A14" s="39"/>
      <c r="B14" s="39" t="s">
        <v>101</v>
      </c>
      <c r="C14" s="42" t="s">
        <v>14</v>
      </c>
      <c r="D14" s="42" t="s">
        <v>57</v>
      </c>
      <c r="E14" s="45">
        <v>46210.0</v>
      </c>
      <c r="F14" s="50" t="s">
        <v>51</v>
      </c>
      <c r="G14" s="50">
        <v>2026.0</v>
      </c>
      <c r="H14" s="45">
        <v>46213.0</v>
      </c>
      <c r="I14" s="52" t="str">
        <f t="shared" si="1"/>
        <v>Cubierta</v>
      </c>
      <c r="J14" s="53"/>
      <c r="K14" s="53"/>
      <c r="L14" s="53"/>
      <c r="M14" s="34"/>
      <c r="N14" s="38"/>
      <c r="O14" s="53"/>
      <c r="P14" s="53"/>
      <c r="Q14" s="53"/>
      <c r="R14" s="53"/>
      <c r="S14" s="53"/>
      <c r="T14" s="53"/>
      <c r="U14" s="53"/>
      <c r="V14" s="53"/>
      <c r="W14" s="53"/>
      <c r="X14" s="53"/>
    </row>
    <row r="15" hidden="1">
      <c r="A15" s="39"/>
      <c r="B15" s="39" t="s">
        <v>105</v>
      </c>
      <c r="C15" s="42" t="s">
        <v>108</v>
      </c>
      <c r="D15" s="42" t="s">
        <v>57</v>
      </c>
      <c r="E15" s="45">
        <v>46210.0</v>
      </c>
      <c r="F15" s="50" t="s">
        <v>51</v>
      </c>
      <c r="G15" s="50">
        <v>2026.0</v>
      </c>
      <c r="H15" s="45">
        <v>46210.0</v>
      </c>
      <c r="I15" s="52" t="str">
        <f t="shared" si="1"/>
        <v>Cubierta</v>
      </c>
      <c r="J15" s="53"/>
      <c r="K15" s="53"/>
      <c r="L15" s="53"/>
      <c r="M15" s="34"/>
      <c r="N15" s="38"/>
      <c r="O15" s="53"/>
      <c r="P15" s="53"/>
      <c r="Q15" s="53"/>
      <c r="R15" s="53"/>
      <c r="S15" s="53"/>
      <c r="T15" s="53"/>
      <c r="U15" s="53"/>
      <c r="V15" s="53"/>
      <c r="W15" s="53"/>
      <c r="X15" s="53"/>
    </row>
    <row r="16" hidden="1">
      <c r="A16" s="39"/>
      <c r="B16" s="39" t="s">
        <v>110</v>
      </c>
      <c r="C16" s="42" t="s">
        <v>108</v>
      </c>
      <c r="D16" s="42" t="s">
        <v>57</v>
      </c>
      <c r="E16" s="45">
        <v>46210.0</v>
      </c>
      <c r="F16" s="50" t="s">
        <v>51</v>
      </c>
      <c r="G16" s="50">
        <v>2026.0</v>
      </c>
      <c r="H16" s="45">
        <v>46210.0</v>
      </c>
      <c r="I16" s="52" t="str">
        <f t="shared" si="1"/>
        <v>Cubierta</v>
      </c>
      <c r="J16" s="53"/>
      <c r="K16" s="53"/>
      <c r="L16" s="53"/>
      <c r="M16" s="34"/>
      <c r="N16" s="38"/>
      <c r="O16" s="53"/>
      <c r="P16" s="53"/>
      <c r="Q16" s="53"/>
      <c r="R16" s="53"/>
      <c r="S16" s="53"/>
      <c r="T16" s="53"/>
      <c r="U16" s="53"/>
      <c r="V16" s="53"/>
      <c r="W16" s="53"/>
      <c r="X16" s="53"/>
    </row>
    <row r="17" hidden="1">
      <c r="A17" s="39"/>
      <c r="B17" s="39" t="s">
        <v>114</v>
      </c>
      <c r="C17" s="42" t="s">
        <v>108</v>
      </c>
      <c r="D17" s="42" t="s">
        <v>60</v>
      </c>
      <c r="E17" s="45">
        <v>46210.0</v>
      </c>
      <c r="F17" s="50" t="s">
        <v>51</v>
      </c>
      <c r="G17" s="50">
        <v>2026.0</v>
      </c>
      <c r="H17" s="45">
        <v>46213.0</v>
      </c>
      <c r="I17" s="52" t="str">
        <f t="shared" si="1"/>
        <v>Cubierta</v>
      </c>
      <c r="J17" s="53"/>
      <c r="K17" s="53"/>
      <c r="L17" s="53"/>
      <c r="O17" s="53"/>
      <c r="P17" s="53"/>
      <c r="Q17" s="53"/>
      <c r="R17" s="53"/>
      <c r="S17" s="53"/>
      <c r="T17" s="53"/>
      <c r="U17" s="53"/>
      <c r="V17" s="53"/>
      <c r="W17" s="53"/>
      <c r="X17" s="53"/>
    </row>
    <row r="18" hidden="1">
      <c r="A18" s="39"/>
      <c r="B18" s="39" t="s">
        <v>117</v>
      </c>
      <c r="C18" s="42" t="s">
        <v>108</v>
      </c>
      <c r="D18" s="42" t="s">
        <v>68</v>
      </c>
      <c r="E18" s="45">
        <v>46210.0</v>
      </c>
      <c r="F18" s="50" t="s">
        <v>51</v>
      </c>
      <c r="G18" s="50">
        <v>2026.0</v>
      </c>
      <c r="H18" s="45">
        <v>46217.0</v>
      </c>
      <c r="I18" s="52" t="str">
        <f t="shared" si="1"/>
        <v>Cubierta</v>
      </c>
      <c r="J18" s="53"/>
      <c r="K18" s="53"/>
      <c r="L18" s="53"/>
      <c r="M18" s="53"/>
      <c r="N18" s="53"/>
      <c r="O18" s="53"/>
      <c r="P18" s="53"/>
      <c r="Q18" s="53"/>
      <c r="R18" s="53"/>
      <c r="S18" s="53"/>
      <c r="T18" s="53"/>
      <c r="U18" s="53"/>
      <c r="V18" s="53"/>
      <c r="W18" s="53"/>
      <c r="X18" s="53"/>
    </row>
    <row r="19" hidden="1">
      <c r="A19" s="39"/>
      <c r="B19" s="39" t="s">
        <v>119</v>
      </c>
      <c r="C19" s="42" t="s">
        <v>108</v>
      </c>
      <c r="D19" s="42" t="s">
        <v>68</v>
      </c>
      <c r="E19" s="45">
        <v>46210.0</v>
      </c>
      <c r="F19" s="50" t="s">
        <v>51</v>
      </c>
      <c r="G19" s="50">
        <v>2026.0</v>
      </c>
      <c r="H19" s="45">
        <v>46217.0</v>
      </c>
      <c r="I19" s="52" t="str">
        <f t="shared" si="1"/>
        <v>Cubierta</v>
      </c>
      <c r="J19" s="53"/>
      <c r="K19" s="53"/>
      <c r="L19" s="53"/>
      <c r="M19" s="53"/>
      <c r="N19" s="53"/>
      <c r="O19" s="53"/>
      <c r="P19" s="53"/>
      <c r="Q19" s="53"/>
      <c r="R19" s="53"/>
      <c r="S19" s="53"/>
      <c r="T19" s="53"/>
      <c r="U19" s="53"/>
      <c r="V19" s="53"/>
      <c r="W19" s="53"/>
      <c r="X19" s="53"/>
    </row>
    <row r="20" hidden="1">
      <c r="A20" s="39"/>
      <c r="B20" s="39" t="s">
        <v>124</v>
      </c>
      <c r="C20" s="42" t="s">
        <v>56</v>
      </c>
      <c r="D20" s="42" t="s">
        <v>54</v>
      </c>
      <c r="E20" s="45">
        <v>46225.0</v>
      </c>
      <c r="F20" s="50" t="s">
        <v>51</v>
      </c>
      <c r="G20" s="50">
        <v>2026.0</v>
      </c>
      <c r="H20" s="45">
        <v>46213.0</v>
      </c>
      <c r="I20" s="52" t="str">
        <f t="shared" si="1"/>
        <v>Cubierta</v>
      </c>
      <c r="J20" s="53"/>
      <c r="K20" s="53"/>
      <c r="L20" s="53"/>
      <c r="M20" s="53"/>
      <c r="N20" s="53"/>
      <c r="O20" s="53"/>
      <c r="P20" s="53"/>
      <c r="Q20" s="53"/>
      <c r="R20" s="53"/>
      <c r="S20" s="53"/>
      <c r="T20" s="53"/>
      <c r="U20" s="53"/>
      <c r="V20" s="53"/>
      <c r="W20" s="53"/>
      <c r="X20" s="53"/>
    </row>
    <row r="21" hidden="1">
      <c r="A21" s="39"/>
      <c r="B21" s="39" t="s">
        <v>126</v>
      </c>
      <c r="C21" s="42" t="s">
        <v>56</v>
      </c>
      <c r="D21" s="42" t="s">
        <v>57</v>
      </c>
      <c r="E21" s="45">
        <v>46210.0</v>
      </c>
      <c r="F21" s="50" t="s">
        <v>51</v>
      </c>
      <c r="G21" s="50">
        <v>2026.0</v>
      </c>
      <c r="H21" s="45">
        <v>46211.0</v>
      </c>
      <c r="I21" s="52" t="str">
        <f t="shared" si="1"/>
        <v>Cubierta</v>
      </c>
      <c r="J21" s="53"/>
      <c r="K21" s="53"/>
      <c r="L21" s="53"/>
      <c r="M21" s="53"/>
      <c r="N21" s="53"/>
      <c r="O21" s="53"/>
      <c r="P21" s="53"/>
      <c r="Q21" s="53"/>
      <c r="R21" s="53"/>
      <c r="S21" s="53"/>
      <c r="T21" s="53"/>
      <c r="U21" s="53"/>
      <c r="V21" s="53"/>
      <c r="W21" s="53"/>
      <c r="X21" s="53"/>
    </row>
    <row r="22" hidden="1">
      <c r="A22" s="39"/>
      <c r="B22" s="39" t="s">
        <v>129</v>
      </c>
      <c r="C22" s="42" t="s">
        <v>56</v>
      </c>
      <c r="D22" s="42" t="s">
        <v>63</v>
      </c>
      <c r="E22" s="45">
        <v>46210.0</v>
      </c>
      <c r="F22" s="50" t="s">
        <v>51</v>
      </c>
      <c r="G22" s="50">
        <v>2026.0</v>
      </c>
      <c r="H22" s="45">
        <v>46226.0</v>
      </c>
      <c r="I22" s="52" t="str">
        <f t="shared" si="1"/>
        <v>Cubierta</v>
      </c>
      <c r="J22" s="53"/>
      <c r="K22" s="53"/>
      <c r="L22" s="53"/>
      <c r="M22" s="53"/>
      <c r="N22" s="53"/>
      <c r="O22" s="53"/>
      <c r="P22" s="53"/>
      <c r="Q22" s="53"/>
      <c r="R22" s="53"/>
      <c r="S22" s="53"/>
      <c r="T22" s="53"/>
      <c r="U22" s="53"/>
      <c r="V22" s="53"/>
      <c r="W22" s="53"/>
      <c r="X22" s="53"/>
    </row>
    <row r="23" hidden="1">
      <c r="A23" s="39"/>
      <c r="B23" s="39" t="s">
        <v>134</v>
      </c>
      <c r="C23" s="42" t="s">
        <v>108</v>
      </c>
      <c r="D23" s="42" t="s">
        <v>63</v>
      </c>
      <c r="E23" s="45">
        <v>46217.0</v>
      </c>
      <c r="F23" s="50" t="s">
        <v>51</v>
      </c>
      <c r="G23" s="50">
        <v>2026.0</v>
      </c>
      <c r="H23" s="45">
        <v>46221.0</v>
      </c>
      <c r="I23" s="52" t="str">
        <f t="shared" si="1"/>
        <v>Cubierta</v>
      </c>
      <c r="J23" s="53"/>
      <c r="K23" s="53"/>
      <c r="L23" s="53"/>
      <c r="M23" s="53"/>
      <c r="N23" s="53"/>
      <c r="O23" s="53"/>
      <c r="P23" s="53"/>
      <c r="Q23" s="53"/>
      <c r="R23" s="53"/>
      <c r="S23" s="53"/>
      <c r="T23" s="53"/>
      <c r="U23" s="53"/>
      <c r="V23" s="53"/>
      <c r="W23" s="53"/>
      <c r="X23" s="53"/>
    </row>
    <row r="24" hidden="1">
      <c r="A24" s="39"/>
      <c r="B24" s="39" t="s">
        <v>137</v>
      </c>
      <c r="C24" s="42" t="s">
        <v>56</v>
      </c>
      <c r="D24" s="42" t="s">
        <v>78</v>
      </c>
      <c r="E24" s="45">
        <v>46210.0</v>
      </c>
      <c r="F24" s="50" t="s">
        <v>51</v>
      </c>
      <c r="G24" s="50">
        <v>2026.0</v>
      </c>
      <c r="H24" s="45">
        <v>46221.0</v>
      </c>
      <c r="I24" s="52" t="str">
        <f t="shared" si="1"/>
        <v>Cubierta</v>
      </c>
      <c r="J24" s="53"/>
      <c r="K24" s="53"/>
      <c r="L24" s="53"/>
      <c r="M24" s="53"/>
      <c r="N24" s="53"/>
      <c r="O24" s="53"/>
      <c r="P24" s="53"/>
      <c r="Q24" s="53"/>
      <c r="R24" s="53"/>
      <c r="S24" s="53"/>
      <c r="T24" s="53"/>
      <c r="U24" s="53"/>
      <c r="V24" s="53"/>
      <c r="W24" s="53"/>
      <c r="X24" s="53"/>
    </row>
    <row r="25" hidden="1">
      <c r="A25" s="39"/>
      <c r="B25" s="39" t="s">
        <v>139</v>
      </c>
      <c r="C25" s="42" t="s">
        <v>56</v>
      </c>
      <c r="D25" s="42" t="s">
        <v>45</v>
      </c>
      <c r="E25" s="45">
        <v>46223.0</v>
      </c>
      <c r="F25" s="50" t="s">
        <v>51</v>
      </c>
      <c r="G25" s="50">
        <v>2026.0</v>
      </c>
      <c r="H25" s="45">
        <v>46220.0</v>
      </c>
      <c r="I25" s="52" t="str">
        <f t="shared" si="1"/>
        <v>Cubierta</v>
      </c>
      <c r="J25" s="53"/>
      <c r="K25" s="53"/>
      <c r="L25" s="53"/>
      <c r="M25" s="53"/>
      <c r="N25" s="53"/>
      <c r="O25" s="53"/>
      <c r="P25" s="53"/>
      <c r="Q25" s="53"/>
      <c r="R25" s="53"/>
      <c r="S25" s="53"/>
      <c r="T25" s="53"/>
      <c r="U25" s="53"/>
      <c r="V25" s="53"/>
      <c r="W25" s="53"/>
      <c r="X25" s="53"/>
    </row>
    <row r="26" hidden="1">
      <c r="A26" s="39"/>
      <c r="B26" s="39" t="s">
        <v>143</v>
      </c>
      <c r="C26" s="42" t="s">
        <v>56</v>
      </c>
      <c r="D26" s="42" t="s">
        <v>45</v>
      </c>
      <c r="E26" s="45">
        <v>46223.0</v>
      </c>
      <c r="F26" s="50" t="s">
        <v>51</v>
      </c>
      <c r="G26" s="50">
        <v>2026.0</v>
      </c>
      <c r="H26" s="45">
        <v>46238.0</v>
      </c>
      <c r="I26" s="52" t="str">
        <f t="shared" si="1"/>
        <v>Cubierta</v>
      </c>
      <c r="J26" s="53"/>
      <c r="K26" s="53"/>
      <c r="L26" s="53"/>
      <c r="M26" s="53"/>
      <c r="N26" s="53"/>
      <c r="O26" s="53"/>
      <c r="P26" s="53"/>
      <c r="Q26" s="53"/>
      <c r="R26" s="53"/>
      <c r="S26" s="53"/>
      <c r="T26" s="53"/>
      <c r="U26" s="53"/>
      <c r="V26" s="53"/>
      <c r="W26" s="53"/>
      <c r="X26" s="53"/>
    </row>
    <row r="27" hidden="1">
      <c r="A27" s="39"/>
      <c r="B27" s="39" t="s">
        <v>145</v>
      </c>
      <c r="C27" s="42" t="s">
        <v>56</v>
      </c>
      <c r="D27" s="42" t="s">
        <v>54</v>
      </c>
      <c r="E27" s="45">
        <v>46223.0</v>
      </c>
      <c r="F27" s="50" t="s">
        <v>51</v>
      </c>
      <c r="G27" s="50">
        <v>2026.0</v>
      </c>
      <c r="H27" s="45">
        <v>46227.0</v>
      </c>
      <c r="I27" s="52" t="str">
        <f t="shared" si="1"/>
        <v>Cubierta</v>
      </c>
      <c r="J27" s="53"/>
      <c r="K27" s="53"/>
      <c r="L27" s="53"/>
      <c r="M27" s="53"/>
      <c r="N27" s="53"/>
      <c r="O27" s="53"/>
      <c r="P27" s="53"/>
      <c r="Q27" s="53"/>
      <c r="R27" s="53"/>
      <c r="S27" s="53"/>
      <c r="T27" s="53"/>
      <c r="U27" s="53"/>
      <c r="V27" s="53"/>
      <c r="W27" s="53"/>
      <c r="X27" s="53"/>
    </row>
    <row r="28" hidden="1">
      <c r="A28" s="39"/>
      <c r="B28" s="39" t="s">
        <v>146</v>
      </c>
      <c r="C28" s="42" t="s">
        <v>108</v>
      </c>
      <c r="D28" s="42" t="s">
        <v>57</v>
      </c>
      <c r="E28" s="45">
        <v>46223.0</v>
      </c>
      <c r="F28" s="50" t="s">
        <v>51</v>
      </c>
      <c r="G28" s="50">
        <v>2026.0</v>
      </c>
      <c r="H28" s="45">
        <v>46233.0</v>
      </c>
      <c r="I28" s="52" t="str">
        <f t="shared" si="1"/>
        <v>Cubierta</v>
      </c>
      <c r="J28" s="53"/>
      <c r="K28" s="53"/>
      <c r="L28" s="53"/>
      <c r="M28" s="53"/>
      <c r="N28" s="53"/>
      <c r="O28" s="53"/>
      <c r="P28" s="53"/>
      <c r="Q28" s="53"/>
      <c r="R28" s="53"/>
      <c r="S28" s="53"/>
      <c r="T28" s="53"/>
      <c r="U28" s="53"/>
      <c r="V28" s="53"/>
      <c r="W28" s="53"/>
      <c r="X28" s="53"/>
    </row>
    <row r="29" hidden="1">
      <c r="A29" s="39"/>
      <c r="B29" s="39" t="s">
        <v>150</v>
      </c>
      <c r="C29" s="42" t="s">
        <v>44</v>
      </c>
      <c r="D29" s="42" t="s">
        <v>57</v>
      </c>
      <c r="E29" s="45">
        <v>46223.0</v>
      </c>
      <c r="F29" s="50" t="s">
        <v>51</v>
      </c>
      <c r="G29" s="50">
        <v>2026.0</v>
      </c>
      <c r="H29" s="45">
        <v>46225.0</v>
      </c>
      <c r="I29" s="52" t="str">
        <f t="shared" si="1"/>
        <v>Cubierta</v>
      </c>
      <c r="J29" s="53"/>
      <c r="K29" s="53"/>
      <c r="L29" s="53"/>
      <c r="M29" s="53"/>
      <c r="N29" s="53"/>
      <c r="O29" s="53"/>
      <c r="P29" s="53"/>
      <c r="Q29" s="53"/>
      <c r="R29" s="53"/>
      <c r="S29" s="53"/>
      <c r="T29" s="53"/>
      <c r="U29" s="53"/>
      <c r="V29" s="53"/>
      <c r="W29" s="53"/>
      <c r="X29" s="53"/>
    </row>
    <row r="30" hidden="1">
      <c r="A30" s="39"/>
      <c r="B30" s="39" t="s">
        <v>151</v>
      </c>
      <c r="C30" s="42" t="s">
        <v>56</v>
      </c>
      <c r="D30" s="42" t="s">
        <v>57</v>
      </c>
      <c r="E30" s="45">
        <v>46223.0</v>
      </c>
      <c r="F30" s="50" t="s">
        <v>51</v>
      </c>
      <c r="G30" s="50">
        <v>2026.0</v>
      </c>
      <c r="H30" s="45">
        <v>46226.0</v>
      </c>
      <c r="I30" s="52" t="str">
        <f t="shared" si="1"/>
        <v>Cubierta</v>
      </c>
      <c r="J30" s="53"/>
      <c r="K30" s="53"/>
      <c r="L30" s="53"/>
      <c r="M30" s="53"/>
      <c r="N30" s="53"/>
      <c r="O30" s="53"/>
      <c r="P30" s="53"/>
      <c r="Q30" s="53"/>
      <c r="R30" s="53"/>
      <c r="S30" s="53"/>
      <c r="T30" s="53"/>
      <c r="U30" s="53"/>
      <c r="V30" s="53"/>
      <c r="W30" s="53"/>
      <c r="X30" s="53"/>
    </row>
    <row r="31" hidden="1">
      <c r="A31" s="39"/>
      <c r="B31" s="39" t="s">
        <v>155</v>
      </c>
      <c r="C31" s="42" t="s">
        <v>56</v>
      </c>
      <c r="D31" s="42" t="s">
        <v>65</v>
      </c>
      <c r="E31" s="45">
        <v>46219.0</v>
      </c>
      <c r="F31" s="50" t="s">
        <v>51</v>
      </c>
      <c r="G31" s="50">
        <v>2026.0</v>
      </c>
      <c r="H31" s="45">
        <v>46226.0</v>
      </c>
      <c r="I31" s="52" t="str">
        <f t="shared" si="1"/>
        <v>Cubierta</v>
      </c>
      <c r="J31" s="53"/>
      <c r="K31" s="53"/>
      <c r="L31" s="53"/>
      <c r="M31" s="53"/>
      <c r="N31" s="53"/>
      <c r="O31" s="53"/>
      <c r="P31" s="53"/>
      <c r="Q31" s="53"/>
      <c r="R31" s="53"/>
      <c r="S31" s="53"/>
      <c r="T31" s="53"/>
      <c r="U31" s="53"/>
      <c r="V31" s="53"/>
      <c r="W31" s="53"/>
      <c r="X31" s="53"/>
    </row>
    <row r="32" hidden="1">
      <c r="A32" s="39"/>
      <c r="B32" s="39" t="s">
        <v>156</v>
      </c>
      <c r="C32" s="42" t="s">
        <v>157</v>
      </c>
      <c r="D32" s="42" t="s">
        <v>68</v>
      </c>
      <c r="E32" s="45">
        <v>46223.0</v>
      </c>
      <c r="F32" s="50" t="s">
        <v>51</v>
      </c>
      <c r="G32" s="50">
        <v>2026.0</v>
      </c>
      <c r="H32" s="45">
        <v>46226.0</v>
      </c>
      <c r="I32" s="52" t="str">
        <f t="shared" si="1"/>
        <v>Cubierta</v>
      </c>
      <c r="J32" s="53"/>
      <c r="K32" s="53"/>
      <c r="L32" s="53"/>
      <c r="M32" s="53"/>
      <c r="N32" s="53"/>
      <c r="O32" s="53"/>
      <c r="P32" s="53"/>
      <c r="Q32" s="53"/>
      <c r="R32" s="53"/>
      <c r="S32" s="53"/>
      <c r="T32" s="53"/>
      <c r="U32" s="53"/>
      <c r="V32" s="53"/>
      <c r="W32" s="53"/>
      <c r="X32" s="53"/>
    </row>
    <row r="33" hidden="1">
      <c r="A33" s="39"/>
      <c r="B33" s="39" t="s">
        <v>162</v>
      </c>
      <c r="C33" s="42" t="s">
        <v>56</v>
      </c>
      <c r="D33" s="42" t="s">
        <v>70</v>
      </c>
      <c r="E33" s="45">
        <v>46223.0</v>
      </c>
      <c r="F33" s="50" t="s">
        <v>51</v>
      </c>
      <c r="G33" s="50">
        <v>2026.0</v>
      </c>
      <c r="H33" s="45">
        <v>46228.0</v>
      </c>
      <c r="I33" s="52" t="str">
        <f t="shared" si="1"/>
        <v>Cubierta</v>
      </c>
      <c r="J33" s="53"/>
      <c r="K33" s="53"/>
      <c r="L33" s="53"/>
      <c r="M33" s="53"/>
      <c r="N33" s="53"/>
      <c r="O33" s="53"/>
      <c r="P33" s="53"/>
      <c r="Q33" s="53"/>
      <c r="R33" s="53"/>
      <c r="S33" s="53"/>
      <c r="T33" s="53"/>
      <c r="U33" s="53"/>
      <c r="V33" s="53"/>
      <c r="W33" s="53"/>
      <c r="X33" s="53"/>
    </row>
    <row r="34" hidden="1">
      <c r="A34" s="39"/>
      <c r="B34" s="39" t="s">
        <v>163</v>
      </c>
      <c r="C34" s="42" t="s">
        <v>44</v>
      </c>
      <c r="D34" s="42" t="s">
        <v>74</v>
      </c>
      <c r="E34" s="45">
        <v>46224.0</v>
      </c>
      <c r="F34" s="50" t="s">
        <v>51</v>
      </c>
      <c r="G34" s="50">
        <v>2026.0</v>
      </c>
      <c r="H34" s="45">
        <v>46225.0</v>
      </c>
      <c r="I34" s="52" t="str">
        <f t="shared" si="1"/>
        <v>Cubierta</v>
      </c>
      <c r="J34" s="53"/>
      <c r="K34" s="53"/>
      <c r="L34" s="53"/>
      <c r="M34" s="53"/>
      <c r="N34" s="53"/>
      <c r="O34" s="53"/>
      <c r="P34" s="53"/>
      <c r="Q34" s="53"/>
      <c r="R34" s="53"/>
      <c r="S34" s="53"/>
      <c r="T34" s="53"/>
      <c r="U34" s="53"/>
      <c r="V34" s="53"/>
      <c r="W34" s="53"/>
      <c r="X34" s="53"/>
    </row>
    <row r="35" hidden="1">
      <c r="A35" s="39"/>
      <c r="B35" s="39" t="s">
        <v>168</v>
      </c>
      <c r="C35" s="42" t="s">
        <v>169</v>
      </c>
      <c r="D35" s="42" t="s">
        <v>170</v>
      </c>
      <c r="E35" s="45">
        <v>46218.0</v>
      </c>
      <c r="F35" s="50" t="s">
        <v>51</v>
      </c>
      <c r="G35" s="50">
        <v>2026.0</v>
      </c>
      <c r="H35" s="45">
        <v>46237.0</v>
      </c>
      <c r="I35" s="52" t="str">
        <f t="shared" si="1"/>
        <v>Cubierta</v>
      </c>
      <c r="J35" s="39" t="s">
        <v>171</v>
      </c>
      <c r="K35" s="53"/>
      <c r="L35" s="53"/>
      <c r="M35" s="53"/>
      <c r="N35" s="53"/>
      <c r="O35" s="53"/>
      <c r="P35" s="53"/>
      <c r="Q35" s="53"/>
      <c r="R35" s="53"/>
      <c r="S35" s="53"/>
      <c r="T35" s="53"/>
      <c r="U35" s="53"/>
      <c r="V35" s="53"/>
      <c r="W35" s="53"/>
      <c r="X35" s="53"/>
    </row>
    <row r="36" hidden="1">
      <c r="A36" s="39"/>
      <c r="B36" s="39" t="s">
        <v>172</v>
      </c>
      <c r="C36" s="42" t="s">
        <v>112</v>
      </c>
      <c r="D36" s="42" t="s">
        <v>57</v>
      </c>
      <c r="E36" s="45">
        <v>46226.0</v>
      </c>
      <c r="F36" s="50" t="s">
        <v>51</v>
      </c>
      <c r="G36" s="50">
        <v>2026.0</v>
      </c>
      <c r="H36" s="45">
        <v>46227.0</v>
      </c>
      <c r="I36" s="52" t="str">
        <f t="shared" si="1"/>
        <v>Cubierta</v>
      </c>
      <c r="J36" s="53"/>
      <c r="K36" s="53"/>
      <c r="L36" s="53"/>
      <c r="M36" s="53"/>
      <c r="N36" s="53"/>
      <c r="O36" s="53"/>
      <c r="P36" s="53"/>
      <c r="Q36" s="53"/>
      <c r="R36" s="53"/>
      <c r="S36" s="53"/>
      <c r="T36" s="53"/>
      <c r="U36" s="53"/>
      <c r="V36" s="53"/>
      <c r="W36" s="53"/>
      <c r="X36" s="53"/>
    </row>
    <row r="37" hidden="1">
      <c r="A37" s="39"/>
      <c r="B37" s="39" t="s">
        <v>177</v>
      </c>
      <c r="C37" s="42" t="s">
        <v>61</v>
      </c>
      <c r="D37" s="42" t="s">
        <v>73</v>
      </c>
      <c r="E37" s="45">
        <v>46226.0</v>
      </c>
      <c r="F37" s="50" t="s">
        <v>51</v>
      </c>
      <c r="G37" s="50">
        <v>2026.0</v>
      </c>
      <c r="H37" s="45">
        <v>46227.0</v>
      </c>
      <c r="I37" s="52" t="str">
        <f t="shared" si="1"/>
        <v>Cubierta</v>
      </c>
      <c r="J37" s="53"/>
      <c r="K37" s="53"/>
      <c r="L37" s="53"/>
      <c r="M37" s="53"/>
      <c r="N37" s="53"/>
      <c r="O37" s="53"/>
      <c r="P37" s="53"/>
      <c r="Q37" s="53"/>
      <c r="R37" s="53"/>
      <c r="S37" s="53"/>
      <c r="T37" s="53"/>
      <c r="U37" s="53"/>
      <c r="V37" s="53"/>
      <c r="W37" s="53"/>
      <c r="X37" s="53"/>
    </row>
    <row r="38" hidden="1">
      <c r="A38" s="53"/>
      <c r="B38" s="39" t="s">
        <v>178</v>
      </c>
      <c r="C38" s="42" t="s">
        <v>108</v>
      </c>
      <c r="D38" s="42" t="s">
        <v>60</v>
      </c>
      <c r="E38" s="45">
        <v>46219.0</v>
      </c>
      <c r="F38" s="50" t="s">
        <v>51</v>
      </c>
      <c r="G38" s="50">
        <v>2026.0</v>
      </c>
      <c r="H38" s="45">
        <v>46247.0</v>
      </c>
      <c r="I38" s="52" t="str">
        <f t="shared" si="1"/>
        <v>Cubierta</v>
      </c>
      <c r="J38" s="53"/>
      <c r="K38" s="53"/>
      <c r="L38" s="53"/>
      <c r="M38" s="53"/>
      <c r="N38" s="53"/>
      <c r="O38" s="53"/>
      <c r="P38" s="53"/>
      <c r="Q38" s="53"/>
      <c r="R38" s="53"/>
      <c r="S38" s="53"/>
      <c r="T38" s="53"/>
      <c r="U38" s="53"/>
      <c r="V38" s="53"/>
      <c r="W38" s="53"/>
      <c r="X38" s="53"/>
    </row>
    <row r="39" hidden="1">
      <c r="A39" s="53"/>
      <c r="B39" s="39" t="s">
        <v>182</v>
      </c>
      <c r="C39" s="42" t="s">
        <v>49</v>
      </c>
      <c r="D39" s="42" t="s">
        <v>54</v>
      </c>
      <c r="E39" s="45">
        <v>46227.0</v>
      </c>
      <c r="F39" s="50" t="s">
        <v>51</v>
      </c>
      <c r="G39" s="50">
        <v>2026.0</v>
      </c>
      <c r="H39" s="45">
        <v>46232.0</v>
      </c>
      <c r="I39" s="84" t="str">
        <f t="shared" si="1"/>
        <v>Cubierta</v>
      </c>
      <c r="J39" s="53"/>
      <c r="K39" s="53"/>
      <c r="L39" s="53"/>
      <c r="M39" s="53"/>
      <c r="N39" s="53"/>
      <c r="O39" s="53"/>
      <c r="P39" s="53"/>
      <c r="Q39" s="53"/>
      <c r="R39" s="53"/>
      <c r="S39" s="53"/>
      <c r="T39" s="53"/>
      <c r="U39" s="53"/>
      <c r="V39" s="53"/>
      <c r="W39" s="53"/>
      <c r="X39" s="53"/>
    </row>
    <row r="40" hidden="1">
      <c r="A40" s="53"/>
      <c r="B40" s="39" t="s">
        <v>184</v>
      </c>
      <c r="C40" s="42" t="s">
        <v>61</v>
      </c>
      <c r="D40" s="42" t="s">
        <v>70</v>
      </c>
      <c r="E40" s="45">
        <v>46230.0</v>
      </c>
      <c r="F40" s="50" t="s">
        <v>51</v>
      </c>
      <c r="G40" s="50">
        <v>2026.0</v>
      </c>
      <c r="H40" s="45">
        <v>46233.0</v>
      </c>
      <c r="I40" s="84" t="str">
        <f t="shared" si="1"/>
        <v>Cubierta</v>
      </c>
      <c r="J40" s="39" t="s">
        <v>187</v>
      </c>
      <c r="K40" s="53"/>
      <c r="L40" s="53"/>
      <c r="M40" s="53"/>
      <c r="N40" s="53"/>
      <c r="O40" s="53"/>
      <c r="P40" s="53"/>
      <c r="Q40" s="53"/>
      <c r="R40" s="53"/>
      <c r="S40" s="53"/>
      <c r="T40" s="53"/>
      <c r="U40" s="53"/>
      <c r="V40" s="53"/>
      <c r="W40" s="53"/>
      <c r="X40" s="53"/>
    </row>
    <row r="41" hidden="1">
      <c r="A41" s="53"/>
      <c r="B41" s="39" t="s">
        <v>188</v>
      </c>
      <c r="C41" s="42" t="s">
        <v>44</v>
      </c>
      <c r="D41" s="42" t="s">
        <v>65</v>
      </c>
      <c r="E41" s="45">
        <v>46230.0</v>
      </c>
      <c r="F41" s="50" t="s">
        <v>51</v>
      </c>
      <c r="G41" s="50">
        <v>2026.0</v>
      </c>
      <c r="H41" s="45">
        <v>46232.0</v>
      </c>
      <c r="I41" s="84" t="str">
        <f t="shared" si="1"/>
        <v>Cubierta</v>
      </c>
      <c r="J41" s="53"/>
      <c r="K41" s="53"/>
      <c r="L41" s="53"/>
      <c r="M41" s="53"/>
      <c r="N41" s="53"/>
      <c r="O41" s="53"/>
      <c r="P41" s="53"/>
      <c r="Q41" s="53"/>
      <c r="R41" s="53"/>
      <c r="S41" s="53"/>
      <c r="T41" s="53"/>
      <c r="U41" s="53"/>
      <c r="V41" s="53"/>
      <c r="W41" s="53"/>
      <c r="X41" s="53"/>
    </row>
    <row r="42" hidden="1">
      <c r="A42" s="53"/>
      <c r="B42" s="39" t="s">
        <v>192</v>
      </c>
      <c r="C42" s="42" t="s">
        <v>193</v>
      </c>
      <c r="D42" s="42" t="s">
        <v>78</v>
      </c>
      <c r="E42" s="45">
        <v>46230.0</v>
      </c>
      <c r="F42" s="50" t="s">
        <v>51</v>
      </c>
      <c r="G42" s="50">
        <v>2026.0</v>
      </c>
      <c r="H42" s="45">
        <v>46235.0</v>
      </c>
      <c r="I42" s="84" t="str">
        <f t="shared" si="1"/>
        <v>Cubierta</v>
      </c>
      <c r="J42" s="53"/>
      <c r="K42" s="53"/>
      <c r="L42" s="53"/>
      <c r="M42" s="53"/>
      <c r="N42" s="53"/>
      <c r="O42" s="53"/>
      <c r="P42" s="53"/>
      <c r="Q42" s="53"/>
      <c r="R42" s="53"/>
      <c r="S42" s="53"/>
      <c r="T42" s="53"/>
      <c r="U42" s="53"/>
      <c r="V42" s="53"/>
      <c r="W42" s="53"/>
      <c r="X42" s="53"/>
    </row>
    <row r="43" hidden="1">
      <c r="A43" s="53"/>
      <c r="B43" s="39" t="s">
        <v>197</v>
      </c>
      <c r="C43" s="42" t="s">
        <v>61</v>
      </c>
      <c r="D43" s="42" t="s">
        <v>54</v>
      </c>
      <c r="E43" s="45">
        <v>46230.0</v>
      </c>
      <c r="F43" s="50" t="s">
        <v>51</v>
      </c>
      <c r="G43" s="50">
        <v>2026.0</v>
      </c>
      <c r="H43" s="45">
        <v>46233.0</v>
      </c>
      <c r="I43" s="84" t="str">
        <f t="shared" si="1"/>
        <v>Cubierta</v>
      </c>
      <c r="J43" s="53"/>
      <c r="K43" s="53"/>
      <c r="L43" s="53"/>
      <c r="M43" s="53"/>
      <c r="N43" s="53"/>
      <c r="O43" s="53"/>
      <c r="P43" s="53"/>
      <c r="Q43" s="53"/>
      <c r="R43" s="53"/>
      <c r="S43" s="53"/>
      <c r="T43" s="53"/>
      <c r="U43" s="53"/>
      <c r="V43" s="53"/>
      <c r="W43" s="53"/>
      <c r="X43" s="53"/>
    </row>
    <row r="44" hidden="1">
      <c r="A44" s="53"/>
      <c r="B44" s="39" t="s">
        <v>198</v>
      </c>
      <c r="C44" s="42" t="s">
        <v>199</v>
      </c>
      <c r="D44" s="42" t="s">
        <v>200</v>
      </c>
      <c r="E44" s="45">
        <v>46230.0</v>
      </c>
      <c r="F44" s="50" t="s">
        <v>51</v>
      </c>
      <c r="G44" s="50">
        <v>2026.0</v>
      </c>
      <c r="H44" s="45">
        <v>46241.0</v>
      </c>
      <c r="I44" s="84" t="str">
        <f t="shared" si="1"/>
        <v>Cubierta</v>
      </c>
      <c r="J44" s="53"/>
      <c r="K44" s="53"/>
      <c r="L44" s="53"/>
      <c r="M44" s="53"/>
      <c r="N44" s="53"/>
      <c r="O44" s="53"/>
      <c r="P44" s="53"/>
      <c r="Q44" s="53"/>
      <c r="R44" s="53"/>
      <c r="S44" s="53"/>
      <c r="T44" s="53"/>
      <c r="U44" s="53"/>
      <c r="V44" s="53"/>
      <c r="W44" s="53"/>
      <c r="X44" s="53"/>
    </row>
    <row r="45" hidden="1">
      <c r="A45" s="53"/>
      <c r="B45" s="39" t="s">
        <v>204</v>
      </c>
      <c r="C45" s="42" t="s">
        <v>199</v>
      </c>
      <c r="D45" s="42" t="s">
        <v>200</v>
      </c>
      <c r="E45" s="45">
        <v>46230.0</v>
      </c>
      <c r="F45" s="50" t="s">
        <v>51</v>
      </c>
      <c r="G45" s="50">
        <v>2026.0</v>
      </c>
      <c r="H45" s="45">
        <v>46241.0</v>
      </c>
      <c r="I45" s="84" t="str">
        <f t="shared" si="1"/>
        <v>Cubierta</v>
      </c>
      <c r="J45" s="53"/>
      <c r="K45" s="53"/>
      <c r="L45" s="53"/>
      <c r="M45" s="53"/>
      <c r="N45" s="53"/>
      <c r="O45" s="53"/>
      <c r="P45" s="53"/>
      <c r="Q45" s="53"/>
      <c r="R45" s="53"/>
      <c r="S45" s="53"/>
      <c r="T45" s="53"/>
      <c r="U45" s="53"/>
      <c r="V45" s="53"/>
      <c r="W45" s="53"/>
      <c r="X45" s="53"/>
    </row>
    <row r="46" hidden="1">
      <c r="A46" s="53"/>
      <c r="B46" s="39" t="s">
        <v>205</v>
      </c>
      <c r="C46" s="42" t="s">
        <v>49</v>
      </c>
      <c r="D46" s="42" t="s">
        <v>53</v>
      </c>
      <c r="E46" s="45">
        <v>46231.0</v>
      </c>
      <c r="F46" s="50" t="s">
        <v>51</v>
      </c>
      <c r="G46" s="50">
        <v>2026.0</v>
      </c>
      <c r="H46" s="45">
        <v>46247.0</v>
      </c>
      <c r="I46" s="84" t="str">
        <f t="shared" si="1"/>
        <v>Cubierta</v>
      </c>
      <c r="J46" s="53"/>
      <c r="K46" s="53"/>
      <c r="L46" s="53"/>
      <c r="M46" s="53"/>
      <c r="N46" s="53"/>
      <c r="O46" s="53"/>
      <c r="P46" s="53"/>
      <c r="Q46" s="53"/>
      <c r="R46" s="53"/>
      <c r="S46" s="53"/>
      <c r="T46" s="53"/>
      <c r="U46" s="53"/>
      <c r="V46" s="53"/>
      <c r="W46" s="53"/>
      <c r="X46" s="53"/>
    </row>
    <row r="47" hidden="1">
      <c r="A47" s="53"/>
      <c r="B47" s="39" t="s">
        <v>208</v>
      </c>
      <c r="C47" s="42" t="s">
        <v>56</v>
      </c>
      <c r="D47" s="42" t="s">
        <v>65</v>
      </c>
      <c r="E47" s="45">
        <v>46220.0</v>
      </c>
      <c r="F47" s="50" t="s">
        <v>51</v>
      </c>
      <c r="G47" s="50">
        <v>2026.0</v>
      </c>
      <c r="H47" s="45">
        <v>46233.0</v>
      </c>
      <c r="I47" s="84" t="str">
        <f t="shared" si="1"/>
        <v>Cubierta</v>
      </c>
      <c r="J47" s="53"/>
      <c r="K47" s="53"/>
      <c r="L47" s="53"/>
      <c r="M47" s="53"/>
      <c r="N47" s="53"/>
      <c r="O47" s="53"/>
      <c r="P47" s="53"/>
      <c r="Q47" s="53"/>
      <c r="R47" s="53"/>
      <c r="S47" s="53"/>
      <c r="T47" s="53"/>
      <c r="U47" s="53"/>
      <c r="V47" s="53"/>
      <c r="W47" s="53"/>
      <c r="X47" s="53"/>
    </row>
    <row r="48" hidden="1">
      <c r="A48" s="53"/>
      <c r="B48" s="39" t="s">
        <v>213</v>
      </c>
      <c r="C48" s="42" t="s">
        <v>56</v>
      </c>
      <c r="D48" s="42" t="s">
        <v>73</v>
      </c>
      <c r="E48" s="45">
        <v>46230.0</v>
      </c>
      <c r="F48" s="50" t="s">
        <v>51</v>
      </c>
      <c r="G48" s="50">
        <v>2026.0</v>
      </c>
      <c r="H48" s="45">
        <v>46233.0</v>
      </c>
      <c r="I48" s="84" t="str">
        <f t="shared" si="1"/>
        <v>Cubierta</v>
      </c>
      <c r="J48" s="53"/>
      <c r="K48" s="53"/>
      <c r="L48" s="53"/>
      <c r="M48" s="53"/>
      <c r="N48" s="53"/>
      <c r="O48" s="53"/>
      <c r="P48" s="53"/>
      <c r="Q48" s="53"/>
      <c r="R48" s="53"/>
      <c r="S48" s="53"/>
      <c r="T48" s="53"/>
      <c r="U48" s="53"/>
      <c r="V48" s="53"/>
      <c r="W48" s="53"/>
      <c r="X48" s="53"/>
    </row>
    <row r="49" hidden="1">
      <c r="A49" s="53"/>
      <c r="B49" s="39" t="s">
        <v>214</v>
      </c>
      <c r="C49" s="42" t="s">
        <v>61</v>
      </c>
      <c r="D49" s="42" t="s">
        <v>57</v>
      </c>
      <c r="E49" s="45">
        <v>46232.0</v>
      </c>
      <c r="F49" s="50" t="s">
        <v>51</v>
      </c>
      <c r="G49" s="50">
        <v>2026.0</v>
      </c>
      <c r="H49" s="45">
        <v>46234.0</v>
      </c>
      <c r="I49" s="84" t="str">
        <f t="shared" si="1"/>
        <v>Cubierta</v>
      </c>
      <c r="J49" s="53"/>
      <c r="K49" s="53"/>
      <c r="L49" s="53"/>
      <c r="M49" s="53"/>
      <c r="N49" s="53"/>
      <c r="O49" s="53"/>
      <c r="P49" s="53"/>
      <c r="Q49" s="53"/>
      <c r="R49" s="53"/>
      <c r="S49" s="53"/>
      <c r="T49" s="53"/>
      <c r="U49" s="53"/>
      <c r="V49" s="53"/>
      <c r="W49" s="53"/>
      <c r="X49" s="53"/>
    </row>
    <row r="50" hidden="1">
      <c r="A50" s="53"/>
      <c r="B50" s="39" t="s">
        <v>219</v>
      </c>
      <c r="C50" s="42" t="s">
        <v>221</v>
      </c>
      <c r="D50" s="42" t="s">
        <v>57</v>
      </c>
      <c r="E50" s="45">
        <v>46232.0</v>
      </c>
      <c r="F50" s="50" t="s">
        <v>51</v>
      </c>
      <c r="G50" s="50">
        <v>2026.0</v>
      </c>
      <c r="H50" s="45">
        <v>46234.0</v>
      </c>
      <c r="I50" s="84" t="str">
        <f t="shared" si="1"/>
        <v>Cubierta</v>
      </c>
      <c r="J50" s="53"/>
      <c r="K50" s="53"/>
      <c r="L50" s="53"/>
      <c r="M50" s="53"/>
      <c r="N50" s="53"/>
      <c r="O50" s="53"/>
      <c r="P50" s="53"/>
      <c r="Q50" s="53"/>
      <c r="R50" s="53"/>
      <c r="S50" s="53"/>
      <c r="T50" s="53"/>
      <c r="U50" s="53"/>
      <c r="V50" s="53"/>
      <c r="W50" s="53"/>
      <c r="X50" s="53"/>
    </row>
    <row r="51" hidden="1">
      <c r="A51" s="53"/>
      <c r="B51" s="39" t="s">
        <v>222</v>
      </c>
      <c r="C51" s="42" t="s">
        <v>56</v>
      </c>
      <c r="D51" s="42" t="s">
        <v>68</v>
      </c>
      <c r="E51" s="45">
        <v>46232.0</v>
      </c>
      <c r="F51" s="50" t="s">
        <v>51</v>
      </c>
      <c r="G51" s="50">
        <v>2026.0</v>
      </c>
      <c r="H51" s="45">
        <v>46255.0</v>
      </c>
      <c r="I51" s="84" t="str">
        <f t="shared" si="1"/>
        <v>Cubierta</v>
      </c>
      <c r="J51" s="53"/>
      <c r="K51" s="53"/>
      <c r="L51" s="53"/>
      <c r="M51" s="53"/>
      <c r="N51" s="53"/>
      <c r="O51" s="53"/>
      <c r="P51" s="53"/>
      <c r="Q51" s="53"/>
      <c r="R51" s="53"/>
      <c r="S51" s="53"/>
      <c r="T51" s="53"/>
      <c r="U51" s="53"/>
      <c r="V51" s="53"/>
      <c r="W51" s="53"/>
      <c r="X51" s="53"/>
    </row>
    <row r="52" hidden="1">
      <c r="A52" s="53"/>
      <c r="B52" s="39" t="s">
        <v>223</v>
      </c>
      <c r="C52" s="42" t="s">
        <v>44</v>
      </c>
      <c r="D52" s="42" t="s">
        <v>54</v>
      </c>
      <c r="E52" s="45">
        <v>46233.0</v>
      </c>
      <c r="F52" s="50" t="s">
        <v>51</v>
      </c>
      <c r="G52" s="50">
        <v>2026.0</v>
      </c>
      <c r="H52" s="45">
        <v>46234.0</v>
      </c>
      <c r="I52" s="84" t="str">
        <f t="shared" si="1"/>
        <v>Cubierta</v>
      </c>
      <c r="J52" s="53"/>
      <c r="K52" s="53"/>
      <c r="L52" s="53"/>
      <c r="M52" s="53"/>
      <c r="N52" s="53"/>
      <c r="O52" s="53"/>
      <c r="P52" s="53"/>
      <c r="Q52" s="53"/>
      <c r="R52" s="53"/>
      <c r="S52" s="53"/>
      <c r="T52" s="53"/>
      <c r="U52" s="53"/>
      <c r="V52" s="53"/>
      <c r="W52" s="53"/>
      <c r="X52" s="53"/>
    </row>
    <row r="53" hidden="1">
      <c r="A53" s="53"/>
      <c r="B53" s="39" t="s">
        <v>224</v>
      </c>
      <c r="C53" s="42" t="s">
        <v>44</v>
      </c>
      <c r="D53" s="42" t="s">
        <v>57</v>
      </c>
      <c r="E53" s="45">
        <v>46233.0</v>
      </c>
      <c r="F53" s="50" t="s">
        <v>51</v>
      </c>
      <c r="G53" s="50">
        <v>2026.0</v>
      </c>
      <c r="H53" s="45">
        <v>46235.0</v>
      </c>
      <c r="I53" s="84" t="str">
        <f t="shared" si="1"/>
        <v>Cubierta</v>
      </c>
      <c r="J53" s="53"/>
      <c r="K53" s="53"/>
      <c r="L53" s="53"/>
      <c r="M53" s="53"/>
      <c r="N53" s="53"/>
      <c r="O53" s="53"/>
      <c r="P53" s="53"/>
      <c r="Q53" s="53"/>
      <c r="R53" s="53"/>
      <c r="S53" s="53"/>
      <c r="T53" s="53"/>
      <c r="U53" s="53"/>
      <c r="V53" s="53"/>
      <c r="W53" s="53"/>
      <c r="X53" s="53"/>
    </row>
    <row r="54" hidden="1">
      <c r="A54" s="53"/>
      <c r="B54" s="39" t="s">
        <v>226</v>
      </c>
      <c r="C54" s="42" t="s">
        <v>44</v>
      </c>
      <c r="D54" s="42" t="s">
        <v>70</v>
      </c>
      <c r="E54" s="45">
        <v>46233.0</v>
      </c>
      <c r="F54" s="50" t="s">
        <v>51</v>
      </c>
      <c r="G54" s="50">
        <v>2026.0</v>
      </c>
      <c r="H54" s="45">
        <v>46234.0</v>
      </c>
      <c r="I54" s="84" t="str">
        <f t="shared" si="1"/>
        <v>Cubierta</v>
      </c>
      <c r="J54" s="53"/>
      <c r="K54" s="53"/>
      <c r="L54" s="53"/>
      <c r="M54" s="53"/>
      <c r="N54" s="53"/>
      <c r="O54" s="53"/>
      <c r="P54" s="53"/>
      <c r="Q54" s="53"/>
      <c r="R54" s="53"/>
      <c r="S54" s="53"/>
      <c r="T54" s="53"/>
      <c r="U54" s="53"/>
      <c r="V54" s="53"/>
      <c r="W54" s="53"/>
      <c r="X54" s="53"/>
    </row>
    <row r="55" hidden="1">
      <c r="A55" s="53"/>
      <c r="B55" s="39" t="s">
        <v>227</v>
      </c>
      <c r="C55" s="42" t="s">
        <v>44</v>
      </c>
      <c r="D55" s="42" t="s">
        <v>57</v>
      </c>
      <c r="E55" s="45">
        <v>46234.0</v>
      </c>
      <c r="F55" s="50" t="s">
        <v>51</v>
      </c>
      <c r="G55" s="50">
        <v>2026.0</v>
      </c>
      <c r="H55" s="45">
        <v>46240.0</v>
      </c>
      <c r="I55" s="84" t="str">
        <f t="shared" si="1"/>
        <v>Cubierta</v>
      </c>
      <c r="J55" s="53"/>
      <c r="K55" s="53"/>
      <c r="L55" s="53"/>
      <c r="M55" s="53"/>
      <c r="N55" s="53"/>
      <c r="O55" s="53"/>
      <c r="P55" s="53"/>
      <c r="Q55" s="53"/>
      <c r="R55" s="53"/>
      <c r="S55" s="53"/>
      <c r="T55" s="53"/>
      <c r="U55" s="53"/>
      <c r="V55" s="53"/>
      <c r="W55" s="53"/>
      <c r="X55" s="53"/>
    </row>
    <row r="56" hidden="1">
      <c r="A56" s="53"/>
      <c r="B56" s="39" t="s">
        <v>229</v>
      </c>
      <c r="C56" s="42" t="s">
        <v>56</v>
      </c>
      <c r="D56" s="42" t="s">
        <v>73</v>
      </c>
      <c r="E56" s="45">
        <v>46234.0</v>
      </c>
      <c r="F56" s="50" t="s">
        <v>51</v>
      </c>
      <c r="G56" s="50">
        <v>2026.0</v>
      </c>
      <c r="H56" s="45">
        <v>46238.0</v>
      </c>
      <c r="I56" s="84" t="str">
        <f t="shared" si="1"/>
        <v>Cubierta</v>
      </c>
      <c r="J56" s="53"/>
      <c r="K56" s="53"/>
      <c r="L56" s="53"/>
      <c r="M56" s="53"/>
      <c r="N56" s="53"/>
      <c r="O56" s="53"/>
      <c r="P56" s="53"/>
      <c r="Q56" s="53"/>
      <c r="R56" s="53"/>
      <c r="S56" s="53"/>
      <c r="T56" s="53"/>
      <c r="U56" s="53"/>
      <c r="V56" s="53"/>
      <c r="W56" s="53"/>
      <c r="X56" s="53"/>
    </row>
    <row r="57" hidden="1">
      <c r="A57" s="53"/>
      <c r="B57" s="39" t="s">
        <v>231</v>
      </c>
      <c r="C57" s="42" t="s">
        <v>112</v>
      </c>
      <c r="D57" s="42" t="s">
        <v>60</v>
      </c>
      <c r="E57" s="45">
        <v>46237.0</v>
      </c>
      <c r="F57" s="50" t="s">
        <v>232</v>
      </c>
      <c r="G57" s="50">
        <v>2026.0</v>
      </c>
      <c r="H57" s="45">
        <v>46240.0</v>
      </c>
      <c r="I57" s="84" t="str">
        <f t="shared" si="1"/>
        <v>Cubierta</v>
      </c>
      <c r="J57" s="53"/>
      <c r="K57" s="53"/>
      <c r="L57" s="53"/>
      <c r="M57" s="53"/>
      <c r="N57" s="53"/>
      <c r="O57" s="53"/>
      <c r="P57" s="53"/>
      <c r="Q57" s="53"/>
      <c r="R57" s="53"/>
      <c r="S57" s="53"/>
      <c r="T57" s="53"/>
      <c r="U57" s="53"/>
      <c r="V57" s="53"/>
      <c r="W57" s="53"/>
      <c r="X57" s="53"/>
    </row>
    <row r="58" hidden="1">
      <c r="A58" s="53"/>
      <c r="B58" s="39" t="s">
        <v>233</v>
      </c>
      <c r="C58" s="42" t="s">
        <v>221</v>
      </c>
      <c r="D58" s="42" t="s">
        <v>57</v>
      </c>
      <c r="E58" s="45">
        <v>46237.0</v>
      </c>
      <c r="F58" s="50" t="s">
        <v>232</v>
      </c>
      <c r="G58" s="50">
        <v>2026.0</v>
      </c>
      <c r="H58" s="45">
        <v>46240.0</v>
      </c>
      <c r="I58" s="84" t="str">
        <f t="shared" si="1"/>
        <v>Cubierta</v>
      </c>
      <c r="J58" s="53"/>
      <c r="K58" s="53"/>
      <c r="L58" s="53"/>
      <c r="M58" s="53"/>
      <c r="N58" s="53"/>
      <c r="O58" s="53"/>
      <c r="P58" s="53"/>
      <c r="Q58" s="53"/>
      <c r="R58" s="53"/>
      <c r="S58" s="53"/>
      <c r="T58" s="53"/>
      <c r="U58" s="53"/>
      <c r="V58" s="53"/>
      <c r="W58" s="53"/>
      <c r="X58" s="53"/>
    </row>
    <row r="59" hidden="1">
      <c r="A59" s="53"/>
      <c r="B59" s="39" t="s">
        <v>236</v>
      </c>
      <c r="C59" s="42" t="s">
        <v>61</v>
      </c>
      <c r="D59" s="42" t="s">
        <v>68</v>
      </c>
      <c r="E59" s="45">
        <v>46237.0</v>
      </c>
      <c r="F59" s="50" t="s">
        <v>232</v>
      </c>
      <c r="G59" s="50">
        <v>2026.0</v>
      </c>
      <c r="H59" s="45">
        <v>46238.0</v>
      </c>
      <c r="I59" s="84" t="str">
        <f t="shared" si="1"/>
        <v>Cubierta</v>
      </c>
      <c r="J59" s="53"/>
      <c r="K59" s="53"/>
      <c r="L59" s="53"/>
      <c r="M59" s="53"/>
      <c r="N59" s="53"/>
      <c r="O59" s="53"/>
      <c r="P59" s="53"/>
      <c r="Q59" s="53"/>
      <c r="R59" s="53"/>
      <c r="S59" s="53"/>
      <c r="T59" s="53"/>
      <c r="U59" s="53"/>
      <c r="V59" s="53"/>
      <c r="W59" s="53"/>
      <c r="X59" s="53"/>
    </row>
    <row r="60" hidden="1">
      <c r="A60" s="53"/>
      <c r="B60" s="39" t="s">
        <v>237</v>
      </c>
      <c r="C60" s="42" t="s">
        <v>56</v>
      </c>
      <c r="D60" s="42" t="s">
        <v>73</v>
      </c>
      <c r="E60" s="45">
        <v>46237.0</v>
      </c>
      <c r="F60" s="50" t="s">
        <v>232</v>
      </c>
      <c r="G60" s="50">
        <v>2026.0</v>
      </c>
      <c r="H60" s="45">
        <v>46238.0</v>
      </c>
      <c r="I60" s="84" t="str">
        <f t="shared" si="1"/>
        <v>Cubierta</v>
      </c>
      <c r="J60" s="53"/>
      <c r="K60" s="53"/>
      <c r="L60" s="53"/>
      <c r="M60" s="53"/>
      <c r="N60" s="53"/>
      <c r="O60" s="53"/>
      <c r="P60" s="53"/>
      <c r="Q60" s="53"/>
      <c r="R60" s="53"/>
      <c r="S60" s="53"/>
      <c r="T60" s="53"/>
      <c r="U60" s="53"/>
      <c r="V60" s="53"/>
      <c r="W60" s="53"/>
      <c r="X60" s="53"/>
    </row>
    <row r="61" hidden="1">
      <c r="A61" s="53"/>
      <c r="B61" s="39" t="s">
        <v>239</v>
      </c>
      <c r="C61" s="42" t="s">
        <v>14</v>
      </c>
      <c r="D61" s="42" t="s">
        <v>57</v>
      </c>
      <c r="E61" s="45">
        <v>46237.0</v>
      </c>
      <c r="F61" s="50" t="s">
        <v>232</v>
      </c>
      <c r="G61" s="50">
        <v>2026.0</v>
      </c>
      <c r="H61" s="45">
        <v>46239.0</v>
      </c>
      <c r="I61" s="84" t="str">
        <f t="shared" si="1"/>
        <v>Cubierta</v>
      </c>
      <c r="J61" s="53"/>
      <c r="K61" s="53"/>
      <c r="L61" s="53"/>
      <c r="M61" s="53"/>
      <c r="N61" s="53"/>
      <c r="O61" s="53"/>
      <c r="P61" s="53"/>
      <c r="Q61" s="53"/>
      <c r="R61" s="53"/>
      <c r="S61" s="53"/>
      <c r="T61" s="53"/>
      <c r="U61" s="53"/>
      <c r="V61" s="53"/>
      <c r="W61" s="53"/>
      <c r="X61" s="53"/>
    </row>
    <row r="62" hidden="1">
      <c r="A62" s="53"/>
      <c r="B62" s="39" t="s">
        <v>241</v>
      </c>
      <c r="C62" s="42" t="s">
        <v>61</v>
      </c>
      <c r="D62" s="42" t="s">
        <v>65</v>
      </c>
      <c r="E62" s="45">
        <v>46237.0</v>
      </c>
      <c r="F62" s="50" t="s">
        <v>232</v>
      </c>
      <c r="G62" s="50">
        <v>2026.0</v>
      </c>
      <c r="H62" s="45">
        <v>46238.0</v>
      </c>
      <c r="I62" s="84" t="str">
        <f t="shared" si="1"/>
        <v>Cubierta</v>
      </c>
      <c r="J62" s="53"/>
      <c r="K62" s="53"/>
      <c r="L62" s="53"/>
      <c r="M62" s="53"/>
      <c r="N62" s="53"/>
      <c r="O62" s="53"/>
      <c r="P62" s="53"/>
      <c r="Q62" s="53"/>
      <c r="R62" s="53"/>
      <c r="S62" s="53"/>
      <c r="T62" s="53"/>
      <c r="U62" s="53"/>
      <c r="V62" s="53"/>
      <c r="W62" s="53"/>
      <c r="X62" s="53"/>
    </row>
    <row r="63" hidden="1">
      <c r="A63" s="53"/>
      <c r="B63" s="39" t="s">
        <v>245</v>
      </c>
      <c r="C63" s="42" t="s">
        <v>103</v>
      </c>
      <c r="D63" s="42" t="s">
        <v>246</v>
      </c>
      <c r="E63" s="45">
        <v>46237.0</v>
      </c>
      <c r="F63" s="50" t="s">
        <v>232</v>
      </c>
      <c r="G63" s="50">
        <v>2026.0</v>
      </c>
      <c r="H63" s="45">
        <v>46248.0</v>
      </c>
      <c r="I63" s="84" t="str">
        <f t="shared" si="1"/>
        <v>Cubierta</v>
      </c>
      <c r="J63" s="53"/>
      <c r="K63" s="53"/>
      <c r="L63" s="53"/>
      <c r="M63" s="53"/>
      <c r="N63" s="53"/>
      <c r="O63" s="53"/>
      <c r="P63" s="53"/>
      <c r="Q63" s="53"/>
      <c r="R63" s="53"/>
      <c r="S63" s="53"/>
      <c r="T63" s="53"/>
      <c r="U63" s="53"/>
      <c r="V63" s="53"/>
      <c r="W63" s="53"/>
      <c r="X63" s="53"/>
    </row>
    <row r="64" hidden="1">
      <c r="A64" s="53"/>
      <c r="B64" s="39" t="s">
        <v>247</v>
      </c>
      <c r="C64" s="42" t="s">
        <v>56</v>
      </c>
      <c r="D64" s="42" t="s">
        <v>78</v>
      </c>
      <c r="E64" s="45">
        <v>46238.0</v>
      </c>
      <c r="F64" s="50" t="s">
        <v>232</v>
      </c>
      <c r="G64" s="50">
        <v>2026.0</v>
      </c>
      <c r="H64" s="45">
        <v>46242.0</v>
      </c>
      <c r="I64" s="84" t="str">
        <f t="shared" si="1"/>
        <v>Cubierta</v>
      </c>
      <c r="J64" s="39" t="s">
        <v>187</v>
      </c>
      <c r="K64" s="53"/>
      <c r="L64" s="53"/>
      <c r="M64" s="53"/>
      <c r="N64" s="53"/>
      <c r="O64" s="53"/>
      <c r="P64" s="53"/>
      <c r="Q64" s="53"/>
      <c r="R64" s="53"/>
      <c r="S64" s="53"/>
      <c r="T64" s="53"/>
      <c r="U64" s="53"/>
      <c r="V64" s="53"/>
      <c r="W64" s="53"/>
      <c r="X64" s="53"/>
    </row>
    <row r="65" hidden="1">
      <c r="A65" s="53"/>
      <c r="B65" s="39" t="s">
        <v>248</v>
      </c>
      <c r="C65" s="42" t="s">
        <v>56</v>
      </c>
      <c r="D65" s="42" t="s">
        <v>73</v>
      </c>
      <c r="E65" s="45">
        <v>46239.0</v>
      </c>
      <c r="F65" s="50" t="s">
        <v>232</v>
      </c>
      <c r="G65" s="50">
        <v>2026.0</v>
      </c>
      <c r="H65" s="45">
        <v>46241.0</v>
      </c>
      <c r="I65" s="84" t="str">
        <f t="shared" si="1"/>
        <v>Cubierta</v>
      </c>
      <c r="J65" s="53"/>
      <c r="K65" s="53"/>
      <c r="L65" s="53"/>
      <c r="M65" s="53"/>
      <c r="N65" s="53"/>
      <c r="O65" s="53"/>
      <c r="P65" s="53"/>
      <c r="Q65" s="53"/>
      <c r="R65" s="53"/>
      <c r="S65" s="53"/>
      <c r="T65" s="53"/>
      <c r="U65" s="53"/>
      <c r="V65" s="53"/>
      <c r="W65" s="53"/>
      <c r="X65" s="53"/>
    </row>
    <row r="66" hidden="1">
      <c r="A66" s="53"/>
      <c r="B66" s="39" t="s">
        <v>251</v>
      </c>
      <c r="C66" s="42" t="s">
        <v>108</v>
      </c>
      <c r="D66" s="42" t="s">
        <v>65</v>
      </c>
      <c r="E66" s="45">
        <v>46238.0</v>
      </c>
      <c r="F66" s="50" t="s">
        <v>232</v>
      </c>
      <c r="G66" s="50">
        <v>2026.0</v>
      </c>
      <c r="H66" s="45">
        <v>46240.0</v>
      </c>
      <c r="I66" s="84" t="str">
        <f t="shared" si="1"/>
        <v>Cubierta</v>
      </c>
      <c r="J66" s="53"/>
      <c r="K66" s="53"/>
      <c r="L66" s="53"/>
      <c r="M66" s="53"/>
      <c r="N66" s="53"/>
      <c r="O66" s="53"/>
      <c r="P66" s="53"/>
      <c r="Q66" s="53"/>
      <c r="R66" s="53"/>
      <c r="S66" s="53"/>
      <c r="T66" s="53"/>
      <c r="U66" s="53"/>
      <c r="V66" s="53"/>
      <c r="W66" s="53"/>
      <c r="X66" s="53"/>
    </row>
    <row r="67" hidden="1">
      <c r="A67" s="53"/>
      <c r="B67" s="39" t="s">
        <v>251</v>
      </c>
      <c r="C67" s="42" t="s">
        <v>14</v>
      </c>
      <c r="D67" s="42" t="s">
        <v>57</v>
      </c>
      <c r="E67" s="45">
        <v>46240.0</v>
      </c>
      <c r="F67" s="50" t="s">
        <v>232</v>
      </c>
      <c r="G67" s="50">
        <v>2026.0</v>
      </c>
      <c r="H67" s="45">
        <v>46258.0</v>
      </c>
      <c r="I67" s="84" t="str">
        <f t="shared" si="1"/>
        <v>Cubierta</v>
      </c>
      <c r="J67" s="53"/>
      <c r="K67" s="53"/>
      <c r="L67" s="53"/>
      <c r="M67" s="53"/>
      <c r="N67" s="53"/>
      <c r="O67" s="53"/>
      <c r="P67" s="53"/>
      <c r="Q67" s="53"/>
      <c r="R67" s="53"/>
      <c r="S67" s="53"/>
      <c r="T67" s="53"/>
      <c r="U67" s="53"/>
      <c r="V67" s="53"/>
      <c r="W67" s="53"/>
      <c r="X67" s="53"/>
    </row>
    <row r="68" hidden="1">
      <c r="A68" s="53"/>
      <c r="B68" s="39" t="s">
        <v>252</v>
      </c>
      <c r="C68" s="42" t="s">
        <v>108</v>
      </c>
      <c r="D68" s="42" t="s">
        <v>45</v>
      </c>
      <c r="E68" s="45">
        <v>46240.0</v>
      </c>
      <c r="F68" s="50" t="s">
        <v>232</v>
      </c>
      <c r="G68" s="50">
        <v>2026.0</v>
      </c>
      <c r="H68" s="45">
        <v>46248.0</v>
      </c>
      <c r="I68" s="84" t="str">
        <f t="shared" si="1"/>
        <v>Cubierta</v>
      </c>
      <c r="J68" s="53"/>
      <c r="K68" s="53"/>
      <c r="L68" s="53"/>
      <c r="M68" s="53"/>
      <c r="N68" s="53"/>
      <c r="O68" s="53"/>
      <c r="P68" s="53"/>
      <c r="Q68" s="53"/>
      <c r="R68" s="53"/>
      <c r="S68" s="53"/>
      <c r="T68" s="53"/>
      <c r="U68" s="53"/>
      <c r="V68" s="53"/>
      <c r="W68" s="53"/>
      <c r="X68" s="53"/>
    </row>
    <row r="69" hidden="1">
      <c r="A69" s="53"/>
      <c r="B69" s="39" t="s">
        <v>255</v>
      </c>
      <c r="C69" s="42" t="s">
        <v>44</v>
      </c>
      <c r="D69" s="42" t="s">
        <v>74</v>
      </c>
      <c r="E69" s="45">
        <v>46244.0</v>
      </c>
      <c r="F69" s="50" t="s">
        <v>232</v>
      </c>
      <c r="G69" s="50">
        <v>2026.0</v>
      </c>
      <c r="H69" s="45">
        <v>46246.0</v>
      </c>
      <c r="I69" s="84" t="str">
        <f t="shared" si="1"/>
        <v>Cubierta</v>
      </c>
      <c r="J69" s="53"/>
      <c r="K69" s="53"/>
      <c r="L69" s="53"/>
      <c r="M69" s="53"/>
      <c r="N69" s="53"/>
      <c r="O69" s="53"/>
      <c r="P69" s="53"/>
      <c r="Q69" s="53"/>
      <c r="R69" s="53"/>
      <c r="S69" s="53"/>
      <c r="T69" s="53"/>
      <c r="U69" s="53"/>
      <c r="V69" s="53"/>
      <c r="W69" s="53"/>
      <c r="X69" s="53"/>
    </row>
    <row r="70" hidden="1">
      <c r="A70" s="53"/>
      <c r="B70" s="39" t="s">
        <v>255</v>
      </c>
      <c r="C70" s="42" t="s">
        <v>44</v>
      </c>
      <c r="D70" s="42" t="s">
        <v>74</v>
      </c>
      <c r="E70" s="45">
        <v>46244.0</v>
      </c>
      <c r="F70" s="50" t="s">
        <v>232</v>
      </c>
      <c r="G70" s="50">
        <v>2026.0</v>
      </c>
      <c r="H70" s="45">
        <v>46248.0</v>
      </c>
      <c r="I70" s="84" t="str">
        <f t="shared" si="1"/>
        <v>Cubierta</v>
      </c>
      <c r="J70" s="53"/>
      <c r="K70" s="53"/>
      <c r="L70" s="53"/>
      <c r="M70" s="53"/>
      <c r="N70" s="53"/>
      <c r="O70" s="53"/>
      <c r="P70" s="53"/>
      <c r="Q70" s="53"/>
      <c r="R70" s="53"/>
      <c r="S70" s="53"/>
      <c r="T70" s="53"/>
      <c r="U70" s="53"/>
      <c r="V70" s="53"/>
      <c r="W70" s="53"/>
      <c r="X70" s="53"/>
    </row>
    <row r="71" hidden="1">
      <c r="A71" s="53"/>
      <c r="B71" s="39" t="s">
        <v>252</v>
      </c>
      <c r="C71" s="42" t="s">
        <v>56</v>
      </c>
      <c r="D71" s="42" t="s">
        <v>45</v>
      </c>
      <c r="E71" s="45">
        <v>46247.0</v>
      </c>
      <c r="F71" s="50" t="s">
        <v>232</v>
      </c>
      <c r="G71" s="50">
        <v>2026.0</v>
      </c>
      <c r="H71" s="45">
        <v>46261.0</v>
      </c>
      <c r="I71" s="84" t="str">
        <f t="shared" si="1"/>
        <v>Cubierta</v>
      </c>
      <c r="J71" s="39" t="s">
        <v>171</v>
      </c>
      <c r="K71" s="53"/>
      <c r="L71" s="53"/>
      <c r="M71" s="53"/>
      <c r="N71" s="53"/>
      <c r="O71" s="53"/>
      <c r="P71" s="53"/>
      <c r="Q71" s="53"/>
      <c r="R71" s="53"/>
      <c r="S71" s="53"/>
      <c r="T71" s="53"/>
      <c r="U71" s="53"/>
      <c r="V71" s="53"/>
      <c r="W71" s="53"/>
      <c r="X71" s="53"/>
    </row>
    <row r="72" hidden="1">
      <c r="A72" s="53"/>
      <c r="B72" s="39" t="s">
        <v>257</v>
      </c>
      <c r="C72" s="42" t="s">
        <v>61</v>
      </c>
      <c r="D72" s="42" t="s">
        <v>70</v>
      </c>
      <c r="E72" s="45">
        <v>46248.0</v>
      </c>
      <c r="F72" s="50" t="s">
        <v>232</v>
      </c>
      <c r="G72" s="50">
        <v>2026.0</v>
      </c>
      <c r="H72" s="45">
        <v>46249.0</v>
      </c>
      <c r="I72" s="84" t="str">
        <f t="shared" si="1"/>
        <v>Cubierta</v>
      </c>
      <c r="J72" s="53"/>
      <c r="K72" s="53"/>
      <c r="L72" s="53"/>
      <c r="M72" s="53"/>
      <c r="N72" s="53"/>
      <c r="O72" s="53"/>
      <c r="P72" s="53"/>
      <c r="Q72" s="53"/>
      <c r="R72" s="53"/>
      <c r="S72" s="53"/>
      <c r="T72" s="53"/>
      <c r="U72" s="53"/>
      <c r="V72" s="53"/>
      <c r="W72" s="53"/>
      <c r="X72" s="53"/>
    </row>
    <row r="73" hidden="1">
      <c r="A73" s="53"/>
      <c r="B73" s="39" t="s">
        <v>259</v>
      </c>
      <c r="C73" s="42" t="s">
        <v>221</v>
      </c>
      <c r="D73" s="42" t="s">
        <v>57</v>
      </c>
      <c r="E73" s="45">
        <v>46251.0</v>
      </c>
      <c r="F73" s="50" t="s">
        <v>232</v>
      </c>
      <c r="G73" s="50">
        <v>2026.0</v>
      </c>
      <c r="H73" s="45">
        <v>46259.0</v>
      </c>
      <c r="I73" s="84" t="str">
        <f t="shared" si="1"/>
        <v>Cubierta</v>
      </c>
      <c r="J73" s="53"/>
      <c r="K73" s="53"/>
      <c r="L73" s="53"/>
      <c r="M73" s="53"/>
      <c r="N73" s="53"/>
      <c r="O73" s="53"/>
      <c r="P73" s="53"/>
      <c r="Q73" s="53"/>
      <c r="R73" s="53"/>
      <c r="S73" s="53"/>
      <c r="T73" s="53"/>
      <c r="U73" s="53"/>
      <c r="V73" s="53"/>
      <c r="W73" s="53"/>
      <c r="X73" s="53"/>
    </row>
    <row r="74" hidden="1">
      <c r="A74" s="53"/>
      <c r="B74" s="39" t="s">
        <v>262</v>
      </c>
      <c r="C74" s="42" t="s">
        <v>14</v>
      </c>
      <c r="D74" s="42" t="s">
        <v>57</v>
      </c>
      <c r="E74" s="45">
        <v>46251.0</v>
      </c>
      <c r="F74" s="50" t="s">
        <v>232</v>
      </c>
      <c r="G74" s="50">
        <v>2026.0</v>
      </c>
      <c r="H74" s="45">
        <v>46254.0</v>
      </c>
      <c r="I74" s="84" t="str">
        <f t="shared" si="1"/>
        <v>Cubierta</v>
      </c>
      <c r="J74" s="53"/>
      <c r="K74" s="53"/>
      <c r="L74" s="53"/>
      <c r="M74" s="53"/>
      <c r="N74" s="53"/>
      <c r="O74" s="53"/>
      <c r="P74" s="53"/>
      <c r="Q74" s="53"/>
      <c r="R74" s="53"/>
      <c r="S74" s="53"/>
      <c r="T74" s="53"/>
      <c r="U74" s="53"/>
      <c r="V74" s="53"/>
      <c r="W74" s="53"/>
      <c r="X74" s="53"/>
    </row>
    <row r="75" hidden="1">
      <c r="A75" s="53"/>
      <c r="B75" s="39" t="s">
        <v>264</v>
      </c>
      <c r="C75" s="42" t="s">
        <v>61</v>
      </c>
      <c r="D75" s="42" t="s">
        <v>53</v>
      </c>
      <c r="E75" s="45">
        <v>46251.0</v>
      </c>
      <c r="F75" s="50" t="s">
        <v>232</v>
      </c>
      <c r="G75" s="50">
        <v>2026.0</v>
      </c>
      <c r="H75" s="45">
        <v>46253.0</v>
      </c>
      <c r="I75" s="84" t="str">
        <f t="shared" si="1"/>
        <v>Cubierta</v>
      </c>
      <c r="J75" s="53"/>
      <c r="K75" s="53"/>
      <c r="L75" s="53"/>
      <c r="M75" s="53"/>
      <c r="N75" s="53"/>
      <c r="O75" s="53"/>
      <c r="P75" s="53"/>
      <c r="Q75" s="53"/>
      <c r="R75" s="53"/>
      <c r="S75" s="53"/>
      <c r="T75" s="53"/>
      <c r="U75" s="53"/>
      <c r="V75" s="53"/>
      <c r="W75" s="53"/>
      <c r="X75" s="53"/>
    </row>
    <row r="76" hidden="1">
      <c r="A76" s="53"/>
      <c r="B76" s="39" t="s">
        <v>266</v>
      </c>
      <c r="C76" s="42" t="s">
        <v>61</v>
      </c>
      <c r="D76" s="42" t="s">
        <v>70</v>
      </c>
      <c r="E76" s="45">
        <v>46252.0</v>
      </c>
      <c r="F76" s="50" t="s">
        <v>232</v>
      </c>
      <c r="G76" s="50">
        <v>2026.0</v>
      </c>
      <c r="H76" s="45">
        <v>46254.0</v>
      </c>
      <c r="I76" s="84" t="str">
        <f t="shared" si="1"/>
        <v>Cubierta</v>
      </c>
      <c r="J76" s="53"/>
      <c r="K76" s="53"/>
      <c r="L76" s="53"/>
      <c r="M76" s="53"/>
      <c r="N76" s="53"/>
      <c r="O76" s="53"/>
      <c r="P76" s="53"/>
      <c r="Q76" s="53"/>
      <c r="R76" s="53"/>
      <c r="S76" s="53"/>
      <c r="T76" s="53"/>
      <c r="U76" s="53"/>
      <c r="V76" s="53"/>
      <c r="W76" s="53"/>
      <c r="X76" s="53"/>
    </row>
    <row r="77" hidden="1">
      <c r="A77" s="53"/>
      <c r="B77" s="39" t="s">
        <v>270</v>
      </c>
      <c r="C77" s="42" t="s">
        <v>61</v>
      </c>
      <c r="D77" s="42" t="s">
        <v>45</v>
      </c>
      <c r="E77" s="45">
        <v>46252.0</v>
      </c>
      <c r="F77" s="50" t="s">
        <v>232</v>
      </c>
      <c r="G77" s="50">
        <v>2026.0</v>
      </c>
      <c r="H77" s="45">
        <v>46252.0</v>
      </c>
      <c r="I77" s="84" t="str">
        <f t="shared" si="1"/>
        <v>Cubierta</v>
      </c>
      <c r="J77" s="53"/>
      <c r="K77" s="53"/>
      <c r="L77" s="53"/>
      <c r="M77" s="53"/>
      <c r="N77" s="53"/>
      <c r="O77" s="53"/>
      <c r="P77" s="53"/>
      <c r="Q77" s="53"/>
      <c r="R77" s="53"/>
      <c r="S77" s="53"/>
      <c r="T77" s="53"/>
      <c r="U77" s="53"/>
      <c r="V77" s="53"/>
      <c r="W77" s="53"/>
      <c r="X77" s="53"/>
    </row>
    <row r="78" hidden="1">
      <c r="A78" s="53"/>
      <c r="B78" s="39" t="s">
        <v>270</v>
      </c>
      <c r="C78" s="42" t="s">
        <v>193</v>
      </c>
      <c r="D78" s="42" t="s">
        <v>57</v>
      </c>
      <c r="E78" s="45">
        <v>46253.0</v>
      </c>
      <c r="F78" s="50" t="s">
        <v>232</v>
      </c>
      <c r="G78" s="50">
        <v>2026.0</v>
      </c>
      <c r="H78" s="45">
        <v>46259.0</v>
      </c>
      <c r="I78" s="84" t="str">
        <f t="shared" si="1"/>
        <v>Cubierta</v>
      </c>
      <c r="J78" s="53"/>
      <c r="K78" s="53"/>
      <c r="L78" s="53"/>
      <c r="M78" s="53"/>
      <c r="N78" s="53"/>
      <c r="O78" s="53"/>
      <c r="P78" s="53"/>
      <c r="Q78" s="53"/>
      <c r="R78" s="53"/>
      <c r="S78" s="53"/>
      <c r="T78" s="53"/>
      <c r="U78" s="53"/>
      <c r="V78" s="53"/>
      <c r="W78" s="53"/>
      <c r="X78" s="53"/>
    </row>
    <row r="79" hidden="1">
      <c r="A79" s="53"/>
      <c r="B79" s="39" t="s">
        <v>273</v>
      </c>
      <c r="C79" s="42" t="s">
        <v>56</v>
      </c>
      <c r="D79" s="42" t="s">
        <v>63</v>
      </c>
      <c r="E79" s="45">
        <v>46253.0</v>
      </c>
      <c r="F79" s="50" t="s">
        <v>232</v>
      </c>
      <c r="G79" s="50">
        <v>2026.0</v>
      </c>
      <c r="H79" s="45">
        <v>46255.0</v>
      </c>
      <c r="I79" s="84" t="str">
        <f t="shared" si="1"/>
        <v>Cubierta</v>
      </c>
      <c r="J79" s="53"/>
      <c r="K79" s="53"/>
      <c r="L79" s="53"/>
      <c r="M79" s="53"/>
      <c r="N79" s="53"/>
      <c r="O79" s="53"/>
      <c r="P79" s="53"/>
      <c r="Q79" s="53"/>
      <c r="R79" s="53"/>
      <c r="S79" s="53"/>
      <c r="T79" s="53"/>
      <c r="U79" s="53"/>
      <c r="V79" s="53"/>
      <c r="W79" s="53"/>
      <c r="X79" s="53"/>
    </row>
    <row r="80" hidden="1">
      <c r="A80" s="53"/>
      <c r="B80" s="39" t="s">
        <v>264</v>
      </c>
      <c r="C80" s="42" t="s">
        <v>108</v>
      </c>
      <c r="D80" s="42" t="s">
        <v>63</v>
      </c>
      <c r="E80" s="45">
        <v>46255.0</v>
      </c>
      <c r="F80" s="50" t="s">
        <v>232</v>
      </c>
      <c r="G80" s="50">
        <v>2026.0</v>
      </c>
      <c r="H80" s="45">
        <v>46255.0</v>
      </c>
      <c r="I80" s="84" t="str">
        <f t="shared" si="1"/>
        <v>Cubierta</v>
      </c>
      <c r="J80" s="53"/>
      <c r="K80" s="53"/>
      <c r="L80" s="53"/>
      <c r="M80" s="53"/>
      <c r="N80" s="53"/>
      <c r="O80" s="53"/>
      <c r="P80" s="53"/>
      <c r="Q80" s="53"/>
      <c r="R80" s="53"/>
      <c r="S80" s="53"/>
      <c r="T80" s="53"/>
      <c r="U80" s="53"/>
      <c r="V80" s="53"/>
      <c r="W80" s="53"/>
      <c r="X80" s="53"/>
    </row>
    <row r="81">
      <c r="A81" s="53"/>
      <c r="B81" s="39" t="s">
        <v>264</v>
      </c>
      <c r="C81" s="42" t="s">
        <v>103</v>
      </c>
      <c r="D81" s="42" t="s">
        <v>246</v>
      </c>
      <c r="E81" s="45">
        <v>46255.0</v>
      </c>
      <c r="F81" s="50" t="s">
        <v>232</v>
      </c>
      <c r="G81" s="50">
        <v>2026.0</v>
      </c>
      <c r="H81" s="87"/>
      <c r="I81" s="84" t="str">
        <f t="shared" si="1"/>
        <v>En Proceso</v>
      </c>
      <c r="J81" s="53"/>
      <c r="K81" s="53"/>
      <c r="L81" s="53"/>
      <c r="M81" s="53"/>
      <c r="N81" s="53"/>
      <c r="O81" s="53"/>
      <c r="P81" s="53"/>
      <c r="Q81" s="53"/>
      <c r="R81" s="53"/>
      <c r="S81" s="53"/>
      <c r="T81" s="53"/>
      <c r="U81" s="53"/>
      <c r="V81" s="53"/>
      <c r="W81" s="53"/>
      <c r="X81" s="53"/>
    </row>
    <row r="82" hidden="1">
      <c r="A82" s="53"/>
      <c r="B82" s="39" t="s">
        <v>266</v>
      </c>
      <c r="C82" s="42" t="s">
        <v>61</v>
      </c>
      <c r="D82" s="42" t="s">
        <v>45</v>
      </c>
      <c r="E82" s="45">
        <v>46258.0</v>
      </c>
      <c r="F82" s="50" t="s">
        <v>232</v>
      </c>
      <c r="G82" s="50">
        <v>2026.0</v>
      </c>
      <c r="H82" s="45">
        <v>46261.0</v>
      </c>
      <c r="I82" s="84" t="str">
        <f t="shared" si="1"/>
        <v>Cubierta</v>
      </c>
      <c r="J82" s="53"/>
      <c r="K82" s="53"/>
      <c r="L82" s="53"/>
      <c r="M82" s="53"/>
      <c r="N82" s="53"/>
      <c r="O82" s="53"/>
      <c r="P82" s="53"/>
      <c r="Q82" s="53"/>
      <c r="R82" s="53"/>
      <c r="S82" s="53"/>
      <c r="T82" s="53"/>
      <c r="U82" s="53"/>
      <c r="V82" s="53"/>
      <c r="W82" s="53"/>
      <c r="X82" s="53"/>
    </row>
    <row r="83" hidden="1">
      <c r="A83" s="53"/>
      <c r="B83" s="39" t="s">
        <v>270</v>
      </c>
      <c r="C83" s="42" t="s">
        <v>44</v>
      </c>
      <c r="D83" s="42" t="s">
        <v>57</v>
      </c>
      <c r="E83" s="45">
        <v>46258.0</v>
      </c>
      <c r="F83" s="50" t="s">
        <v>232</v>
      </c>
      <c r="G83" s="50">
        <v>2026.0</v>
      </c>
      <c r="H83" s="45">
        <v>46262.0</v>
      </c>
      <c r="I83" s="84" t="str">
        <f t="shared" si="1"/>
        <v>Cubierta</v>
      </c>
      <c r="J83" s="53"/>
      <c r="K83" s="53"/>
      <c r="L83" s="53"/>
      <c r="M83" s="53"/>
      <c r="N83" s="53"/>
      <c r="O83" s="53"/>
      <c r="P83" s="53"/>
      <c r="Q83" s="53"/>
      <c r="R83" s="53"/>
      <c r="S83" s="53"/>
      <c r="T83" s="53"/>
      <c r="U83" s="53"/>
      <c r="V83" s="53"/>
      <c r="W83" s="53"/>
      <c r="X83" s="53"/>
    </row>
    <row r="84" hidden="1">
      <c r="A84" s="2"/>
      <c r="B84" s="39" t="s">
        <v>279</v>
      </c>
      <c r="C84" s="88" t="s">
        <v>14</v>
      </c>
      <c r="D84" s="89" t="s">
        <v>57</v>
      </c>
      <c r="E84" s="45">
        <v>46258.0</v>
      </c>
      <c r="F84" s="50" t="s">
        <v>232</v>
      </c>
      <c r="G84" s="50">
        <v>2026.0</v>
      </c>
      <c r="H84" s="90">
        <v>46268.0</v>
      </c>
      <c r="I84" s="84" t="str">
        <f t="shared" si="1"/>
        <v>Cubierta</v>
      </c>
      <c r="J84" s="2"/>
      <c r="K84" s="1"/>
      <c r="L84" s="1"/>
      <c r="M84" s="1"/>
      <c r="N84" s="1"/>
      <c r="O84" s="1"/>
      <c r="P84" s="1"/>
      <c r="Q84" s="1"/>
      <c r="R84" s="1"/>
      <c r="S84" s="1"/>
      <c r="T84" s="1"/>
      <c r="U84" s="1"/>
      <c r="V84" s="1"/>
      <c r="W84" s="1"/>
      <c r="X84" s="1"/>
    </row>
    <row r="85" hidden="1">
      <c r="A85" s="2"/>
      <c r="B85" s="39" t="s">
        <v>281</v>
      </c>
      <c r="C85" s="88" t="s">
        <v>56</v>
      </c>
      <c r="D85" s="89" t="s">
        <v>57</v>
      </c>
      <c r="E85" s="45">
        <v>46258.0</v>
      </c>
      <c r="F85" s="50" t="s">
        <v>232</v>
      </c>
      <c r="G85" s="50">
        <v>2026.0</v>
      </c>
      <c r="H85" s="90">
        <v>46265.0</v>
      </c>
      <c r="I85" s="84" t="str">
        <f t="shared" si="1"/>
        <v>Cubierta</v>
      </c>
      <c r="J85" s="2"/>
      <c r="K85" s="1"/>
      <c r="L85" s="1"/>
      <c r="M85" s="1"/>
      <c r="N85" s="1"/>
      <c r="O85" s="1"/>
      <c r="P85" s="1"/>
      <c r="Q85" s="1"/>
      <c r="R85" s="1"/>
      <c r="S85" s="1"/>
      <c r="T85" s="1"/>
      <c r="U85" s="1"/>
      <c r="V85" s="1"/>
      <c r="W85" s="1"/>
      <c r="X85" s="1"/>
    </row>
    <row r="86" hidden="1">
      <c r="A86" s="2"/>
      <c r="B86" s="39" t="s">
        <v>283</v>
      </c>
      <c r="C86" s="88" t="s">
        <v>221</v>
      </c>
      <c r="D86" s="89" t="s">
        <v>57</v>
      </c>
      <c r="E86" s="45">
        <v>46258.0</v>
      </c>
      <c r="F86" s="50" t="s">
        <v>232</v>
      </c>
      <c r="G86" s="50">
        <v>2026.0</v>
      </c>
      <c r="H86" s="45">
        <v>46261.0</v>
      </c>
      <c r="I86" s="84" t="str">
        <f t="shared" si="1"/>
        <v>Cubierta</v>
      </c>
      <c r="J86" s="2"/>
      <c r="K86" s="1"/>
      <c r="L86" s="1"/>
      <c r="M86" s="1"/>
      <c r="N86" s="1"/>
      <c r="O86" s="1"/>
      <c r="P86" s="1"/>
      <c r="Q86" s="1"/>
      <c r="R86" s="1"/>
      <c r="S86" s="1"/>
      <c r="T86" s="1"/>
      <c r="U86" s="1"/>
      <c r="V86" s="1"/>
      <c r="W86" s="1"/>
      <c r="X86" s="1"/>
    </row>
    <row r="87" hidden="1">
      <c r="A87" s="2"/>
      <c r="B87" s="39" t="s">
        <v>284</v>
      </c>
      <c r="C87" s="88" t="s">
        <v>193</v>
      </c>
      <c r="D87" s="89" t="s">
        <v>57</v>
      </c>
      <c r="E87" s="45">
        <v>46258.0</v>
      </c>
      <c r="F87" s="50" t="s">
        <v>232</v>
      </c>
      <c r="G87" s="50">
        <v>2026.0</v>
      </c>
      <c r="H87" s="45">
        <v>46261.0</v>
      </c>
      <c r="I87" s="84" t="str">
        <f t="shared" si="1"/>
        <v>Cubierta</v>
      </c>
      <c r="J87" s="2"/>
      <c r="K87" s="1"/>
      <c r="L87" s="1"/>
      <c r="M87" s="1"/>
      <c r="N87" s="1"/>
      <c r="O87" s="1"/>
      <c r="P87" s="1"/>
      <c r="Q87" s="1"/>
      <c r="R87" s="1"/>
      <c r="S87" s="1"/>
      <c r="T87" s="1"/>
      <c r="U87" s="1"/>
      <c r="V87" s="1"/>
      <c r="W87" s="1"/>
      <c r="X87" s="1"/>
    </row>
    <row r="88" hidden="1">
      <c r="A88" s="2"/>
      <c r="B88" s="39" t="s">
        <v>287</v>
      </c>
      <c r="C88" s="88" t="s">
        <v>56</v>
      </c>
      <c r="D88" s="89" t="s">
        <v>70</v>
      </c>
      <c r="E88" s="90">
        <v>46262.0</v>
      </c>
      <c r="F88" s="50" t="s">
        <v>232</v>
      </c>
      <c r="G88" s="50">
        <v>2026.0</v>
      </c>
      <c r="H88" s="90">
        <v>46272.0</v>
      </c>
      <c r="I88" s="84" t="str">
        <f t="shared" si="1"/>
        <v>Cubierta</v>
      </c>
      <c r="J88" s="2"/>
      <c r="K88" s="1"/>
      <c r="L88" s="1"/>
      <c r="M88" s="1"/>
      <c r="N88" s="1"/>
      <c r="O88" s="1"/>
      <c r="P88" s="1"/>
      <c r="Q88" s="1"/>
      <c r="R88" s="1"/>
      <c r="S88" s="1"/>
      <c r="T88" s="1"/>
      <c r="U88" s="1"/>
      <c r="V88" s="1"/>
      <c r="W88" s="1"/>
      <c r="X88" s="1"/>
    </row>
    <row r="89" hidden="1">
      <c r="A89" s="2"/>
      <c r="B89" s="39" t="s">
        <v>294</v>
      </c>
      <c r="C89" s="88" t="s">
        <v>14</v>
      </c>
      <c r="D89" s="89" t="s">
        <v>70</v>
      </c>
      <c r="E89" s="90">
        <v>46262.0</v>
      </c>
      <c r="F89" s="50" t="s">
        <v>232</v>
      </c>
      <c r="G89" s="50">
        <v>2026.0</v>
      </c>
      <c r="H89" s="90">
        <v>46268.0</v>
      </c>
      <c r="I89" s="84" t="str">
        <f t="shared" si="1"/>
        <v>Cubierta</v>
      </c>
      <c r="J89" s="2"/>
      <c r="K89" s="1"/>
      <c r="L89" s="1"/>
      <c r="M89" s="1"/>
      <c r="N89" s="1"/>
      <c r="O89" s="1"/>
      <c r="P89" s="1"/>
      <c r="Q89" s="1"/>
      <c r="R89" s="1"/>
      <c r="S89" s="1"/>
      <c r="T89" s="1"/>
      <c r="U89" s="1"/>
      <c r="V89" s="1"/>
      <c r="W89" s="1"/>
      <c r="X89" s="1"/>
    </row>
    <row r="90" hidden="1">
      <c r="A90" s="2"/>
      <c r="B90" s="39" t="s">
        <v>298</v>
      </c>
      <c r="C90" s="88" t="s">
        <v>44</v>
      </c>
      <c r="D90" s="89" t="s">
        <v>68</v>
      </c>
      <c r="E90" s="90">
        <v>46265.0</v>
      </c>
      <c r="F90" s="50" t="s">
        <v>232</v>
      </c>
      <c r="G90" s="50">
        <v>2026.0</v>
      </c>
      <c r="H90" s="90">
        <v>46235.0</v>
      </c>
      <c r="I90" s="84" t="str">
        <f t="shared" si="1"/>
        <v>Cubierta</v>
      </c>
      <c r="J90" s="2"/>
      <c r="K90" s="1"/>
      <c r="L90" s="1"/>
      <c r="M90" s="1"/>
      <c r="N90" s="1"/>
      <c r="O90" s="1"/>
      <c r="P90" s="1"/>
      <c r="Q90" s="1"/>
      <c r="R90" s="1"/>
      <c r="S90" s="1"/>
      <c r="T90" s="1"/>
      <c r="U90" s="1"/>
      <c r="V90" s="1"/>
      <c r="W90" s="1"/>
      <c r="X90" s="1"/>
    </row>
    <row r="91" hidden="1">
      <c r="A91" s="2"/>
      <c r="B91" s="39" t="s">
        <v>298</v>
      </c>
      <c r="C91" s="88" t="s">
        <v>44</v>
      </c>
      <c r="D91" s="89" t="s">
        <v>68</v>
      </c>
      <c r="E91" s="4"/>
      <c r="F91" s="91"/>
      <c r="G91" s="91"/>
      <c r="H91" s="90">
        <v>46268.0</v>
      </c>
      <c r="I91" s="84" t="str">
        <f t="shared" si="1"/>
        <v>Cubierta</v>
      </c>
      <c r="J91" s="2"/>
      <c r="K91" s="1"/>
      <c r="L91" s="1"/>
      <c r="M91" s="1"/>
      <c r="N91" s="1"/>
      <c r="O91" s="1"/>
      <c r="P91" s="1"/>
      <c r="Q91" s="1"/>
      <c r="R91" s="1"/>
      <c r="S91" s="1"/>
      <c r="T91" s="1"/>
      <c r="U91" s="1"/>
      <c r="V91" s="1"/>
      <c r="W91" s="1"/>
      <c r="X91" s="1"/>
    </row>
    <row r="92" hidden="1">
      <c r="A92" s="2"/>
      <c r="B92" s="39" t="s">
        <v>299</v>
      </c>
      <c r="C92" s="88" t="s">
        <v>61</v>
      </c>
      <c r="D92" s="89" t="s">
        <v>59</v>
      </c>
      <c r="E92" s="90">
        <v>46268.0</v>
      </c>
      <c r="F92" s="92" t="s">
        <v>302</v>
      </c>
      <c r="G92" s="50">
        <v>2026.0</v>
      </c>
      <c r="H92" s="93">
        <v>46273.0</v>
      </c>
      <c r="I92" s="84" t="str">
        <f t="shared" si="1"/>
        <v>Cubierta</v>
      </c>
      <c r="J92" s="2"/>
      <c r="K92" s="1"/>
      <c r="L92" s="1"/>
      <c r="M92" s="1"/>
      <c r="N92" s="1"/>
      <c r="O92" s="1"/>
      <c r="P92" s="1"/>
      <c r="Q92" s="1"/>
      <c r="R92" s="1"/>
      <c r="S92" s="1"/>
      <c r="T92" s="1"/>
      <c r="U92" s="1"/>
      <c r="V92" s="1"/>
      <c r="W92" s="1"/>
      <c r="X92" s="1"/>
    </row>
    <row r="93" hidden="1">
      <c r="A93" s="2"/>
      <c r="B93" s="39" t="s">
        <v>294</v>
      </c>
      <c r="C93" s="88" t="s">
        <v>193</v>
      </c>
      <c r="D93" s="89" t="s">
        <v>45</v>
      </c>
      <c r="E93" s="90">
        <v>46269.0</v>
      </c>
      <c r="F93" s="92" t="s">
        <v>302</v>
      </c>
      <c r="G93" s="50">
        <v>2026.0</v>
      </c>
      <c r="H93" s="90">
        <v>46272.0</v>
      </c>
      <c r="I93" s="84" t="str">
        <f t="shared" si="1"/>
        <v>Cubierta</v>
      </c>
      <c r="J93" s="2"/>
      <c r="K93" s="1"/>
      <c r="L93" s="1"/>
      <c r="M93" s="1"/>
      <c r="N93" s="1"/>
      <c r="O93" s="1"/>
      <c r="P93" s="1"/>
      <c r="Q93" s="1"/>
      <c r="R93" s="1"/>
      <c r="S93" s="1"/>
      <c r="T93" s="1"/>
      <c r="U93" s="1"/>
      <c r="V93" s="1"/>
      <c r="W93" s="1"/>
      <c r="X93" s="1"/>
    </row>
    <row r="94" hidden="1">
      <c r="A94" s="2"/>
      <c r="B94" s="39" t="s">
        <v>298</v>
      </c>
      <c r="C94" s="88" t="s">
        <v>44</v>
      </c>
      <c r="D94" s="89" t="s">
        <v>60</v>
      </c>
      <c r="E94" s="90">
        <v>46269.0</v>
      </c>
      <c r="F94" s="92" t="s">
        <v>302</v>
      </c>
      <c r="G94" s="50">
        <v>2026.0</v>
      </c>
      <c r="H94" s="90">
        <v>46270.0</v>
      </c>
      <c r="I94" s="84" t="str">
        <f t="shared" si="1"/>
        <v>Cubierta</v>
      </c>
      <c r="J94" s="2"/>
      <c r="K94" s="1"/>
      <c r="L94" s="1"/>
      <c r="M94" s="1"/>
      <c r="N94" s="1"/>
      <c r="O94" s="1"/>
      <c r="P94" s="1"/>
      <c r="Q94" s="1"/>
      <c r="R94" s="1"/>
      <c r="S94" s="1"/>
      <c r="T94" s="1"/>
      <c r="U94" s="1"/>
      <c r="V94" s="1"/>
      <c r="W94" s="1"/>
      <c r="X94" s="1"/>
    </row>
    <row r="95" hidden="1">
      <c r="A95" s="2"/>
      <c r="B95" s="39" t="s">
        <v>306</v>
      </c>
      <c r="C95" s="88" t="s">
        <v>112</v>
      </c>
      <c r="D95" s="89" t="s">
        <v>60</v>
      </c>
      <c r="E95" s="90">
        <v>46272.0</v>
      </c>
      <c r="F95" s="92" t="s">
        <v>302</v>
      </c>
      <c r="G95" s="50">
        <v>2026.0</v>
      </c>
      <c r="H95" s="90">
        <v>46282.0</v>
      </c>
      <c r="I95" s="84" t="str">
        <f t="shared" si="1"/>
        <v>Cubierta</v>
      </c>
      <c r="J95" s="2"/>
      <c r="K95" s="1"/>
      <c r="L95" s="1"/>
      <c r="M95" s="1"/>
      <c r="N95" s="1"/>
      <c r="O95" s="1"/>
      <c r="P95" s="1"/>
      <c r="Q95" s="1"/>
      <c r="R95" s="1"/>
      <c r="S95" s="1"/>
      <c r="T95" s="1"/>
      <c r="U95" s="1"/>
      <c r="V95" s="1"/>
      <c r="W95" s="1"/>
      <c r="X95" s="1"/>
    </row>
    <row r="96" hidden="1">
      <c r="A96" s="2"/>
      <c r="B96" s="39" t="s">
        <v>307</v>
      </c>
      <c r="C96" s="88" t="s">
        <v>61</v>
      </c>
      <c r="D96" s="89" t="s">
        <v>65</v>
      </c>
      <c r="E96" s="90">
        <v>46272.0</v>
      </c>
      <c r="F96" s="92" t="s">
        <v>302</v>
      </c>
      <c r="G96" s="50">
        <v>2026.0</v>
      </c>
      <c r="H96" s="90">
        <v>46276.0</v>
      </c>
      <c r="I96" s="84" t="str">
        <f t="shared" si="1"/>
        <v>Cubierta</v>
      </c>
      <c r="J96" s="2"/>
      <c r="K96" s="1"/>
      <c r="L96" s="1"/>
      <c r="M96" s="1"/>
      <c r="N96" s="1"/>
      <c r="O96" s="1"/>
      <c r="P96" s="1"/>
      <c r="Q96" s="1"/>
      <c r="R96" s="1"/>
      <c r="S96" s="1"/>
      <c r="T96" s="1"/>
      <c r="U96" s="1"/>
      <c r="V96" s="1"/>
      <c r="W96" s="1"/>
      <c r="X96" s="1"/>
    </row>
    <row r="97" hidden="1">
      <c r="A97" s="2"/>
      <c r="B97" s="39" t="s">
        <v>308</v>
      </c>
      <c r="C97" s="88" t="s">
        <v>44</v>
      </c>
      <c r="D97" s="89" t="s">
        <v>73</v>
      </c>
      <c r="E97" s="90">
        <v>46272.0</v>
      </c>
      <c r="F97" s="92" t="s">
        <v>302</v>
      </c>
      <c r="G97" s="50">
        <v>2026.0</v>
      </c>
      <c r="H97" s="90">
        <v>46275.0</v>
      </c>
      <c r="I97" s="84" t="str">
        <f t="shared" si="1"/>
        <v>Cubierta</v>
      </c>
      <c r="J97" s="2"/>
      <c r="K97" s="1"/>
      <c r="L97" s="1"/>
      <c r="M97" s="1"/>
      <c r="N97" s="1"/>
      <c r="O97" s="1"/>
      <c r="P97" s="1"/>
      <c r="Q97" s="1"/>
      <c r="R97" s="1"/>
      <c r="S97" s="1"/>
      <c r="T97" s="1"/>
      <c r="U97" s="1"/>
      <c r="V97" s="1"/>
      <c r="W97" s="1"/>
      <c r="X97" s="1"/>
    </row>
    <row r="98" hidden="1">
      <c r="A98" s="2"/>
      <c r="B98" s="39" t="s">
        <v>311</v>
      </c>
      <c r="C98" s="88" t="s">
        <v>56</v>
      </c>
      <c r="D98" s="89" t="s">
        <v>70</v>
      </c>
      <c r="E98" s="90">
        <v>46273.0</v>
      </c>
      <c r="F98" s="92" t="s">
        <v>302</v>
      </c>
      <c r="G98" s="50">
        <v>2026.0</v>
      </c>
      <c r="H98" s="90">
        <v>46275.0</v>
      </c>
      <c r="I98" s="84" t="str">
        <f t="shared" si="1"/>
        <v>Cubierta</v>
      </c>
      <c r="J98" s="2"/>
      <c r="K98" s="1"/>
      <c r="L98" s="1"/>
      <c r="M98" s="1"/>
      <c r="N98" s="1"/>
      <c r="O98" s="1"/>
      <c r="P98" s="1"/>
      <c r="Q98" s="1"/>
      <c r="R98" s="1"/>
      <c r="S98" s="1"/>
      <c r="T98" s="1"/>
      <c r="U98" s="1"/>
      <c r="V98" s="1"/>
      <c r="W98" s="1"/>
      <c r="X98" s="1"/>
    </row>
    <row r="99" hidden="1">
      <c r="A99" s="2"/>
      <c r="B99" s="39" t="s">
        <v>312</v>
      </c>
      <c r="C99" s="88" t="s">
        <v>193</v>
      </c>
      <c r="D99" s="89" t="s">
        <v>45</v>
      </c>
      <c r="E99" s="90">
        <v>46273.0</v>
      </c>
      <c r="F99" s="92" t="s">
        <v>302</v>
      </c>
      <c r="G99" s="50">
        <v>2026.0</v>
      </c>
      <c r="H99" s="90">
        <v>46280.0</v>
      </c>
      <c r="I99" s="84" t="str">
        <f t="shared" si="1"/>
        <v>Cubierta</v>
      </c>
      <c r="J99" s="2"/>
      <c r="K99" s="1"/>
      <c r="L99" s="1"/>
      <c r="M99" s="1"/>
      <c r="N99" s="1"/>
      <c r="O99" s="1"/>
      <c r="P99" s="1"/>
      <c r="Q99" s="1"/>
      <c r="R99" s="1"/>
      <c r="S99" s="1"/>
      <c r="T99" s="1"/>
      <c r="U99" s="1"/>
      <c r="V99" s="1"/>
      <c r="W99" s="1"/>
      <c r="X99" s="1"/>
    </row>
    <row r="100" hidden="1">
      <c r="A100" s="2"/>
      <c r="B100" s="39" t="s">
        <v>313</v>
      </c>
      <c r="C100" s="88" t="s">
        <v>56</v>
      </c>
      <c r="D100" s="89" t="s">
        <v>68</v>
      </c>
      <c r="E100" s="90">
        <v>46274.0</v>
      </c>
      <c r="F100" s="92" t="s">
        <v>302</v>
      </c>
      <c r="G100" s="50">
        <v>2026.0</v>
      </c>
      <c r="H100" s="90">
        <v>46275.0</v>
      </c>
      <c r="I100" s="84" t="str">
        <f t="shared" si="1"/>
        <v>Cubierta</v>
      </c>
      <c r="J100" s="2"/>
      <c r="K100" s="1"/>
      <c r="L100" s="1"/>
      <c r="M100" s="1"/>
      <c r="N100" s="1"/>
      <c r="O100" s="1"/>
      <c r="P100" s="1"/>
      <c r="Q100" s="1"/>
      <c r="R100" s="1"/>
      <c r="S100" s="1"/>
      <c r="T100" s="1"/>
      <c r="U100" s="1"/>
      <c r="V100" s="1"/>
      <c r="W100" s="1"/>
      <c r="X100" s="1"/>
    </row>
    <row r="101" hidden="1">
      <c r="A101" s="2"/>
      <c r="B101" s="39" t="s">
        <v>316</v>
      </c>
      <c r="C101" s="88" t="s">
        <v>221</v>
      </c>
      <c r="D101" s="89" t="s">
        <v>57</v>
      </c>
      <c r="E101" s="90">
        <v>46279.0</v>
      </c>
      <c r="F101" s="92" t="s">
        <v>302</v>
      </c>
      <c r="G101" s="50">
        <v>2026.0</v>
      </c>
      <c r="H101" s="90">
        <v>46282.0</v>
      </c>
      <c r="I101" s="84" t="str">
        <f t="shared" si="1"/>
        <v>Cubierta</v>
      </c>
      <c r="J101" s="2"/>
      <c r="K101" s="1"/>
      <c r="L101" s="1"/>
      <c r="M101" s="1"/>
      <c r="N101" s="1"/>
      <c r="O101" s="1"/>
      <c r="P101" s="1"/>
      <c r="Q101" s="1"/>
      <c r="R101" s="1"/>
      <c r="S101" s="1"/>
      <c r="T101" s="1"/>
      <c r="U101" s="1"/>
      <c r="V101" s="1"/>
      <c r="W101" s="1"/>
      <c r="X101" s="1"/>
    </row>
    <row r="102" hidden="1">
      <c r="A102" s="2"/>
      <c r="B102" s="39" t="s">
        <v>317</v>
      </c>
      <c r="C102" s="88" t="s">
        <v>221</v>
      </c>
      <c r="D102" s="89" t="s">
        <v>57</v>
      </c>
      <c r="E102" s="90">
        <v>46279.0</v>
      </c>
      <c r="F102" s="92" t="s">
        <v>302</v>
      </c>
      <c r="G102" s="50">
        <v>2026.0</v>
      </c>
      <c r="H102" s="90">
        <v>46282.0</v>
      </c>
      <c r="I102" s="84" t="str">
        <f t="shared" si="1"/>
        <v>Cubierta</v>
      </c>
      <c r="J102" s="2"/>
      <c r="K102" s="1"/>
      <c r="L102" s="1"/>
      <c r="M102" s="1"/>
      <c r="N102" s="1"/>
      <c r="O102" s="1"/>
      <c r="P102" s="1"/>
      <c r="Q102" s="1"/>
      <c r="R102" s="1"/>
      <c r="S102" s="1"/>
      <c r="T102" s="1"/>
      <c r="U102" s="1"/>
      <c r="V102" s="1"/>
      <c r="W102" s="1"/>
      <c r="X102" s="1"/>
    </row>
    <row r="103" hidden="1">
      <c r="A103" s="2"/>
      <c r="B103" s="39" t="s">
        <v>318</v>
      </c>
      <c r="C103" s="88" t="s">
        <v>49</v>
      </c>
      <c r="D103" s="89" t="s">
        <v>53</v>
      </c>
      <c r="E103" s="90">
        <v>46279.0</v>
      </c>
      <c r="F103" s="92" t="s">
        <v>302</v>
      </c>
      <c r="G103" s="50">
        <v>2026.0</v>
      </c>
      <c r="H103" s="90">
        <v>46281.0</v>
      </c>
      <c r="I103" s="84" t="str">
        <f t="shared" si="1"/>
        <v>Cubierta</v>
      </c>
      <c r="J103" s="2"/>
      <c r="K103" s="1"/>
      <c r="L103" s="1"/>
      <c r="M103" s="1"/>
      <c r="N103" s="1"/>
      <c r="O103" s="1"/>
      <c r="P103" s="1"/>
      <c r="Q103" s="1"/>
      <c r="R103" s="1"/>
      <c r="S103" s="1"/>
      <c r="T103" s="1"/>
      <c r="U103" s="1"/>
      <c r="V103" s="1"/>
      <c r="W103" s="1"/>
      <c r="X103" s="1"/>
    </row>
    <row r="104">
      <c r="A104" s="2"/>
      <c r="B104" s="39" t="s">
        <v>321</v>
      </c>
      <c r="C104" s="88" t="s">
        <v>49</v>
      </c>
      <c r="D104" s="89" t="s">
        <v>53</v>
      </c>
      <c r="E104" s="90">
        <v>46279.0</v>
      </c>
      <c r="F104" s="92" t="s">
        <v>302</v>
      </c>
      <c r="G104" s="50">
        <v>2026.0</v>
      </c>
      <c r="H104" s="4"/>
      <c r="I104" s="84" t="str">
        <f t="shared" si="1"/>
        <v>En Proceso</v>
      </c>
      <c r="J104" s="2"/>
      <c r="K104" s="1"/>
      <c r="L104" s="1"/>
      <c r="M104" s="1"/>
      <c r="N104" s="1"/>
      <c r="O104" s="1"/>
      <c r="P104" s="1"/>
      <c r="Q104" s="1"/>
      <c r="R104" s="1"/>
      <c r="S104" s="1"/>
      <c r="T104" s="1"/>
      <c r="U104" s="1"/>
      <c r="V104" s="1"/>
      <c r="W104" s="1"/>
      <c r="X104" s="1"/>
    </row>
    <row r="105" hidden="1">
      <c r="A105" s="2"/>
      <c r="B105" s="39" t="s">
        <v>322</v>
      </c>
      <c r="C105" s="88" t="s">
        <v>56</v>
      </c>
      <c r="D105" s="89" t="s">
        <v>74</v>
      </c>
      <c r="E105" s="90">
        <v>46279.0</v>
      </c>
      <c r="F105" s="92" t="s">
        <v>302</v>
      </c>
      <c r="G105" s="50">
        <v>2026.0</v>
      </c>
      <c r="H105" s="90">
        <v>46280.0</v>
      </c>
      <c r="I105" s="84" t="str">
        <f t="shared" si="1"/>
        <v>Cubierta</v>
      </c>
      <c r="J105" s="2"/>
      <c r="K105" s="1"/>
      <c r="L105" s="1"/>
      <c r="M105" s="1"/>
      <c r="N105" s="1"/>
      <c r="O105" s="1"/>
      <c r="P105" s="1"/>
      <c r="Q105" s="1"/>
      <c r="R105" s="1"/>
      <c r="S105" s="1"/>
      <c r="T105" s="1"/>
      <c r="U105" s="1"/>
      <c r="V105" s="1"/>
      <c r="W105" s="1"/>
      <c r="X105" s="1"/>
    </row>
    <row r="106">
      <c r="A106" s="2"/>
      <c r="B106" s="39" t="s">
        <v>323</v>
      </c>
      <c r="C106" s="88" t="s">
        <v>112</v>
      </c>
      <c r="D106" s="89" t="s">
        <v>63</v>
      </c>
      <c r="E106" s="90">
        <v>46279.0</v>
      </c>
      <c r="F106" s="92" t="s">
        <v>302</v>
      </c>
      <c r="G106" s="50">
        <v>2026.0</v>
      </c>
      <c r="H106" s="90"/>
      <c r="I106" s="84" t="str">
        <f t="shared" si="1"/>
        <v>En Proceso</v>
      </c>
      <c r="J106" s="2"/>
      <c r="K106" s="1"/>
      <c r="L106" s="1"/>
      <c r="M106" s="1"/>
      <c r="N106" s="1"/>
      <c r="O106" s="1"/>
      <c r="P106" s="1"/>
      <c r="Q106" s="1"/>
      <c r="R106" s="1"/>
      <c r="S106" s="1"/>
      <c r="T106" s="1"/>
      <c r="U106" s="1"/>
      <c r="V106" s="1"/>
      <c r="W106" s="1"/>
      <c r="X106" s="1"/>
    </row>
    <row r="107" hidden="1">
      <c r="A107" s="2"/>
      <c r="B107" s="39" t="s">
        <v>326</v>
      </c>
      <c r="C107" s="88" t="s">
        <v>61</v>
      </c>
      <c r="D107" s="89" t="s">
        <v>63</v>
      </c>
      <c r="E107" s="90">
        <v>46279.0</v>
      </c>
      <c r="F107" s="92" t="s">
        <v>302</v>
      </c>
      <c r="G107" s="50">
        <v>2026.0</v>
      </c>
      <c r="H107" s="90">
        <v>46284.0</v>
      </c>
      <c r="I107" s="84" t="str">
        <f t="shared" si="1"/>
        <v>Cubierta</v>
      </c>
      <c r="J107" s="2"/>
      <c r="K107" s="1"/>
      <c r="L107" s="1"/>
      <c r="M107" s="1"/>
      <c r="N107" s="1"/>
      <c r="O107" s="1"/>
      <c r="P107" s="1"/>
      <c r="Q107" s="1"/>
      <c r="R107" s="1"/>
      <c r="S107" s="1"/>
      <c r="T107" s="1"/>
      <c r="U107" s="1"/>
      <c r="V107" s="1"/>
      <c r="W107" s="1"/>
      <c r="X107" s="1"/>
    </row>
    <row r="108" hidden="1">
      <c r="A108" s="2"/>
      <c r="B108" s="39" t="s">
        <v>327</v>
      </c>
      <c r="C108" s="88" t="s">
        <v>193</v>
      </c>
      <c r="D108" s="89" t="s">
        <v>45</v>
      </c>
      <c r="E108" s="90">
        <v>46279.0</v>
      </c>
      <c r="F108" s="92" t="s">
        <v>302</v>
      </c>
      <c r="G108" s="50">
        <v>2026.0</v>
      </c>
      <c r="H108" s="90">
        <v>46280.0</v>
      </c>
      <c r="I108" s="84" t="str">
        <f t="shared" si="1"/>
        <v>Cubierta</v>
      </c>
      <c r="J108" s="2"/>
      <c r="K108" s="1"/>
      <c r="L108" s="1"/>
      <c r="M108" s="1"/>
      <c r="N108" s="1"/>
      <c r="O108" s="1"/>
      <c r="P108" s="1"/>
      <c r="Q108" s="1"/>
      <c r="R108" s="1"/>
      <c r="S108" s="1"/>
      <c r="T108" s="1"/>
      <c r="U108" s="1"/>
      <c r="V108" s="1"/>
      <c r="W108" s="1"/>
      <c r="X108" s="1"/>
    </row>
    <row r="109" hidden="1">
      <c r="A109" s="2"/>
      <c r="B109" s="39" t="s">
        <v>327</v>
      </c>
      <c r="C109" s="88" t="s">
        <v>56</v>
      </c>
      <c r="D109" s="89" t="s">
        <v>68</v>
      </c>
      <c r="E109" s="90">
        <v>46281.0</v>
      </c>
      <c r="F109" s="92" t="s">
        <v>302</v>
      </c>
      <c r="G109" s="50">
        <v>2026.0</v>
      </c>
      <c r="H109" s="90">
        <v>46282.0</v>
      </c>
      <c r="I109" s="84" t="str">
        <f t="shared" si="1"/>
        <v>Cubierta</v>
      </c>
      <c r="J109" s="2"/>
      <c r="K109" s="1"/>
      <c r="L109" s="1"/>
      <c r="M109" s="1"/>
      <c r="N109" s="1"/>
      <c r="O109" s="1"/>
      <c r="P109" s="1"/>
      <c r="Q109" s="1"/>
      <c r="R109" s="1"/>
      <c r="S109" s="1"/>
      <c r="T109" s="1"/>
      <c r="U109" s="1"/>
      <c r="V109" s="1"/>
      <c r="W109" s="1"/>
      <c r="X109" s="1"/>
    </row>
    <row r="110" hidden="1">
      <c r="A110" s="2"/>
      <c r="B110" s="39" t="s">
        <v>330</v>
      </c>
      <c r="C110" s="88" t="s">
        <v>193</v>
      </c>
      <c r="D110" s="89" t="s">
        <v>68</v>
      </c>
      <c r="E110" s="90">
        <v>46281.0</v>
      </c>
      <c r="F110" s="92" t="s">
        <v>302</v>
      </c>
      <c r="G110" s="50">
        <v>2026.0</v>
      </c>
      <c r="H110" s="90">
        <v>46282.0</v>
      </c>
      <c r="I110" s="84" t="str">
        <f t="shared" si="1"/>
        <v>Cubierta</v>
      </c>
      <c r="J110" s="2"/>
      <c r="K110" s="1"/>
      <c r="L110" s="1"/>
      <c r="M110" s="1"/>
      <c r="N110" s="1"/>
      <c r="O110" s="1"/>
      <c r="P110" s="1"/>
      <c r="Q110" s="1"/>
      <c r="R110" s="1"/>
      <c r="S110" s="1"/>
      <c r="T110" s="1"/>
      <c r="U110" s="1"/>
      <c r="V110" s="1"/>
      <c r="W110" s="1"/>
      <c r="X110" s="1"/>
    </row>
    <row r="111">
      <c r="A111" s="2"/>
      <c r="B111" s="39" t="s">
        <v>331</v>
      </c>
      <c r="C111" s="88" t="s">
        <v>44</v>
      </c>
      <c r="D111" s="89" t="s">
        <v>45</v>
      </c>
      <c r="E111" s="90">
        <v>46281.0</v>
      </c>
      <c r="F111" s="92" t="s">
        <v>302</v>
      </c>
      <c r="G111" s="50">
        <v>2026.0</v>
      </c>
      <c r="H111" s="4"/>
      <c r="I111" s="84" t="str">
        <f t="shared" si="1"/>
        <v>En Proceso</v>
      </c>
      <c r="J111" s="2"/>
      <c r="K111" s="1"/>
      <c r="L111" s="1"/>
      <c r="M111" s="1"/>
      <c r="N111" s="1"/>
      <c r="O111" s="1"/>
      <c r="P111" s="1"/>
      <c r="Q111" s="1"/>
      <c r="R111" s="1"/>
      <c r="S111" s="1"/>
      <c r="T111" s="1"/>
      <c r="U111" s="1"/>
      <c r="V111" s="1"/>
      <c r="W111" s="1"/>
      <c r="X111" s="1"/>
    </row>
    <row r="112">
      <c r="A112" s="2"/>
      <c r="B112" s="39" t="s">
        <v>332</v>
      </c>
      <c r="C112" s="88" t="s">
        <v>61</v>
      </c>
      <c r="D112" s="89" t="s">
        <v>63</v>
      </c>
      <c r="E112" s="90">
        <v>46281.0</v>
      </c>
      <c r="F112" s="92" t="s">
        <v>302</v>
      </c>
      <c r="G112" s="50">
        <v>2026.0</v>
      </c>
      <c r="H112" s="90">
        <v>46288.0</v>
      </c>
      <c r="I112" s="84" t="str">
        <f t="shared" si="1"/>
        <v>Cubierta</v>
      </c>
      <c r="J112" s="2"/>
      <c r="K112" s="1"/>
      <c r="L112" s="1"/>
      <c r="M112" s="1"/>
      <c r="N112" s="1"/>
      <c r="O112" s="1"/>
      <c r="P112" s="1"/>
      <c r="Q112" s="1"/>
      <c r="R112" s="1"/>
      <c r="S112" s="1"/>
      <c r="T112" s="1"/>
      <c r="U112" s="1"/>
      <c r="V112" s="1"/>
      <c r="W112" s="1"/>
      <c r="X112" s="1"/>
    </row>
    <row r="113" hidden="1">
      <c r="A113" s="2"/>
      <c r="B113" s="39" t="s">
        <v>336</v>
      </c>
      <c r="C113" s="88" t="s">
        <v>44</v>
      </c>
      <c r="D113" s="89" t="s">
        <v>57</v>
      </c>
      <c r="E113" s="90">
        <v>46281.0</v>
      </c>
      <c r="F113" s="92" t="s">
        <v>302</v>
      </c>
      <c r="G113" s="50">
        <v>2026.0</v>
      </c>
      <c r="H113" s="90">
        <v>46283.0</v>
      </c>
      <c r="I113" s="84" t="str">
        <f t="shared" si="1"/>
        <v>Cubierta</v>
      </c>
      <c r="J113" s="2"/>
      <c r="K113" s="1"/>
      <c r="L113" s="1"/>
      <c r="M113" s="1"/>
      <c r="N113" s="1"/>
      <c r="O113" s="1"/>
      <c r="P113" s="1"/>
      <c r="Q113" s="1"/>
      <c r="R113" s="1"/>
      <c r="S113" s="1"/>
      <c r="T113" s="1"/>
      <c r="U113" s="1"/>
      <c r="V113" s="1"/>
      <c r="W113" s="1"/>
      <c r="X113" s="1"/>
    </row>
    <row r="114" hidden="1">
      <c r="A114" s="2"/>
      <c r="B114" s="39" t="s">
        <v>332</v>
      </c>
      <c r="C114" s="88" t="s">
        <v>44</v>
      </c>
      <c r="D114" s="89" t="s">
        <v>57</v>
      </c>
      <c r="E114" s="90">
        <v>46281.0</v>
      </c>
      <c r="F114" s="92" t="s">
        <v>302</v>
      </c>
      <c r="G114" s="50">
        <v>2026.0</v>
      </c>
      <c r="H114" s="90">
        <v>46283.0</v>
      </c>
      <c r="I114" s="84" t="str">
        <f t="shared" si="1"/>
        <v>Cubierta</v>
      </c>
      <c r="J114" s="2"/>
      <c r="K114" s="1"/>
      <c r="L114" s="1"/>
      <c r="M114" s="1"/>
      <c r="N114" s="1"/>
      <c r="O114" s="1"/>
      <c r="P114" s="1"/>
      <c r="Q114" s="1"/>
      <c r="R114" s="1"/>
      <c r="S114" s="1"/>
      <c r="T114" s="1"/>
      <c r="U114" s="1"/>
      <c r="V114" s="1"/>
      <c r="W114" s="1"/>
      <c r="X114" s="1"/>
    </row>
    <row r="115" hidden="1">
      <c r="A115" s="2"/>
      <c r="B115" s="39" t="s">
        <v>332</v>
      </c>
      <c r="C115" s="88" t="s">
        <v>56</v>
      </c>
      <c r="D115" s="89" t="s">
        <v>57</v>
      </c>
      <c r="E115" s="90">
        <v>46281.0</v>
      </c>
      <c r="F115" s="92" t="s">
        <v>302</v>
      </c>
      <c r="G115" s="50">
        <v>2026.0</v>
      </c>
      <c r="H115" s="90">
        <v>46283.0</v>
      </c>
      <c r="I115" s="84" t="str">
        <f t="shared" si="1"/>
        <v>Cubierta</v>
      </c>
      <c r="J115" s="2"/>
      <c r="K115" s="1"/>
      <c r="L115" s="1"/>
      <c r="M115" s="1"/>
      <c r="N115" s="1"/>
      <c r="O115" s="1"/>
      <c r="P115" s="1"/>
      <c r="Q115" s="1"/>
      <c r="R115" s="1"/>
      <c r="S115" s="1"/>
      <c r="T115" s="1"/>
      <c r="U115" s="1"/>
      <c r="V115" s="1"/>
      <c r="W115" s="1"/>
      <c r="X115" s="1"/>
    </row>
    <row r="116">
      <c r="A116" s="2"/>
      <c r="B116" s="39" t="s">
        <v>332</v>
      </c>
      <c r="C116" s="88" t="s">
        <v>56</v>
      </c>
      <c r="D116" s="89" t="s">
        <v>57</v>
      </c>
      <c r="E116" s="90">
        <v>46281.0</v>
      </c>
      <c r="F116" s="92" t="s">
        <v>302</v>
      </c>
      <c r="G116" s="50">
        <v>2026.0</v>
      </c>
      <c r="H116" s="4"/>
      <c r="I116" s="84" t="str">
        <f t="shared" si="1"/>
        <v>En Proceso</v>
      </c>
      <c r="J116" s="2"/>
      <c r="K116" s="1"/>
      <c r="L116" s="1"/>
      <c r="M116" s="1"/>
      <c r="N116" s="1"/>
      <c r="O116" s="1"/>
      <c r="P116" s="1"/>
      <c r="Q116" s="1"/>
      <c r="R116" s="1"/>
      <c r="S116" s="1"/>
      <c r="T116" s="1"/>
      <c r="U116" s="1"/>
      <c r="V116" s="1"/>
      <c r="W116" s="1"/>
      <c r="X116" s="1"/>
    </row>
    <row r="117" hidden="1">
      <c r="A117" s="2"/>
      <c r="B117" s="39" t="s">
        <v>340</v>
      </c>
      <c r="C117" s="88" t="s">
        <v>108</v>
      </c>
      <c r="D117" s="89" t="s">
        <v>45</v>
      </c>
      <c r="E117" s="90">
        <v>46281.0</v>
      </c>
      <c r="F117" s="92" t="s">
        <v>302</v>
      </c>
      <c r="G117" s="50">
        <v>2026.0</v>
      </c>
      <c r="H117" s="90">
        <v>46287.0</v>
      </c>
      <c r="I117" s="84" t="str">
        <f t="shared" si="1"/>
        <v>Cubierta</v>
      </c>
      <c r="J117" s="2"/>
      <c r="K117" s="1"/>
      <c r="L117" s="1"/>
      <c r="M117" s="1"/>
      <c r="N117" s="1"/>
      <c r="O117" s="1"/>
      <c r="P117" s="1"/>
      <c r="Q117" s="1"/>
      <c r="R117" s="1"/>
      <c r="S117" s="1"/>
      <c r="T117" s="1"/>
      <c r="U117" s="1"/>
      <c r="V117" s="1"/>
      <c r="W117" s="1"/>
      <c r="X117" s="1"/>
    </row>
    <row r="118">
      <c r="A118" s="2"/>
      <c r="B118" s="39" t="s">
        <v>341</v>
      </c>
      <c r="C118" s="88" t="s">
        <v>61</v>
      </c>
      <c r="D118" s="89" t="s">
        <v>59</v>
      </c>
      <c r="E118" s="90">
        <v>46286.0</v>
      </c>
      <c r="F118" s="92" t="s">
        <v>302</v>
      </c>
      <c r="G118" s="50">
        <v>2026.0</v>
      </c>
      <c r="H118" s="90"/>
      <c r="I118" s="84" t="str">
        <f t="shared" si="1"/>
        <v>En Proceso</v>
      </c>
      <c r="J118" s="2"/>
      <c r="K118" s="1"/>
      <c r="L118" s="1"/>
      <c r="M118" s="1"/>
      <c r="N118" s="1"/>
      <c r="O118" s="1"/>
      <c r="P118" s="1"/>
      <c r="Q118" s="1"/>
      <c r="R118" s="1"/>
      <c r="S118" s="1"/>
      <c r="T118" s="1"/>
      <c r="U118" s="1"/>
      <c r="V118" s="1"/>
      <c r="W118" s="1"/>
      <c r="X118" s="1"/>
    </row>
    <row r="119">
      <c r="A119" s="2"/>
      <c r="B119" s="39" t="s">
        <v>341</v>
      </c>
      <c r="C119" s="88" t="s">
        <v>44</v>
      </c>
      <c r="D119" s="89" t="s">
        <v>60</v>
      </c>
      <c r="E119" s="90">
        <v>46286.0</v>
      </c>
      <c r="F119" s="92" t="s">
        <v>302</v>
      </c>
      <c r="G119" s="50">
        <v>2026.0</v>
      </c>
      <c r="H119" s="4"/>
      <c r="I119" s="84" t="str">
        <f t="shared" si="1"/>
        <v>En Proceso</v>
      </c>
      <c r="J119" s="2"/>
      <c r="K119" s="1"/>
      <c r="L119" s="1"/>
      <c r="M119" s="1"/>
      <c r="N119" s="1"/>
      <c r="O119" s="1"/>
      <c r="P119" s="1"/>
      <c r="Q119" s="1"/>
      <c r="R119" s="1"/>
      <c r="S119" s="1"/>
      <c r="T119" s="1"/>
      <c r="U119" s="1"/>
      <c r="V119" s="1"/>
      <c r="W119" s="1"/>
      <c r="X119" s="1"/>
    </row>
    <row r="120">
      <c r="A120" s="2"/>
      <c r="B120" s="2"/>
      <c r="C120" s="88"/>
      <c r="D120" s="89"/>
      <c r="E120" s="4"/>
      <c r="F120" s="91"/>
      <c r="G120" s="91"/>
      <c r="H120" s="4"/>
      <c r="I120" s="98"/>
      <c r="J120" s="2"/>
      <c r="K120" s="1"/>
      <c r="L120" s="1"/>
      <c r="M120" s="1"/>
      <c r="N120" s="1"/>
      <c r="O120" s="1"/>
      <c r="P120" s="1"/>
      <c r="Q120" s="1"/>
      <c r="R120" s="1"/>
      <c r="S120" s="1"/>
      <c r="T120" s="1"/>
      <c r="U120" s="1"/>
      <c r="V120" s="1"/>
      <c r="W120" s="1"/>
      <c r="X120" s="1"/>
    </row>
    <row r="121">
      <c r="A121" s="2"/>
      <c r="B121" s="2"/>
      <c r="C121" s="88"/>
      <c r="D121" s="89"/>
      <c r="E121" s="4"/>
      <c r="F121" s="91"/>
      <c r="G121" s="91"/>
      <c r="H121" s="4"/>
      <c r="I121" s="98"/>
      <c r="J121" s="2"/>
      <c r="K121" s="1"/>
      <c r="L121" s="1"/>
      <c r="M121" s="1"/>
      <c r="N121" s="1"/>
      <c r="O121" s="1"/>
      <c r="P121" s="1"/>
      <c r="Q121" s="1"/>
      <c r="R121" s="1"/>
      <c r="S121" s="1"/>
      <c r="T121" s="1"/>
      <c r="U121" s="1"/>
      <c r="V121" s="1"/>
      <c r="W121" s="1"/>
      <c r="X121" s="1"/>
    </row>
    <row r="122">
      <c r="A122" s="2"/>
      <c r="B122" s="2"/>
      <c r="C122" s="88"/>
      <c r="D122" s="89"/>
      <c r="E122" s="4"/>
      <c r="F122" s="91"/>
      <c r="G122" s="91"/>
      <c r="H122" s="4"/>
      <c r="I122" s="98"/>
      <c r="J122" s="2"/>
      <c r="K122" s="1"/>
      <c r="L122" s="1"/>
      <c r="M122" s="1"/>
      <c r="N122" s="1"/>
      <c r="O122" s="1"/>
      <c r="P122" s="1"/>
      <c r="Q122" s="1"/>
      <c r="R122" s="1"/>
      <c r="S122" s="1"/>
      <c r="T122" s="1"/>
      <c r="U122" s="1"/>
      <c r="V122" s="1"/>
      <c r="W122" s="1"/>
      <c r="X122" s="1"/>
    </row>
    <row r="123">
      <c r="A123" s="2"/>
      <c r="B123" s="2"/>
      <c r="C123" s="88"/>
      <c r="D123" s="89"/>
      <c r="E123" s="4"/>
      <c r="F123" s="91"/>
      <c r="G123" s="91"/>
      <c r="H123" s="4"/>
      <c r="I123" s="98"/>
      <c r="J123" s="2"/>
      <c r="K123" s="1"/>
      <c r="L123" s="1"/>
      <c r="M123" s="1"/>
      <c r="N123" s="1"/>
      <c r="O123" s="1"/>
      <c r="P123" s="1"/>
      <c r="Q123" s="1"/>
      <c r="R123" s="1"/>
      <c r="S123" s="1"/>
      <c r="T123" s="1"/>
      <c r="U123" s="1"/>
      <c r="V123" s="1"/>
      <c r="W123" s="1"/>
      <c r="X123" s="1"/>
    </row>
    <row r="124">
      <c r="A124" s="2"/>
      <c r="B124" s="2"/>
      <c r="C124" s="88"/>
      <c r="D124" s="89"/>
      <c r="E124" s="4"/>
      <c r="F124" s="91"/>
      <c r="G124" s="91"/>
      <c r="H124" s="4"/>
      <c r="I124" s="98"/>
      <c r="J124" s="2"/>
      <c r="K124" s="1"/>
      <c r="L124" s="1"/>
      <c r="M124" s="1"/>
      <c r="N124" s="1"/>
      <c r="O124" s="1"/>
      <c r="P124" s="1"/>
      <c r="Q124" s="1"/>
      <c r="R124" s="1"/>
      <c r="S124" s="1"/>
      <c r="T124" s="1"/>
      <c r="U124" s="1"/>
      <c r="V124" s="1"/>
      <c r="W124" s="1"/>
      <c r="X124" s="1"/>
    </row>
    <row r="125">
      <c r="A125" s="2"/>
      <c r="B125" s="2"/>
      <c r="C125" s="88"/>
      <c r="D125" s="89"/>
      <c r="E125" s="4"/>
      <c r="F125" s="91"/>
      <c r="G125" s="91"/>
      <c r="H125" s="4"/>
      <c r="I125" s="98"/>
      <c r="J125" s="2"/>
      <c r="K125" s="1"/>
      <c r="L125" s="1"/>
      <c r="M125" s="1"/>
      <c r="N125" s="1"/>
      <c r="O125" s="1"/>
      <c r="P125" s="1"/>
      <c r="Q125" s="1"/>
      <c r="R125" s="1"/>
      <c r="S125" s="1"/>
      <c r="T125" s="1"/>
      <c r="U125" s="1"/>
      <c r="V125" s="1"/>
      <c r="W125" s="1"/>
      <c r="X125" s="1"/>
    </row>
    <row r="126">
      <c r="A126" s="2"/>
      <c r="B126" s="2"/>
      <c r="C126" s="88"/>
      <c r="D126" s="89"/>
      <c r="E126" s="4"/>
      <c r="F126" s="91"/>
      <c r="G126" s="91"/>
      <c r="H126" s="4"/>
      <c r="I126" s="98"/>
      <c r="J126" s="2"/>
      <c r="K126" s="1"/>
      <c r="L126" s="1"/>
      <c r="M126" s="1"/>
      <c r="N126" s="1"/>
      <c r="O126" s="1"/>
      <c r="P126" s="1"/>
      <c r="Q126" s="1"/>
      <c r="R126" s="1"/>
      <c r="S126" s="1"/>
      <c r="T126" s="1"/>
      <c r="U126" s="1"/>
      <c r="V126" s="1"/>
      <c r="W126" s="1"/>
      <c r="X126" s="1"/>
    </row>
    <row r="127">
      <c r="A127" s="2"/>
      <c r="B127" s="2"/>
      <c r="C127" s="88"/>
      <c r="D127" s="89"/>
      <c r="E127" s="4"/>
      <c r="F127" s="91"/>
      <c r="G127" s="91"/>
      <c r="H127" s="4"/>
      <c r="I127" s="98"/>
      <c r="J127" s="2"/>
      <c r="K127" s="1"/>
      <c r="L127" s="1"/>
      <c r="M127" s="1"/>
      <c r="N127" s="1"/>
      <c r="O127" s="1"/>
      <c r="P127" s="1"/>
      <c r="Q127" s="1"/>
      <c r="R127" s="1"/>
      <c r="S127" s="1"/>
      <c r="T127" s="1"/>
      <c r="U127" s="1"/>
      <c r="V127" s="1"/>
      <c r="W127" s="1"/>
      <c r="X127" s="1"/>
    </row>
    <row r="128">
      <c r="A128" s="2"/>
      <c r="B128" s="2"/>
      <c r="C128" s="88"/>
      <c r="D128" s="89"/>
      <c r="E128" s="4"/>
      <c r="F128" s="91"/>
      <c r="G128" s="91"/>
      <c r="H128" s="4"/>
      <c r="I128" s="98"/>
      <c r="J128" s="2"/>
      <c r="K128" s="1"/>
      <c r="L128" s="1"/>
      <c r="M128" s="1"/>
      <c r="N128" s="1"/>
      <c r="O128" s="1"/>
      <c r="P128" s="1"/>
      <c r="Q128" s="1"/>
      <c r="R128" s="1"/>
      <c r="S128" s="1"/>
      <c r="T128" s="1"/>
      <c r="U128" s="1"/>
      <c r="V128" s="1"/>
      <c r="W128" s="1"/>
      <c r="X128" s="1"/>
    </row>
    <row r="129">
      <c r="A129" s="2"/>
      <c r="B129" s="2"/>
      <c r="C129" s="88"/>
      <c r="D129" s="89"/>
      <c r="E129" s="4"/>
      <c r="F129" s="91"/>
      <c r="G129" s="91"/>
      <c r="H129" s="4"/>
      <c r="I129" s="98"/>
      <c r="J129" s="2"/>
      <c r="K129" s="1"/>
      <c r="L129" s="1"/>
      <c r="M129" s="1"/>
      <c r="N129" s="1"/>
      <c r="O129" s="1"/>
      <c r="P129" s="1"/>
      <c r="Q129" s="1"/>
      <c r="R129" s="1"/>
      <c r="S129" s="1"/>
      <c r="T129" s="1"/>
      <c r="U129" s="1"/>
      <c r="V129" s="1"/>
      <c r="W129" s="1"/>
      <c r="X129" s="1"/>
    </row>
    <row r="130">
      <c r="A130" s="2"/>
      <c r="B130" s="2"/>
      <c r="C130" s="88"/>
      <c r="D130" s="89"/>
      <c r="E130" s="4"/>
      <c r="F130" s="91"/>
      <c r="G130" s="91"/>
      <c r="H130" s="4"/>
      <c r="I130" s="98"/>
      <c r="J130" s="2"/>
      <c r="K130" s="1"/>
      <c r="L130" s="1"/>
      <c r="M130" s="1"/>
      <c r="N130" s="1"/>
      <c r="O130" s="1"/>
      <c r="P130" s="1"/>
      <c r="Q130" s="1"/>
      <c r="R130" s="1"/>
      <c r="S130" s="1"/>
      <c r="T130" s="1"/>
      <c r="U130" s="1"/>
      <c r="V130" s="1"/>
      <c r="W130" s="1"/>
      <c r="X130" s="1"/>
    </row>
    <row r="131">
      <c r="A131" s="2"/>
      <c r="B131" s="2"/>
      <c r="C131" s="88"/>
      <c r="D131" s="89"/>
      <c r="E131" s="4"/>
      <c r="F131" s="91"/>
      <c r="G131" s="91"/>
      <c r="H131" s="4"/>
      <c r="I131" s="98"/>
      <c r="J131" s="2"/>
      <c r="K131" s="1"/>
      <c r="L131" s="1"/>
      <c r="M131" s="1"/>
      <c r="N131" s="1"/>
      <c r="O131" s="1"/>
      <c r="P131" s="1"/>
      <c r="Q131" s="1"/>
      <c r="R131" s="1"/>
      <c r="S131" s="1"/>
      <c r="T131" s="1"/>
      <c r="U131" s="1"/>
      <c r="V131" s="1"/>
      <c r="W131" s="1"/>
      <c r="X131" s="1"/>
    </row>
    <row r="132">
      <c r="A132" s="2"/>
      <c r="B132" s="2"/>
      <c r="C132" s="88"/>
      <c r="D132" s="89"/>
      <c r="E132" s="4"/>
      <c r="F132" s="91"/>
      <c r="G132" s="91"/>
      <c r="H132" s="4"/>
      <c r="I132" s="98"/>
      <c r="J132" s="2"/>
      <c r="K132" s="1"/>
      <c r="L132" s="1"/>
      <c r="M132" s="1"/>
      <c r="N132" s="1"/>
      <c r="O132" s="1"/>
      <c r="P132" s="1"/>
      <c r="Q132" s="1"/>
      <c r="R132" s="1"/>
      <c r="S132" s="1"/>
      <c r="T132" s="1"/>
      <c r="U132" s="1"/>
      <c r="V132" s="1"/>
      <c r="W132" s="1"/>
      <c r="X132" s="1"/>
    </row>
    <row r="133">
      <c r="A133" s="2"/>
      <c r="B133" s="2"/>
      <c r="C133" s="88"/>
      <c r="D133" s="89"/>
      <c r="E133" s="4"/>
      <c r="F133" s="91"/>
      <c r="G133" s="91"/>
      <c r="H133" s="4"/>
      <c r="I133" s="98"/>
      <c r="J133" s="2"/>
      <c r="K133" s="1"/>
      <c r="L133" s="1"/>
      <c r="M133" s="1"/>
      <c r="N133" s="1"/>
      <c r="O133" s="1"/>
      <c r="P133" s="1"/>
      <c r="Q133" s="1"/>
      <c r="R133" s="1"/>
      <c r="S133" s="1"/>
      <c r="T133" s="1"/>
      <c r="U133" s="1"/>
      <c r="V133" s="1"/>
      <c r="W133" s="1"/>
      <c r="X133" s="1"/>
    </row>
    <row r="134">
      <c r="A134" s="2"/>
      <c r="B134" s="2"/>
      <c r="C134" s="88"/>
      <c r="D134" s="89"/>
      <c r="E134" s="4"/>
      <c r="F134" s="91"/>
      <c r="G134" s="91"/>
      <c r="H134" s="4"/>
      <c r="I134" s="98"/>
      <c r="J134" s="2"/>
      <c r="K134" s="1"/>
      <c r="L134" s="1"/>
      <c r="M134" s="1"/>
      <c r="N134" s="1"/>
      <c r="O134" s="1"/>
      <c r="P134" s="1"/>
      <c r="Q134" s="1"/>
      <c r="R134" s="1"/>
      <c r="S134" s="1"/>
      <c r="T134" s="1"/>
      <c r="U134" s="1"/>
      <c r="V134" s="1"/>
      <c r="W134" s="1"/>
      <c r="X134" s="1"/>
    </row>
    <row r="135">
      <c r="A135" s="2"/>
      <c r="B135" s="2"/>
      <c r="C135" s="88"/>
      <c r="D135" s="89"/>
      <c r="E135" s="4"/>
      <c r="F135" s="91"/>
      <c r="G135" s="91"/>
      <c r="H135" s="4"/>
      <c r="I135" s="98"/>
      <c r="J135" s="2"/>
      <c r="K135" s="1"/>
      <c r="L135" s="1"/>
      <c r="M135" s="1"/>
      <c r="N135" s="1"/>
      <c r="O135" s="1"/>
      <c r="P135" s="1"/>
      <c r="Q135" s="1"/>
      <c r="R135" s="1"/>
      <c r="S135" s="1"/>
      <c r="T135" s="1"/>
      <c r="U135" s="1"/>
      <c r="V135" s="1"/>
      <c r="W135" s="1"/>
      <c r="X135" s="1"/>
    </row>
    <row r="136">
      <c r="A136" s="2"/>
      <c r="B136" s="2"/>
      <c r="C136" s="88"/>
      <c r="D136" s="89"/>
      <c r="E136" s="4"/>
      <c r="F136" s="91"/>
      <c r="G136" s="91"/>
      <c r="H136" s="4"/>
      <c r="I136" s="98"/>
      <c r="J136" s="2"/>
      <c r="K136" s="1"/>
      <c r="L136" s="1"/>
      <c r="M136" s="1"/>
      <c r="N136" s="1"/>
      <c r="O136" s="1"/>
      <c r="P136" s="1"/>
      <c r="Q136" s="1"/>
      <c r="R136" s="1"/>
      <c r="S136" s="1"/>
      <c r="T136" s="1"/>
      <c r="U136" s="1"/>
      <c r="V136" s="1"/>
      <c r="W136" s="1"/>
      <c r="X136" s="1"/>
    </row>
    <row r="137">
      <c r="A137" s="2"/>
      <c r="B137" s="2"/>
      <c r="C137" s="88"/>
      <c r="D137" s="89"/>
      <c r="E137" s="4"/>
      <c r="F137" s="91"/>
      <c r="G137" s="91"/>
      <c r="H137" s="4"/>
      <c r="I137" s="98"/>
      <c r="J137" s="2"/>
      <c r="K137" s="1"/>
      <c r="L137" s="1"/>
      <c r="M137" s="1"/>
      <c r="N137" s="1"/>
      <c r="O137" s="1"/>
      <c r="P137" s="1"/>
      <c r="Q137" s="1"/>
      <c r="R137" s="1"/>
      <c r="S137" s="1"/>
      <c r="T137" s="1"/>
      <c r="U137" s="1"/>
      <c r="V137" s="1"/>
      <c r="W137" s="1"/>
      <c r="X137" s="1"/>
    </row>
    <row r="138">
      <c r="A138" s="2"/>
      <c r="B138" s="2"/>
      <c r="C138" s="88"/>
      <c r="D138" s="89"/>
      <c r="E138" s="4"/>
      <c r="F138" s="91"/>
      <c r="G138" s="91"/>
      <c r="H138" s="4"/>
      <c r="I138" s="98"/>
      <c r="J138" s="2"/>
      <c r="K138" s="1"/>
      <c r="L138" s="1"/>
      <c r="M138" s="1"/>
      <c r="N138" s="1"/>
      <c r="O138" s="1"/>
      <c r="P138" s="1"/>
      <c r="Q138" s="1"/>
      <c r="R138" s="1"/>
      <c r="S138" s="1"/>
      <c r="T138" s="1"/>
      <c r="U138" s="1"/>
      <c r="V138" s="1"/>
      <c r="W138" s="1"/>
      <c r="X138" s="1"/>
    </row>
    <row r="139">
      <c r="A139" s="2"/>
      <c r="B139" s="2"/>
      <c r="C139" s="88"/>
      <c r="D139" s="89"/>
      <c r="E139" s="4"/>
      <c r="F139" s="91"/>
      <c r="G139" s="91"/>
      <c r="H139" s="4"/>
      <c r="I139" s="98"/>
      <c r="J139" s="2"/>
      <c r="K139" s="1"/>
      <c r="L139" s="1"/>
      <c r="M139" s="1"/>
      <c r="N139" s="1"/>
      <c r="O139" s="1"/>
      <c r="P139" s="1"/>
      <c r="Q139" s="1"/>
      <c r="R139" s="1"/>
      <c r="S139" s="1"/>
      <c r="T139" s="1"/>
      <c r="U139" s="1"/>
      <c r="V139" s="1"/>
      <c r="W139" s="1"/>
      <c r="X139" s="1"/>
    </row>
    <row r="140">
      <c r="A140" s="2"/>
      <c r="B140" s="2"/>
      <c r="C140" s="88"/>
      <c r="D140" s="89"/>
      <c r="E140" s="4"/>
      <c r="F140" s="91"/>
      <c r="G140" s="91"/>
      <c r="H140" s="4"/>
      <c r="I140" s="98"/>
      <c r="J140" s="2"/>
      <c r="K140" s="1"/>
      <c r="L140" s="1"/>
      <c r="M140" s="1"/>
      <c r="N140" s="1"/>
      <c r="O140" s="1"/>
      <c r="P140" s="1"/>
      <c r="Q140" s="1"/>
      <c r="R140" s="1"/>
      <c r="S140" s="1"/>
      <c r="T140" s="1"/>
      <c r="U140" s="1"/>
      <c r="V140" s="1"/>
      <c r="W140" s="1"/>
      <c r="X140" s="1"/>
    </row>
    <row r="141">
      <c r="A141" s="2"/>
      <c r="B141" s="2"/>
      <c r="C141" s="88"/>
      <c r="D141" s="89"/>
      <c r="E141" s="4"/>
      <c r="F141" s="91"/>
      <c r="G141" s="91"/>
      <c r="H141" s="4"/>
      <c r="I141" s="98"/>
      <c r="J141" s="2"/>
      <c r="K141" s="1"/>
      <c r="L141" s="1"/>
      <c r="M141" s="1"/>
      <c r="N141" s="1"/>
      <c r="O141" s="1"/>
      <c r="P141" s="1"/>
      <c r="Q141" s="1"/>
      <c r="R141" s="1"/>
      <c r="S141" s="1"/>
      <c r="T141" s="1"/>
      <c r="U141" s="1"/>
      <c r="V141" s="1"/>
      <c r="W141" s="1"/>
      <c r="X141" s="1"/>
    </row>
    <row r="142">
      <c r="A142" s="2"/>
      <c r="B142" s="2"/>
      <c r="C142" s="88"/>
      <c r="D142" s="89"/>
      <c r="E142" s="4"/>
      <c r="F142" s="91"/>
      <c r="G142" s="91"/>
      <c r="H142" s="4"/>
      <c r="I142" s="98"/>
      <c r="J142" s="2"/>
      <c r="K142" s="1"/>
      <c r="L142" s="1"/>
      <c r="M142" s="1"/>
      <c r="N142" s="1"/>
      <c r="O142" s="1"/>
      <c r="P142" s="1"/>
      <c r="Q142" s="1"/>
      <c r="R142" s="1"/>
      <c r="S142" s="1"/>
      <c r="T142" s="1"/>
      <c r="U142" s="1"/>
      <c r="V142" s="1"/>
      <c r="W142" s="1"/>
      <c r="X142" s="1"/>
    </row>
    <row r="143">
      <c r="A143" s="2"/>
      <c r="B143" s="2"/>
      <c r="C143" s="88"/>
      <c r="D143" s="89"/>
      <c r="E143" s="4"/>
      <c r="F143" s="91"/>
      <c r="G143" s="91"/>
      <c r="H143" s="4"/>
      <c r="I143" s="98"/>
      <c r="J143" s="2"/>
      <c r="K143" s="1"/>
      <c r="L143" s="1"/>
      <c r="M143" s="1"/>
      <c r="N143" s="1"/>
      <c r="O143" s="1"/>
      <c r="P143" s="1"/>
      <c r="Q143" s="1"/>
      <c r="R143" s="1"/>
      <c r="S143" s="1"/>
      <c r="T143" s="1"/>
      <c r="U143" s="1"/>
      <c r="V143" s="1"/>
      <c r="W143" s="1"/>
      <c r="X143" s="1"/>
    </row>
    <row r="144">
      <c r="A144" s="2"/>
      <c r="B144" s="2"/>
      <c r="C144" s="88"/>
      <c r="D144" s="89"/>
      <c r="E144" s="4"/>
      <c r="F144" s="91"/>
      <c r="G144" s="91"/>
      <c r="H144" s="4"/>
      <c r="I144" s="98"/>
      <c r="J144" s="2"/>
      <c r="K144" s="1"/>
      <c r="L144" s="1"/>
      <c r="M144" s="1"/>
      <c r="N144" s="1"/>
      <c r="O144" s="1"/>
      <c r="P144" s="1"/>
      <c r="Q144" s="1"/>
      <c r="R144" s="1"/>
      <c r="S144" s="1"/>
      <c r="T144" s="1"/>
      <c r="U144" s="1"/>
      <c r="V144" s="1"/>
      <c r="W144" s="1"/>
      <c r="X144" s="1"/>
    </row>
    <row r="145">
      <c r="A145" s="2"/>
      <c r="B145" s="2"/>
      <c r="C145" s="88"/>
      <c r="D145" s="89"/>
      <c r="E145" s="4"/>
      <c r="F145" s="91"/>
      <c r="G145" s="91"/>
      <c r="H145" s="4"/>
      <c r="I145" s="98"/>
      <c r="J145" s="2"/>
      <c r="K145" s="1"/>
      <c r="L145" s="1"/>
      <c r="M145" s="1"/>
      <c r="N145" s="1"/>
      <c r="O145" s="1"/>
      <c r="P145" s="1"/>
      <c r="Q145" s="1"/>
      <c r="R145" s="1"/>
      <c r="S145" s="1"/>
      <c r="T145" s="1"/>
      <c r="U145" s="1"/>
      <c r="V145" s="1"/>
      <c r="W145" s="1"/>
      <c r="X145" s="1"/>
    </row>
    <row r="146">
      <c r="A146" s="2"/>
      <c r="B146" s="2"/>
      <c r="C146" s="88"/>
      <c r="D146" s="89"/>
      <c r="E146" s="4"/>
      <c r="F146" s="91"/>
      <c r="G146" s="91"/>
      <c r="H146" s="4"/>
      <c r="I146" s="98"/>
      <c r="J146" s="2"/>
      <c r="K146" s="1"/>
      <c r="L146" s="1"/>
      <c r="M146" s="1"/>
      <c r="N146" s="1"/>
      <c r="O146" s="1"/>
      <c r="P146" s="1"/>
      <c r="Q146" s="1"/>
      <c r="R146" s="1"/>
      <c r="S146" s="1"/>
      <c r="T146" s="1"/>
      <c r="U146" s="1"/>
      <c r="V146" s="1"/>
      <c r="W146" s="1"/>
      <c r="X146" s="1"/>
    </row>
    <row r="147">
      <c r="A147" s="2"/>
      <c r="B147" s="2"/>
      <c r="C147" s="88"/>
      <c r="D147" s="89"/>
      <c r="E147" s="4"/>
      <c r="F147" s="91"/>
      <c r="G147" s="91"/>
      <c r="H147" s="4"/>
      <c r="I147" s="98"/>
      <c r="J147" s="2"/>
      <c r="K147" s="1"/>
      <c r="L147" s="1"/>
      <c r="M147" s="1"/>
      <c r="N147" s="1"/>
      <c r="O147" s="1"/>
      <c r="P147" s="1"/>
      <c r="Q147" s="1"/>
      <c r="R147" s="1"/>
      <c r="S147" s="1"/>
      <c r="T147" s="1"/>
      <c r="U147" s="1"/>
      <c r="V147" s="1"/>
      <c r="W147" s="1"/>
      <c r="X147" s="1"/>
    </row>
    <row r="148">
      <c r="A148" s="2"/>
      <c r="B148" s="2"/>
      <c r="C148" s="88"/>
      <c r="D148" s="89"/>
      <c r="E148" s="4"/>
      <c r="F148" s="91"/>
      <c r="G148" s="91"/>
      <c r="H148" s="4"/>
      <c r="I148" s="98"/>
      <c r="J148" s="2"/>
      <c r="K148" s="1"/>
      <c r="L148" s="1"/>
      <c r="M148" s="1"/>
      <c r="N148" s="1"/>
      <c r="O148" s="1"/>
      <c r="P148" s="1"/>
      <c r="Q148" s="1"/>
      <c r="R148" s="1"/>
      <c r="S148" s="1"/>
      <c r="T148" s="1"/>
      <c r="U148" s="1"/>
      <c r="V148" s="1"/>
      <c r="W148" s="1"/>
      <c r="X148" s="1"/>
    </row>
    <row r="149">
      <c r="A149" s="2"/>
      <c r="B149" s="2"/>
      <c r="C149" s="88"/>
      <c r="D149" s="89"/>
      <c r="E149" s="4"/>
      <c r="F149" s="91"/>
      <c r="G149" s="91"/>
      <c r="H149" s="4"/>
      <c r="I149" s="98"/>
      <c r="J149" s="2"/>
      <c r="K149" s="1"/>
      <c r="L149" s="1"/>
      <c r="M149" s="1"/>
      <c r="N149" s="1"/>
      <c r="O149" s="1"/>
      <c r="P149" s="1"/>
      <c r="Q149" s="1"/>
      <c r="R149" s="1"/>
      <c r="S149" s="1"/>
      <c r="T149" s="1"/>
      <c r="U149" s="1"/>
      <c r="V149" s="1"/>
      <c r="W149" s="1"/>
      <c r="X149" s="1"/>
    </row>
    <row r="150">
      <c r="A150" s="2"/>
      <c r="B150" s="2"/>
      <c r="C150" s="88"/>
      <c r="D150" s="89"/>
      <c r="E150" s="4"/>
      <c r="F150" s="91"/>
      <c r="G150" s="91"/>
      <c r="H150" s="4"/>
      <c r="I150" s="98"/>
      <c r="J150" s="2"/>
      <c r="K150" s="1"/>
      <c r="L150" s="1"/>
      <c r="M150" s="1"/>
      <c r="N150" s="1"/>
      <c r="O150" s="1"/>
      <c r="P150" s="1"/>
      <c r="Q150" s="1"/>
      <c r="R150" s="1"/>
      <c r="S150" s="1"/>
      <c r="T150" s="1"/>
      <c r="U150" s="1"/>
      <c r="V150" s="1"/>
      <c r="W150" s="1"/>
      <c r="X150" s="1"/>
    </row>
    <row r="151">
      <c r="A151" s="2"/>
      <c r="B151" s="2"/>
      <c r="C151" s="88"/>
      <c r="D151" s="89"/>
      <c r="E151" s="4"/>
      <c r="F151" s="91"/>
      <c r="G151" s="91"/>
      <c r="H151" s="4"/>
      <c r="I151" s="98"/>
      <c r="J151" s="2"/>
      <c r="K151" s="1"/>
      <c r="L151" s="1"/>
      <c r="M151" s="1"/>
      <c r="N151" s="1"/>
      <c r="O151" s="1"/>
      <c r="P151" s="1"/>
      <c r="Q151" s="1"/>
      <c r="R151" s="1"/>
      <c r="S151" s="1"/>
      <c r="T151" s="1"/>
      <c r="U151" s="1"/>
      <c r="V151" s="1"/>
      <c r="W151" s="1"/>
      <c r="X151" s="1"/>
    </row>
    <row r="152">
      <c r="A152" s="2"/>
      <c r="B152" s="2"/>
      <c r="C152" s="88"/>
      <c r="D152" s="89"/>
      <c r="E152" s="4"/>
      <c r="F152" s="91"/>
      <c r="G152" s="91"/>
      <c r="H152" s="4"/>
      <c r="I152" s="98"/>
      <c r="J152" s="2"/>
      <c r="K152" s="1"/>
      <c r="L152" s="1"/>
      <c r="M152" s="1"/>
      <c r="N152" s="1"/>
      <c r="O152" s="1"/>
      <c r="P152" s="1"/>
      <c r="Q152" s="1"/>
      <c r="R152" s="1"/>
      <c r="S152" s="1"/>
      <c r="T152" s="1"/>
      <c r="U152" s="1"/>
      <c r="V152" s="1"/>
      <c r="W152" s="1"/>
      <c r="X152" s="1"/>
    </row>
    <row r="153">
      <c r="A153" s="2"/>
      <c r="B153" s="2"/>
      <c r="C153" s="88"/>
      <c r="D153" s="89"/>
      <c r="E153" s="4"/>
      <c r="F153" s="91"/>
      <c r="G153" s="91"/>
      <c r="H153" s="4"/>
      <c r="I153" s="98"/>
      <c r="J153" s="2"/>
      <c r="K153" s="1"/>
      <c r="L153" s="1"/>
      <c r="M153" s="1"/>
      <c r="N153" s="1"/>
      <c r="O153" s="1"/>
      <c r="P153" s="1"/>
      <c r="Q153" s="1"/>
      <c r="R153" s="1"/>
      <c r="S153" s="1"/>
      <c r="T153" s="1"/>
      <c r="U153" s="1"/>
      <c r="V153" s="1"/>
      <c r="W153" s="1"/>
      <c r="X153" s="1"/>
    </row>
    <row r="154">
      <c r="A154" s="2"/>
      <c r="B154" s="2"/>
      <c r="C154" s="88"/>
      <c r="D154" s="89"/>
      <c r="E154" s="4"/>
      <c r="F154" s="91"/>
      <c r="G154" s="91"/>
      <c r="H154" s="4"/>
      <c r="I154" s="98"/>
      <c r="J154" s="2"/>
      <c r="K154" s="1"/>
      <c r="L154" s="1"/>
      <c r="M154" s="1"/>
      <c r="N154" s="1"/>
      <c r="O154" s="1"/>
      <c r="P154" s="1"/>
      <c r="Q154" s="1"/>
      <c r="R154" s="1"/>
      <c r="S154" s="1"/>
      <c r="T154" s="1"/>
      <c r="U154" s="1"/>
      <c r="V154" s="1"/>
      <c r="W154" s="1"/>
      <c r="X154" s="1"/>
    </row>
    <row r="155">
      <c r="A155" s="2"/>
      <c r="B155" s="2"/>
      <c r="C155" s="88"/>
      <c r="D155" s="89"/>
      <c r="E155" s="4"/>
      <c r="F155" s="91"/>
      <c r="G155" s="91"/>
      <c r="H155" s="4"/>
      <c r="I155" s="98"/>
      <c r="J155" s="2"/>
      <c r="K155" s="1"/>
      <c r="L155" s="1"/>
      <c r="M155" s="1"/>
      <c r="N155" s="1"/>
      <c r="O155" s="1"/>
      <c r="P155" s="1"/>
      <c r="Q155" s="1"/>
      <c r="R155" s="1"/>
      <c r="S155" s="1"/>
      <c r="T155" s="1"/>
      <c r="U155" s="1"/>
      <c r="V155" s="1"/>
      <c r="W155" s="1"/>
      <c r="X155" s="1"/>
    </row>
    <row r="156">
      <c r="A156" s="2"/>
      <c r="B156" s="2"/>
      <c r="C156" s="88"/>
      <c r="D156" s="89"/>
      <c r="E156" s="4"/>
      <c r="F156" s="91"/>
      <c r="G156" s="91"/>
      <c r="H156" s="4"/>
      <c r="I156" s="98"/>
      <c r="J156" s="2"/>
      <c r="K156" s="1"/>
      <c r="L156" s="1"/>
      <c r="M156" s="1"/>
      <c r="N156" s="1"/>
      <c r="O156" s="1"/>
      <c r="P156" s="1"/>
      <c r="Q156" s="1"/>
      <c r="R156" s="1"/>
      <c r="S156" s="1"/>
      <c r="T156" s="1"/>
      <c r="U156" s="1"/>
      <c r="V156" s="1"/>
      <c r="W156" s="1"/>
      <c r="X156" s="1"/>
    </row>
    <row r="157">
      <c r="A157" s="2"/>
      <c r="B157" s="2"/>
      <c r="C157" s="88"/>
      <c r="D157" s="89"/>
      <c r="E157" s="4"/>
      <c r="F157" s="91"/>
      <c r="G157" s="91"/>
      <c r="H157" s="4"/>
      <c r="I157" s="98"/>
      <c r="J157" s="2"/>
      <c r="K157" s="1"/>
      <c r="L157" s="1"/>
      <c r="M157" s="1"/>
      <c r="N157" s="1"/>
      <c r="O157" s="1"/>
      <c r="P157" s="1"/>
      <c r="Q157" s="1"/>
      <c r="R157" s="1"/>
      <c r="S157" s="1"/>
      <c r="T157" s="1"/>
      <c r="U157" s="1"/>
      <c r="V157" s="1"/>
      <c r="W157" s="1"/>
      <c r="X157" s="1"/>
    </row>
    <row r="158">
      <c r="A158" s="2"/>
      <c r="B158" s="2"/>
      <c r="C158" s="88"/>
      <c r="D158" s="89"/>
      <c r="E158" s="4"/>
      <c r="F158" s="91"/>
      <c r="G158" s="91"/>
      <c r="H158" s="4"/>
      <c r="I158" s="98"/>
      <c r="J158" s="2"/>
      <c r="K158" s="1"/>
      <c r="L158" s="1"/>
      <c r="M158" s="1"/>
      <c r="N158" s="1"/>
      <c r="O158" s="1"/>
      <c r="P158" s="1"/>
      <c r="Q158" s="1"/>
      <c r="R158" s="1"/>
      <c r="S158" s="1"/>
      <c r="T158" s="1"/>
      <c r="U158" s="1"/>
      <c r="V158" s="1"/>
      <c r="W158" s="1"/>
      <c r="X158" s="1"/>
    </row>
    <row r="159">
      <c r="A159" s="2"/>
      <c r="B159" s="2"/>
      <c r="C159" s="88"/>
      <c r="D159" s="89"/>
      <c r="E159" s="4"/>
      <c r="F159" s="91"/>
      <c r="G159" s="91"/>
      <c r="H159" s="4"/>
      <c r="I159" s="98"/>
      <c r="J159" s="2"/>
      <c r="K159" s="1"/>
      <c r="L159" s="1"/>
      <c r="M159" s="1"/>
      <c r="N159" s="1"/>
      <c r="O159" s="1"/>
      <c r="P159" s="1"/>
      <c r="Q159" s="1"/>
      <c r="R159" s="1"/>
      <c r="S159" s="1"/>
      <c r="T159" s="1"/>
      <c r="U159" s="1"/>
      <c r="V159" s="1"/>
      <c r="W159" s="1"/>
      <c r="X159" s="1"/>
    </row>
    <row r="160">
      <c r="A160" s="2"/>
      <c r="B160" s="2"/>
      <c r="C160" s="88"/>
      <c r="D160" s="89"/>
      <c r="E160" s="4"/>
      <c r="F160" s="91"/>
      <c r="G160" s="91"/>
      <c r="H160" s="4"/>
      <c r="I160" s="98"/>
      <c r="J160" s="2"/>
      <c r="K160" s="1"/>
      <c r="L160" s="1"/>
      <c r="M160" s="1"/>
      <c r="N160" s="1"/>
      <c r="O160" s="1"/>
      <c r="P160" s="1"/>
      <c r="Q160" s="1"/>
      <c r="R160" s="1"/>
      <c r="S160" s="1"/>
      <c r="T160" s="1"/>
      <c r="U160" s="1"/>
      <c r="V160" s="1"/>
      <c r="W160" s="1"/>
      <c r="X160" s="1"/>
    </row>
    <row r="161">
      <c r="A161" s="2"/>
      <c r="B161" s="2"/>
      <c r="C161" s="88"/>
      <c r="D161" s="89"/>
      <c r="E161" s="4"/>
      <c r="F161" s="91"/>
      <c r="G161" s="91"/>
      <c r="H161" s="4"/>
      <c r="I161" s="98"/>
      <c r="J161" s="2"/>
      <c r="K161" s="1"/>
      <c r="L161" s="1"/>
      <c r="M161" s="1"/>
      <c r="N161" s="1"/>
      <c r="O161" s="1"/>
      <c r="P161" s="1"/>
      <c r="Q161" s="1"/>
      <c r="R161" s="1"/>
      <c r="S161" s="1"/>
      <c r="T161" s="1"/>
      <c r="U161" s="1"/>
      <c r="V161" s="1"/>
      <c r="W161" s="1"/>
      <c r="X161" s="1"/>
    </row>
    <row r="162">
      <c r="A162" s="2"/>
      <c r="B162" s="2"/>
      <c r="C162" s="88"/>
      <c r="D162" s="89"/>
      <c r="E162" s="4"/>
      <c r="F162" s="91"/>
      <c r="G162" s="91"/>
      <c r="H162" s="4"/>
      <c r="I162" s="98"/>
      <c r="J162" s="2"/>
      <c r="K162" s="1"/>
      <c r="L162" s="1"/>
      <c r="M162" s="1"/>
      <c r="N162" s="1"/>
      <c r="O162" s="1"/>
      <c r="P162" s="1"/>
      <c r="Q162" s="1"/>
      <c r="R162" s="1"/>
      <c r="S162" s="1"/>
      <c r="T162" s="1"/>
      <c r="U162" s="1"/>
      <c r="V162" s="1"/>
      <c r="W162" s="1"/>
      <c r="X162" s="1"/>
    </row>
    <row r="163">
      <c r="A163" s="2"/>
      <c r="B163" s="2"/>
      <c r="C163" s="88"/>
      <c r="D163" s="89"/>
      <c r="E163" s="4"/>
      <c r="F163" s="91"/>
      <c r="G163" s="91"/>
      <c r="H163" s="4"/>
      <c r="I163" s="98"/>
      <c r="J163" s="2"/>
      <c r="K163" s="1"/>
      <c r="L163" s="1"/>
      <c r="M163" s="1"/>
      <c r="N163" s="1"/>
      <c r="O163" s="1"/>
      <c r="P163" s="1"/>
      <c r="Q163" s="1"/>
      <c r="R163" s="1"/>
      <c r="S163" s="1"/>
      <c r="T163" s="1"/>
      <c r="U163" s="1"/>
      <c r="V163" s="1"/>
      <c r="W163" s="1"/>
      <c r="X163" s="1"/>
    </row>
    <row r="164">
      <c r="A164" s="2"/>
      <c r="B164" s="2"/>
      <c r="C164" s="88"/>
      <c r="D164" s="89"/>
      <c r="E164" s="4"/>
      <c r="F164" s="91"/>
      <c r="G164" s="91"/>
      <c r="H164" s="4"/>
      <c r="I164" s="98"/>
      <c r="J164" s="2"/>
      <c r="K164" s="1"/>
      <c r="L164" s="1"/>
      <c r="M164" s="1"/>
      <c r="N164" s="1"/>
      <c r="O164" s="1"/>
      <c r="P164" s="1"/>
      <c r="Q164" s="1"/>
      <c r="R164" s="1"/>
      <c r="S164" s="1"/>
      <c r="T164" s="1"/>
      <c r="U164" s="1"/>
      <c r="V164" s="1"/>
      <c r="W164" s="1"/>
      <c r="X164" s="1"/>
    </row>
    <row r="165">
      <c r="A165" s="2"/>
      <c r="B165" s="2"/>
      <c r="C165" s="88"/>
      <c r="D165" s="89"/>
      <c r="E165" s="4"/>
      <c r="F165" s="91"/>
      <c r="G165" s="91"/>
      <c r="H165" s="4"/>
      <c r="I165" s="98"/>
      <c r="J165" s="2"/>
      <c r="K165" s="1"/>
      <c r="L165" s="1"/>
      <c r="M165" s="1"/>
      <c r="N165" s="1"/>
      <c r="O165" s="1"/>
      <c r="P165" s="1"/>
      <c r="Q165" s="1"/>
      <c r="R165" s="1"/>
      <c r="S165" s="1"/>
      <c r="T165" s="1"/>
      <c r="U165" s="1"/>
      <c r="V165" s="1"/>
      <c r="W165" s="1"/>
      <c r="X165" s="1"/>
    </row>
    <row r="166">
      <c r="A166" s="2"/>
      <c r="B166" s="2"/>
      <c r="C166" s="88"/>
      <c r="D166" s="89"/>
      <c r="E166" s="4"/>
      <c r="F166" s="91"/>
      <c r="G166" s="91"/>
      <c r="H166" s="4"/>
      <c r="I166" s="98"/>
      <c r="J166" s="2"/>
      <c r="K166" s="1"/>
      <c r="L166" s="1"/>
      <c r="M166" s="1"/>
      <c r="N166" s="1"/>
      <c r="O166" s="1"/>
      <c r="P166" s="1"/>
      <c r="Q166" s="1"/>
      <c r="R166" s="1"/>
      <c r="S166" s="1"/>
      <c r="T166" s="1"/>
      <c r="U166" s="1"/>
      <c r="V166" s="1"/>
      <c r="W166" s="1"/>
      <c r="X166" s="1"/>
    </row>
    <row r="167">
      <c r="A167" s="2"/>
      <c r="B167" s="2"/>
      <c r="C167" s="88"/>
      <c r="D167" s="89"/>
      <c r="E167" s="4"/>
      <c r="F167" s="91"/>
      <c r="G167" s="91"/>
      <c r="H167" s="4"/>
      <c r="I167" s="98"/>
      <c r="J167" s="2"/>
      <c r="K167" s="1"/>
      <c r="L167" s="1"/>
      <c r="M167" s="1"/>
      <c r="N167" s="1"/>
      <c r="O167" s="1"/>
      <c r="P167" s="1"/>
      <c r="Q167" s="1"/>
      <c r="R167" s="1"/>
      <c r="S167" s="1"/>
      <c r="T167" s="1"/>
      <c r="U167" s="1"/>
      <c r="V167" s="1"/>
      <c r="W167" s="1"/>
      <c r="X167" s="1"/>
    </row>
    <row r="168">
      <c r="A168" s="2"/>
      <c r="B168" s="2"/>
      <c r="C168" s="88"/>
      <c r="D168" s="89"/>
      <c r="E168" s="4"/>
      <c r="F168" s="91"/>
      <c r="G168" s="91"/>
      <c r="H168" s="4"/>
      <c r="I168" s="98"/>
      <c r="J168" s="2"/>
      <c r="K168" s="1"/>
      <c r="L168" s="1"/>
      <c r="M168" s="1"/>
      <c r="N168" s="1"/>
      <c r="O168" s="1"/>
      <c r="P168" s="1"/>
      <c r="Q168" s="1"/>
      <c r="R168" s="1"/>
      <c r="S168" s="1"/>
      <c r="T168" s="1"/>
      <c r="U168" s="1"/>
      <c r="V168" s="1"/>
      <c r="W168" s="1"/>
      <c r="X168" s="1"/>
    </row>
    <row r="169">
      <c r="A169" s="2"/>
      <c r="B169" s="2"/>
      <c r="C169" s="88"/>
      <c r="D169" s="89"/>
      <c r="E169" s="4"/>
      <c r="F169" s="91"/>
      <c r="G169" s="91"/>
      <c r="H169" s="4"/>
      <c r="I169" s="98"/>
      <c r="J169" s="2"/>
      <c r="K169" s="1"/>
      <c r="L169" s="1"/>
      <c r="M169" s="1"/>
      <c r="N169" s="1"/>
      <c r="O169" s="1"/>
      <c r="P169" s="1"/>
      <c r="Q169" s="1"/>
      <c r="R169" s="1"/>
      <c r="S169" s="1"/>
      <c r="T169" s="1"/>
      <c r="U169" s="1"/>
      <c r="V169" s="1"/>
      <c r="W169" s="1"/>
      <c r="X169" s="1"/>
    </row>
    <row r="170">
      <c r="A170" s="2"/>
      <c r="B170" s="2"/>
      <c r="C170" s="88"/>
      <c r="D170" s="89"/>
      <c r="E170" s="4"/>
      <c r="F170" s="91"/>
      <c r="G170" s="91"/>
      <c r="H170" s="4"/>
      <c r="I170" s="98"/>
      <c r="J170" s="2"/>
      <c r="K170" s="1"/>
      <c r="L170" s="1"/>
      <c r="M170" s="1"/>
      <c r="N170" s="1"/>
      <c r="O170" s="1"/>
      <c r="P170" s="1"/>
      <c r="Q170" s="1"/>
      <c r="R170" s="1"/>
      <c r="S170" s="1"/>
      <c r="T170" s="1"/>
      <c r="U170" s="1"/>
      <c r="V170" s="1"/>
      <c r="W170" s="1"/>
      <c r="X170" s="1"/>
    </row>
    <row r="171">
      <c r="A171" s="2"/>
      <c r="B171" s="2"/>
      <c r="C171" s="88"/>
      <c r="D171" s="89"/>
      <c r="E171" s="4"/>
      <c r="F171" s="91"/>
      <c r="G171" s="91"/>
      <c r="H171" s="4"/>
      <c r="I171" s="98"/>
      <c r="J171" s="2"/>
      <c r="K171" s="1"/>
      <c r="L171" s="1"/>
      <c r="M171" s="1"/>
      <c r="N171" s="1"/>
      <c r="O171" s="1"/>
      <c r="P171" s="1"/>
      <c r="Q171" s="1"/>
      <c r="R171" s="1"/>
      <c r="S171" s="1"/>
      <c r="T171" s="1"/>
      <c r="U171" s="1"/>
      <c r="V171" s="1"/>
      <c r="W171" s="1"/>
      <c r="X171" s="1"/>
    </row>
    <row r="172">
      <c r="A172" s="2"/>
      <c r="B172" s="2"/>
      <c r="C172" s="88"/>
      <c r="D172" s="89"/>
      <c r="E172" s="4"/>
      <c r="F172" s="91"/>
      <c r="G172" s="91"/>
      <c r="H172" s="4"/>
      <c r="I172" s="98"/>
      <c r="J172" s="2"/>
      <c r="K172" s="1"/>
      <c r="L172" s="1"/>
      <c r="M172" s="1"/>
      <c r="N172" s="1"/>
      <c r="O172" s="1"/>
      <c r="P172" s="1"/>
      <c r="Q172" s="1"/>
      <c r="R172" s="1"/>
      <c r="S172" s="1"/>
      <c r="T172" s="1"/>
      <c r="U172" s="1"/>
      <c r="V172" s="1"/>
      <c r="W172" s="1"/>
      <c r="X172" s="1"/>
    </row>
    <row r="173">
      <c r="A173" s="2"/>
      <c r="B173" s="2"/>
      <c r="C173" s="88"/>
      <c r="D173" s="89"/>
      <c r="E173" s="4"/>
      <c r="F173" s="91"/>
      <c r="G173" s="91"/>
      <c r="H173" s="4"/>
      <c r="I173" s="98"/>
      <c r="J173" s="2"/>
      <c r="K173" s="1"/>
      <c r="L173" s="1"/>
      <c r="M173" s="1"/>
      <c r="N173" s="1"/>
      <c r="O173" s="1"/>
      <c r="P173" s="1"/>
      <c r="Q173" s="1"/>
      <c r="R173" s="1"/>
      <c r="S173" s="1"/>
      <c r="T173" s="1"/>
      <c r="U173" s="1"/>
      <c r="V173" s="1"/>
      <c r="W173" s="1"/>
      <c r="X173" s="1"/>
    </row>
    <row r="174">
      <c r="A174" s="2"/>
      <c r="B174" s="2"/>
      <c r="C174" s="88"/>
      <c r="D174" s="89"/>
      <c r="E174" s="4"/>
      <c r="F174" s="91"/>
      <c r="G174" s="91"/>
      <c r="H174" s="4"/>
      <c r="I174" s="98"/>
      <c r="J174" s="2"/>
      <c r="K174" s="1"/>
      <c r="L174" s="1"/>
      <c r="M174" s="1"/>
      <c r="N174" s="1"/>
      <c r="O174" s="1"/>
      <c r="P174" s="1"/>
      <c r="Q174" s="1"/>
      <c r="R174" s="1"/>
      <c r="S174" s="1"/>
      <c r="T174" s="1"/>
      <c r="U174" s="1"/>
      <c r="V174" s="1"/>
      <c r="W174" s="1"/>
      <c r="X174" s="1"/>
    </row>
    <row r="175">
      <c r="A175" s="2"/>
      <c r="B175" s="2"/>
      <c r="C175" s="88"/>
      <c r="D175" s="89"/>
      <c r="E175" s="4"/>
      <c r="F175" s="91"/>
      <c r="G175" s="91"/>
      <c r="H175" s="4"/>
      <c r="I175" s="98"/>
      <c r="J175" s="2"/>
      <c r="K175" s="1"/>
      <c r="L175" s="1"/>
      <c r="M175" s="1"/>
      <c r="N175" s="1"/>
      <c r="O175" s="1"/>
      <c r="P175" s="1"/>
      <c r="Q175" s="1"/>
      <c r="R175" s="1"/>
      <c r="S175" s="1"/>
      <c r="T175" s="1"/>
      <c r="U175" s="1"/>
      <c r="V175" s="1"/>
      <c r="W175" s="1"/>
      <c r="X175" s="1"/>
    </row>
    <row r="176">
      <c r="A176" s="2"/>
      <c r="B176" s="2"/>
      <c r="C176" s="88"/>
      <c r="D176" s="89"/>
      <c r="E176" s="4"/>
      <c r="F176" s="91"/>
      <c r="G176" s="91"/>
      <c r="H176" s="4"/>
      <c r="I176" s="98"/>
      <c r="J176" s="2"/>
      <c r="K176" s="1"/>
      <c r="L176" s="1"/>
      <c r="M176" s="1"/>
      <c r="N176" s="1"/>
      <c r="O176" s="1"/>
      <c r="P176" s="1"/>
      <c r="Q176" s="1"/>
      <c r="R176" s="1"/>
      <c r="S176" s="1"/>
      <c r="T176" s="1"/>
      <c r="U176" s="1"/>
      <c r="V176" s="1"/>
      <c r="W176" s="1"/>
      <c r="X176" s="1"/>
    </row>
    <row r="177">
      <c r="A177" s="2"/>
      <c r="B177" s="2"/>
      <c r="C177" s="88"/>
      <c r="D177" s="89"/>
      <c r="E177" s="4"/>
      <c r="F177" s="91"/>
      <c r="G177" s="91"/>
      <c r="H177" s="4"/>
      <c r="I177" s="98"/>
      <c r="J177" s="2"/>
      <c r="K177" s="1"/>
      <c r="L177" s="1"/>
      <c r="M177" s="1"/>
      <c r="N177" s="1"/>
      <c r="O177" s="1"/>
      <c r="P177" s="1"/>
      <c r="Q177" s="1"/>
      <c r="R177" s="1"/>
      <c r="S177" s="1"/>
      <c r="T177" s="1"/>
      <c r="U177" s="1"/>
      <c r="V177" s="1"/>
      <c r="W177" s="1"/>
      <c r="X177" s="1"/>
    </row>
    <row r="178">
      <c r="A178" s="2"/>
      <c r="B178" s="2"/>
      <c r="C178" s="88"/>
      <c r="D178" s="89"/>
      <c r="E178" s="4"/>
      <c r="F178" s="91"/>
      <c r="G178" s="91"/>
      <c r="H178" s="4"/>
      <c r="I178" s="98"/>
      <c r="J178" s="2"/>
      <c r="K178" s="1"/>
      <c r="L178" s="1"/>
      <c r="M178" s="1"/>
      <c r="N178" s="1"/>
      <c r="O178" s="1"/>
      <c r="P178" s="1"/>
      <c r="Q178" s="1"/>
      <c r="R178" s="1"/>
      <c r="S178" s="1"/>
      <c r="T178" s="1"/>
      <c r="U178" s="1"/>
      <c r="V178" s="1"/>
      <c r="W178" s="1"/>
      <c r="X178" s="1"/>
    </row>
    <row r="179">
      <c r="A179" s="2"/>
      <c r="B179" s="2"/>
      <c r="C179" s="88"/>
      <c r="D179" s="89"/>
      <c r="E179" s="4"/>
      <c r="F179" s="91"/>
      <c r="G179" s="91"/>
      <c r="H179" s="4"/>
      <c r="I179" s="98"/>
      <c r="J179" s="2"/>
      <c r="K179" s="1"/>
      <c r="L179" s="1"/>
      <c r="M179" s="1"/>
      <c r="N179" s="1"/>
      <c r="O179" s="1"/>
      <c r="P179" s="1"/>
      <c r="Q179" s="1"/>
      <c r="R179" s="1"/>
      <c r="S179" s="1"/>
      <c r="T179" s="1"/>
      <c r="U179" s="1"/>
      <c r="V179" s="1"/>
      <c r="W179" s="1"/>
      <c r="X179" s="1"/>
    </row>
    <row r="180">
      <c r="A180" s="2"/>
      <c r="B180" s="2"/>
      <c r="C180" s="88"/>
      <c r="D180" s="89"/>
      <c r="E180" s="4"/>
      <c r="F180" s="91"/>
      <c r="G180" s="91"/>
      <c r="H180" s="4"/>
      <c r="I180" s="98"/>
      <c r="J180" s="2"/>
      <c r="K180" s="1"/>
      <c r="L180" s="1"/>
      <c r="M180" s="1"/>
      <c r="N180" s="1"/>
      <c r="O180" s="1"/>
      <c r="P180" s="1"/>
      <c r="Q180" s="1"/>
      <c r="R180" s="1"/>
      <c r="S180" s="1"/>
      <c r="T180" s="1"/>
      <c r="U180" s="1"/>
      <c r="V180" s="1"/>
      <c r="W180" s="1"/>
      <c r="X180" s="1"/>
    </row>
    <row r="181">
      <c r="A181" s="2"/>
      <c r="B181" s="2"/>
      <c r="C181" s="88"/>
      <c r="D181" s="89"/>
      <c r="E181" s="4"/>
      <c r="F181" s="91"/>
      <c r="G181" s="91"/>
      <c r="H181" s="4"/>
      <c r="I181" s="98"/>
      <c r="J181" s="2"/>
      <c r="K181" s="1"/>
      <c r="L181" s="1"/>
      <c r="M181" s="1"/>
      <c r="N181" s="1"/>
      <c r="O181" s="1"/>
      <c r="P181" s="1"/>
      <c r="Q181" s="1"/>
      <c r="R181" s="1"/>
      <c r="S181" s="1"/>
      <c r="T181" s="1"/>
      <c r="U181" s="1"/>
      <c r="V181" s="1"/>
      <c r="W181" s="1"/>
      <c r="X181" s="1"/>
    </row>
    <row r="182">
      <c r="A182" s="2"/>
      <c r="B182" s="2"/>
      <c r="C182" s="88"/>
      <c r="D182" s="89"/>
      <c r="E182" s="4"/>
      <c r="F182" s="91"/>
      <c r="G182" s="91"/>
      <c r="H182" s="4"/>
      <c r="I182" s="98"/>
      <c r="J182" s="2"/>
      <c r="K182" s="1"/>
      <c r="L182" s="1"/>
      <c r="M182" s="1"/>
      <c r="N182" s="1"/>
      <c r="O182" s="1"/>
      <c r="P182" s="1"/>
      <c r="Q182" s="1"/>
      <c r="R182" s="1"/>
      <c r="S182" s="1"/>
      <c r="T182" s="1"/>
      <c r="U182" s="1"/>
      <c r="V182" s="1"/>
      <c r="W182" s="1"/>
      <c r="X182" s="1"/>
    </row>
    <row r="183">
      <c r="A183" s="2"/>
      <c r="B183" s="2"/>
      <c r="C183" s="88"/>
      <c r="D183" s="89"/>
      <c r="E183" s="4"/>
      <c r="F183" s="91"/>
      <c r="G183" s="91"/>
      <c r="H183" s="4"/>
      <c r="I183" s="98"/>
      <c r="J183" s="2"/>
      <c r="K183" s="1"/>
      <c r="L183" s="1"/>
      <c r="M183" s="1"/>
      <c r="N183" s="1"/>
      <c r="O183" s="1"/>
      <c r="P183" s="1"/>
      <c r="Q183" s="1"/>
      <c r="R183" s="1"/>
      <c r="S183" s="1"/>
      <c r="T183" s="1"/>
      <c r="U183" s="1"/>
      <c r="V183" s="1"/>
      <c r="W183" s="1"/>
      <c r="X183" s="1"/>
    </row>
    <row r="184">
      <c r="A184" s="2"/>
      <c r="B184" s="2"/>
      <c r="C184" s="88"/>
      <c r="D184" s="89"/>
      <c r="E184" s="4"/>
      <c r="F184" s="91"/>
      <c r="G184" s="91"/>
      <c r="H184" s="4"/>
      <c r="I184" s="98"/>
      <c r="J184" s="2"/>
      <c r="K184" s="1"/>
      <c r="L184" s="1"/>
      <c r="M184" s="1"/>
      <c r="N184" s="1"/>
      <c r="O184" s="1"/>
      <c r="P184" s="1"/>
      <c r="Q184" s="1"/>
      <c r="R184" s="1"/>
      <c r="S184" s="1"/>
      <c r="T184" s="1"/>
      <c r="U184" s="1"/>
      <c r="V184" s="1"/>
      <c r="W184" s="1"/>
      <c r="X184" s="1"/>
    </row>
    <row r="185">
      <c r="A185" s="2"/>
      <c r="B185" s="2"/>
      <c r="C185" s="88"/>
      <c r="D185" s="89"/>
      <c r="E185" s="4"/>
      <c r="F185" s="91"/>
      <c r="G185" s="91"/>
      <c r="H185" s="4"/>
      <c r="I185" s="98"/>
      <c r="J185" s="2"/>
      <c r="K185" s="1"/>
      <c r="L185" s="1"/>
      <c r="M185" s="1"/>
      <c r="N185" s="1"/>
      <c r="O185" s="1"/>
      <c r="P185" s="1"/>
      <c r="Q185" s="1"/>
      <c r="R185" s="1"/>
      <c r="S185" s="1"/>
      <c r="T185" s="1"/>
      <c r="U185" s="1"/>
      <c r="V185" s="1"/>
      <c r="W185" s="1"/>
      <c r="X185" s="1"/>
    </row>
    <row r="186">
      <c r="A186" s="2"/>
      <c r="B186" s="2"/>
      <c r="C186" s="88"/>
      <c r="D186" s="89"/>
      <c r="E186" s="4"/>
      <c r="F186" s="91"/>
      <c r="G186" s="91"/>
      <c r="H186" s="4"/>
      <c r="I186" s="98"/>
      <c r="J186" s="2"/>
      <c r="K186" s="1"/>
      <c r="L186" s="1"/>
      <c r="M186" s="1"/>
      <c r="N186" s="1"/>
      <c r="O186" s="1"/>
      <c r="P186" s="1"/>
      <c r="Q186" s="1"/>
      <c r="R186" s="1"/>
      <c r="S186" s="1"/>
      <c r="T186" s="1"/>
      <c r="U186" s="1"/>
      <c r="V186" s="1"/>
      <c r="W186" s="1"/>
      <c r="X186" s="1"/>
    </row>
    <row r="187">
      <c r="A187" s="2"/>
      <c r="B187" s="2"/>
      <c r="C187" s="88"/>
      <c r="D187" s="89"/>
      <c r="E187" s="4"/>
      <c r="F187" s="91"/>
      <c r="G187" s="91"/>
      <c r="H187" s="4"/>
      <c r="I187" s="98"/>
      <c r="J187" s="2"/>
      <c r="K187" s="1"/>
      <c r="L187" s="1"/>
      <c r="M187" s="1"/>
      <c r="N187" s="1"/>
      <c r="O187" s="1"/>
      <c r="P187" s="1"/>
      <c r="Q187" s="1"/>
      <c r="R187" s="1"/>
      <c r="S187" s="1"/>
      <c r="T187" s="1"/>
      <c r="U187" s="1"/>
      <c r="V187" s="1"/>
      <c r="W187" s="1"/>
      <c r="X187" s="1"/>
    </row>
    <row r="188">
      <c r="A188" s="2"/>
      <c r="B188" s="2"/>
      <c r="C188" s="88"/>
      <c r="D188" s="89"/>
      <c r="E188" s="4"/>
      <c r="F188" s="91"/>
      <c r="G188" s="91"/>
      <c r="H188" s="4"/>
      <c r="I188" s="98"/>
      <c r="J188" s="2"/>
      <c r="K188" s="1"/>
      <c r="L188" s="1"/>
      <c r="M188" s="1"/>
      <c r="N188" s="1"/>
      <c r="O188" s="1"/>
      <c r="P188" s="1"/>
      <c r="Q188" s="1"/>
      <c r="R188" s="1"/>
      <c r="S188" s="1"/>
      <c r="T188" s="1"/>
      <c r="U188" s="1"/>
      <c r="V188" s="1"/>
      <c r="W188" s="1"/>
      <c r="X188" s="1"/>
    </row>
    <row r="189">
      <c r="A189" s="2"/>
      <c r="B189" s="2"/>
      <c r="C189" s="88"/>
      <c r="D189" s="89"/>
      <c r="E189" s="4"/>
      <c r="F189" s="91"/>
      <c r="G189" s="91"/>
      <c r="H189" s="4"/>
      <c r="I189" s="98"/>
      <c r="J189" s="2"/>
      <c r="K189" s="1"/>
      <c r="L189" s="1"/>
      <c r="M189" s="1"/>
      <c r="N189" s="1"/>
      <c r="O189" s="1"/>
      <c r="P189" s="1"/>
      <c r="Q189" s="1"/>
      <c r="R189" s="1"/>
      <c r="S189" s="1"/>
      <c r="T189" s="1"/>
      <c r="U189" s="1"/>
      <c r="V189" s="1"/>
      <c r="W189" s="1"/>
      <c r="X189" s="1"/>
    </row>
    <row r="190">
      <c r="A190" s="2"/>
      <c r="B190" s="2"/>
      <c r="C190" s="88"/>
      <c r="D190" s="89"/>
      <c r="E190" s="4"/>
      <c r="F190" s="91"/>
      <c r="G190" s="91"/>
      <c r="H190" s="4"/>
      <c r="I190" s="98"/>
      <c r="J190" s="2"/>
      <c r="K190" s="1"/>
      <c r="L190" s="1"/>
      <c r="M190" s="1"/>
      <c r="N190" s="1"/>
      <c r="O190" s="1"/>
      <c r="P190" s="1"/>
      <c r="Q190" s="1"/>
      <c r="R190" s="1"/>
      <c r="S190" s="1"/>
      <c r="T190" s="1"/>
      <c r="U190" s="1"/>
      <c r="V190" s="1"/>
      <c r="W190" s="1"/>
      <c r="X190" s="1"/>
    </row>
    <row r="191">
      <c r="A191" s="2"/>
      <c r="B191" s="2"/>
      <c r="C191" s="88"/>
      <c r="D191" s="89"/>
      <c r="E191" s="4"/>
      <c r="F191" s="91"/>
      <c r="G191" s="91"/>
      <c r="H191" s="4"/>
      <c r="I191" s="98"/>
      <c r="J191" s="2"/>
      <c r="K191" s="1"/>
      <c r="L191" s="1"/>
      <c r="M191" s="1"/>
      <c r="N191" s="1"/>
      <c r="O191" s="1"/>
      <c r="P191" s="1"/>
      <c r="Q191" s="1"/>
      <c r="R191" s="1"/>
      <c r="S191" s="1"/>
      <c r="T191" s="1"/>
      <c r="U191" s="1"/>
      <c r="V191" s="1"/>
      <c r="W191" s="1"/>
      <c r="X191" s="1"/>
    </row>
    <row r="192">
      <c r="A192" s="2"/>
      <c r="B192" s="2"/>
      <c r="C192" s="88"/>
      <c r="D192" s="89"/>
      <c r="E192" s="4"/>
      <c r="F192" s="91"/>
      <c r="G192" s="91"/>
      <c r="H192" s="4"/>
      <c r="I192" s="98"/>
      <c r="J192" s="2"/>
      <c r="K192" s="1"/>
      <c r="L192" s="1"/>
      <c r="M192" s="1"/>
      <c r="N192" s="1"/>
      <c r="O192" s="1"/>
      <c r="P192" s="1"/>
      <c r="Q192" s="1"/>
      <c r="R192" s="1"/>
      <c r="S192" s="1"/>
      <c r="T192" s="1"/>
      <c r="U192" s="1"/>
      <c r="V192" s="1"/>
      <c r="W192" s="1"/>
      <c r="X192" s="1"/>
    </row>
    <row r="193">
      <c r="A193" s="2"/>
      <c r="B193" s="2"/>
      <c r="C193" s="88"/>
      <c r="D193" s="89"/>
      <c r="E193" s="4"/>
      <c r="F193" s="91"/>
      <c r="G193" s="91"/>
      <c r="H193" s="4"/>
      <c r="I193" s="98"/>
      <c r="J193" s="2"/>
      <c r="K193" s="1"/>
      <c r="L193" s="1"/>
      <c r="M193" s="1"/>
      <c r="N193" s="1"/>
      <c r="O193" s="1"/>
      <c r="P193" s="1"/>
      <c r="Q193" s="1"/>
      <c r="R193" s="1"/>
      <c r="S193" s="1"/>
      <c r="T193" s="1"/>
      <c r="U193" s="1"/>
      <c r="V193" s="1"/>
      <c r="W193" s="1"/>
      <c r="X193" s="1"/>
    </row>
    <row r="194">
      <c r="A194" s="2"/>
      <c r="B194" s="2"/>
      <c r="C194" s="88"/>
      <c r="D194" s="89"/>
      <c r="E194" s="4"/>
      <c r="F194" s="91"/>
      <c r="G194" s="91"/>
      <c r="H194" s="4"/>
      <c r="I194" s="98"/>
      <c r="J194" s="2"/>
      <c r="K194" s="1"/>
      <c r="L194" s="1"/>
      <c r="M194" s="1"/>
      <c r="N194" s="1"/>
      <c r="O194" s="1"/>
      <c r="P194" s="1"/>
      <c r="Q194" s="1"/>
      <c r="R194" s="1"/>
      <c r="S194" s="1"/>
      <c r="T194" s="1"/>
      <c r="U194" s="1"/>
      <c r="V194" s="1"/>
      <c r="W194" s="1"/>
      <c r="X194" s="1"/>
    </row>
    <row r="195">
      <c r="A195" s="2"/>
      <c r="B195" s="2"/>
      <c r="C195" s="88"/>
      <c r="D195" s="89"/>
      <c r="E195" s="4"/>
      <c r="F195" s="91"/>
      <c r="G195" s="91"/>
      <c r="H195" s="4"/>
      <c r="I195" s="98"/>
      <c r="J195" s="2"/>
      <c r="K195" s="1"/>
      <c r="L195" s="1"/>
      <c r="M195" s="1"/>
      <c r="N195" s="1"/>
      <c r="O195" s="1"/>
      <c r="P195" s="1"/>
      <c r="Q195" s="1"/>
      <c r="R195" s="1"/>
      <c r="S195" s="1"/>
      <c r="T195" s="1"/>
      <c r="U195" s="1"/>
      <c r="V195" s="1"/>
      <c r="W195" s="1"/>
      <c r="X195" s="1"/>
    </row>
    <row r="196">
      <c r="A196" s="2"/>
      <c r="B196" s="2"/>
      <c r="C196" s="88"/>
      <c r="D196" s="89"/>
      <c r="E196" s="4"/>
      <c r="F196" s="91"/>
      <c r="G196" s="91"/>
      <c r="H196" s="4"/>
      <c r="I196" s="98"/>
      <c r="J196" s="2"/>
      <c r="K196" s="1"/>
      <c r="L196" s="1"/>
      <c r="M196" s="1"/>
      <c r="N196" s="1"/>
      <c r="O196" s="1"/>
      <c r="P196" s="1"/>
      <c r="Q196" s="1"/>
      <c r="R196" s="1"/>
      <c r="S196" s="1"/>
      <c r="T196" s="1"/>
      <c r="U196" s="1"/>
      <c r="V196" s="1"/>
      <c r="W196" s="1"/>
      <c r="X196" s="1"/>
    </row>
    <row r="197">
      <c r="A197" s="2"/>
      <c r="B197" s="2"/>
      <c r="C197" s="88"/>
      <c r="D197" s="89"/>
      <c r="E197" s="4"/>
      <c r="F197" s="91"/>
      <c r="G197" s="91"/>
      <c r="H197" s="4"/>
      <c r="I197" s="98"/>
      <c r="J197" s="2"/>
      <c r="K197" s="1"/>
      <c r="L197" s="1"/>
      <c r="M197" s="1"/>
      <c r="N197" s="1"/>
      <c r="O197" s="1"/>
      <c r="P197" s="1"/>
      <c r="Q197" s="1"/>
      <c r="R197" s="1"/>
      <c r="S197" s="1"/>
      <c r="T197" s="1"/>
      <c r="U197" s="1"/>
      <c r="V197" s="1"/>
      <c r="W197" s="1"/>
      <c r="X197" s="1"/>
    </row>
    <row r="198">
      <c r="A198" s="2"/>
      <c r="B198" s="2"/>
      <c r="C198" s="88"/>
      <c r="D198" s="89"/>
      <c r="E198" s="4"/>
      <c r="F198" s="91"/>
      <c r="G198" s="91"/>
      <c r="H198" s="4"/>
      <c r="I198" s="98"/>
      <c r="J198" s="2"/>
      <c r="K198" s="1"/>
      <c r="L198" s="1"/>
      <c r="M198" s="1"/>
      <c r="N198" s="1"/>
      <c r="O198" s="1"/>
      <c r="P198" s="1"/>
      <c r="Q198" s="1"/>
      <c r="R198" s="1"/>
      <c r="S198" s="1"/>
      <c r="T198" s="1"/>
      <c r="U198" s="1"/>
      <c r="V198" s="1"/>
      <c r="W198" s="1"/>
      <c r="X198" s="1"/>
    </row>
    <row r="199">
      <c r="A199" s="2"/>
      <c r="B199" s="2"/>
      <c r="C199" s="88"/>
      <c r="D199" s="89"/>
      <c r="E199" s="4"/>
      <c r="F199" s="91"/>
      <c r="G199" s="91"/>
      <c r="H199" s="4"/>
      <c r="I199" s="98"/>
      <c r="J199" s="2"/>
      <c r="K199" s="1"/>
      <c r="L199" s="1"/>
      <c r="M199" s="1"/>
      <c r="N199" s="1"/>
      <c r="O199" s="1"/>
      <c r="P199" s="1"/>
      <c r="Q199" s="1"/>
      <c r="R199" s="1"/>
      <c r="S199" s="1"/>
      <c r="T199" s="1"/>
      <c r="U199" s="1"/>
      <c r="V199" s="1"/>
      <c r="W199" s="1"/>
      <c r="X199" s="1"/>
    </row>
    <row r="200">
      <c r="A200" s="2"/>
      <c r="B200" s="2"/>
      <c r="C200" s="88"/>
      <c r="D200" s="89"/>
      <c r="E200" s="4"/>
      <c r="F200" s="91"/>
      <c r="G200" s="91"/>
      <c r="H200" s="4"/>
      <c r="I200" s="98"/>
      <c r="J200" s="2"/>
      <c r="K200" s="1"/>
      <c r="L200" s="1"/>
      <c r="M200" s="1"/>
      <c r="N200" s="1"/>
      <c r="O200" s="1"/>
      <c r="P200" s="1"/>
      <c r="Q200" s="1"/>
      <c r="R200" s="1"/>
      <c r="S200" s="1"/>
      <c r="T200" s="1"/>
      <c r="U200" s="1"/>
      <c r="V200" s="1"/>
      <c r="W200" s="1"/>
      <c r="X200" s="1"/>
    </row>
    <row r="201">
      <c r="A201" s="2"/>
      <c r="B201" s="2"/>
      <c r="C201" s="88"/>
      <c r="D201" s="89"/>
      <c r="E201" s="4"/>
      <c r="F201" s="91"/>
      <c r="G201" s="91"/>
      <c r="H201" s="4"/>
      <c r="I201" s="98"/>
      <c r="J201" s="2"/>
      <c r="K201" s="1"/>
      <c r="L201" s="1"/>
      <c r="M201" s="1"/>
      <c r="N201" s="1"/>
      <c r="O201" s="1"/>
      <c r="P201" s="1"/>
      <c r="Q201" s="1"/>
      <c r="R201" s="1"/>
      <c r="S201" s="1"/>
      <c r="T201" s="1"/>
      <c r="U201" s="1"/>
      <c r="V201" s="1"/>
      <c r="W201" s="1"/>
      <c r="X201" s="1"/>
    </row>
    <row r="202">
      <c r="A202" s="2"/>
      <c r="B202" s="2"/>
      <c r="C202" s="88"/>
      <c r="D202" s="89"/>
      <c r="E202" s="4"/>
      <c r="F202" s="91"/>
      <c r="G202" s="91"/>
      <c r="H202" s="4"/>
      <c r="I202" s="98"/>
      <c r="J202" s="2"/>
      <c r="K202" s="1"/>
      <c r="L202" s="1"/>
      <c r="M202" s="1"/>
      <c r="N202" s="1"/>
      <c r="O202" s="1"/>
      <c r="P202" s="1"/>
      <c r="Q202" s="1"/>
      <c r="R202" s="1"/>
      <c r="S202" s="1"/>
      <c r="T202" s="1"/>
      <c r="U202" s="1"/>
      <c r="V202" s="1"/>
      <c r="W202" s="1"/>
      <c r="X202" s="1"/>
    </row>
    <row r="203">
      <c r="A203" s="2"/>
      <c r="B203" s="2"/>
      <c r="C203" s="88"/>
      <c r="D203" s="89"/>
      <c r="E203" s="4"/>
      <c r="F203" s="91"/>
      <c r="G203" s="91"/>
      <c r="H203" s="4"/>
      <c r="I203" s="98"/>
      <c r="J203" s="2"/>
      <c r="K203" s="1"/>
      <c r="L203" s="1"/>
      <c r="M203" s="1"/>
      <c r="N203" s="1"/>
      <c r="O203" s="1"/>
      <c r="P203" s="1"/>
      <c r="Q203" s="1"/>
      <c r="R203" s="1"/>
      <c r="S203" s="1"/>
      <c r="T203" s="1"/>
      <c r="U203" s="1"/>
      <c r="V203" s="1"/>
      <c r="W203" s="1"/>
      <c r="X203" s="1"/>
    </row>
    <row r="204">
      <c r="A204" s="2"/>
      <c r="B204" s="2"/>
      <c r="C204" s="88"/>
      <c r="D204" s="89"/>
      <c r="E204" s="4"/>
      <c r="F204" s="91"/>
      <c r="G204" s="91"/>
      <c r="H204" s="4"/>
      <c r="I204" s="98"/>
      <c r="J204" s="2"/>
      <c r="K204" s="1"/>
      <c r="L204" s="1"/>
      <c r="M204" s="1"/>
      <c r="N204" s="1"/>
      <c r="O204" s="1"/>
      <c r="P204" s="1"/>
      <c r="Q204" s="1"/>
      <c r="R204" s="1"/>
      <c r="S204" s="1"/>
      <c r="T204" s="1"/>
      <c r="U204" s="1"/>
      <c r="V204" s="1"/>
      <c r="W204" s="1"/>
      <c r="X204" s="1"/>
    </row>
    <row r="205">
      <c r="A205" s="2"/>
      <c r="B205" s="2"/>
      <c r="C205" s="88"/>
      <c r="D205" s="89"/>
      <c r="E205" s="4"/>
      <c r="F205" s="91"/>
      <c r="G205" s="91"/>
      <c r="H205" s="4"/>
      <c r="I205" s="98"/>
      <c r="J205" s="2"/>
      <c r="K205" s="1"/>
      <c r="L205" s="1"/>
      <c r="M205" s="1"/>
      <c r="N205" s="1"/>
      <c r="O205" s="1"/>
      <c r="P205" s="1"/>
      <c r="Q205" s="1"/>
      <c r="R205" s="1"/>
      <c r="S205" s="1"/>
      <c r="T205" s="1"/>
      <c r="U205" s="1"/>
      <c r="V205" s="1"/>
      <c r="W205" s="1"/>
      <c r="X205" s="1"/>
    </row>
    <row r="206">
      <c r="A206" s="2"/>
      <c r="B206" s="2"/>
      <c r="C206" s="88"/>
      <c r="D206" s="89"/>
      <c r="E206" s="4"/>
      <c r="F206" s="91"/>
      <c r="G206" s="91"/>
      <c r="H206" s="4"/>
      <c r="I206" s="98"/>
      <c r="J206" s="2"/>
      <c r="K206" s="1"/>
      <c r="L206" s="1"/>
      <c r="M206" s="1"/>
      <c r="N206" s="1"/>
      <c r="O206" s="1"/>
      <c r="P206" s="1"/>
      <c r="Q206" s="1"/>
      <c r="R206" s="1"/>
      <c r="S206" s="1"/>
      <c r="T206" s="1"/>
      <c r="U206" s="1"/>
      <c r="V206" s="1"/>
      <c r="W206" s="1"/>
      <c r="X206" s="1"/>
    </row>
    <row r="207">
      <c r="A207" s="2"/>
      <c r="B207" s="2"/>
      <c r="C207" s="88"/>
      <c r="D207" s="89"/>
      <c r="E207" s="4"/>
      <c r="F207" s="91"/>
      <c r="G207" s="91"/>
      <c r="H207" s="4"/>
      <c r="I207" s="98"/>
      <c r="J207" s="2"/>
      <c r="K207" s="1"/>
      <c r="L207" s="1"/>
      <c r="M207" s="1"/>
      <c r="N207" s="1"/>
      <c r="O207" s="1"/>
      <c r="P207" s="1"/>
      <c r="Q207" s="1"/>
      <c r="R207" s="1"/>
      <c r="S207" s="1"/>
      <c r="T207" s="1"/>
      <c r="U207" s="1"/>
      <c r="V207" s="1"/>
      <c r="W207" s="1"/>
      <c r="X207" s="1"/>
    </row>
    <row r="208">
      <c r="A208" s="2"/>
      <c r="B208" s="2"/>
      <c r="C208" s="88"/>
      <c r="D208" s="89"/>
      <c r="E208" s="4"/>
      <c r="F208" s="91"/>
      <c r="G208" s="91"/>
      <c r="H208" s="4"/>
      <c r="I208" s="98"/>
      <c r="J208" s="2"/>
      <c r="K208" s="1"/>
      <c r="L208" s="1"/>
      <c r="M208" s="1"/>
      <c r="N208" s="1"/>
      <c r="O208" s="1"/>
      <c r="P208" s="1"/>
      <c r="Q208" s="1"/>
      <c r="R208" s="1"/>
      <c r="S208" s="1"/>
      <c r="T208" s="1"/>
      <c r="U208" s="1"/>
      <c r="V208" s="1"/>
      <c r="W208" s="1"/>
      <c r="X208" s="1"/>
    </row>
    <row r="209">
      <c r="A209" s="2"/>
      <c r="B209" s="2"/>
      <c r="C209" s="88"/>
      <c r="D209" s="89"/>
      <c r="E209" s="4"/>
      <c r="F209" s="91"/>
      <c r="G209" s="91"/>
      <c r="H209" s="4"/>
      <c r="I209" s="98"/>
      <c r="J209" s="2"/>
      <c r="K209" s="1"/>
      <c r="L209" s="1"/>
      <c r="M209" s="1"/>
      <c r="N209" s="1"/>
      <c r="O209" s="1"/>
      <c r="P209" s="1"/>
      <c r="Q209" s="1"/>
      <c r="R209" s="1"/>
      <c r="S209" s="1"/>
      <c r="T209" s="1"/>
      <c r="U209" s="1"/>
      <c r="V209" s="1"/>
      <c r="W209" s="1"/>
      <c r="X209" s="1"/>
    </row>
    <row r="210">
      <c r="A210" s="2"/>
      <c r="B210" s="2"/>
      <c r="C210" s="88"/>
      <c r="D210" s="89"/>
      <c r="E210" s="4"/>
      <c r="F210" s="91"/>
      <c r="G210" s="91"/>
      <c r="H210" s="4"/>
      <c r="I210" s="98"/>
      <c r="J210" s="2"/>
      <c r="K210" s="1"/>
      <c r="L210" s="1"/>
      <c r="M210" s="1"/>
      <c r="N210" s="1"/>
      <c r="O210" s="1"/>
      <c r="P210" s="1"/>
      <c r="Q210" s="1"/>
      <c r="R210" s="1"/>
      <c r="S210" s="1"/>
      <c r="T210" s="1"/>
      <c r="U210" s="1"/>
      <c r="V210" s="1"/>
      <c r="W210" s="1"/>
      <c r="X210" s="1"/>
    </row>
    <row r="211">
      <c r="A211" s="2"/>
      <c r="B211" s="2"/>
      <c r="C211" s="88"/>
      <c r="D211" s="89"/>
      <c r="E211" s="4"/>
      <c r="F211" s="91"/>
      <c r="G211" s="91"/>
      <c r="H211" s="4"/>
      <c r="I211" s="98"/>
      <c r="J211" s="2"/>
      <c r="K211" s="1"/>
      <c r="L211" s="1"/>
      <c r="M211" s="1"/>
      <c r="N211" s="1"/>
      <c r="O211" s="1"/>
      <c r="P211" s="1"/>
      <c r="Q211" s="1"/>
      <c r="R211" s="1"/>
      <c r="S211" s="1"/>
      <c r="T211" s="1"/>
      <c r="U211" s="1"/>
      <c r="V211" s="1"/>
      <c r="W211" s="1"/>
      <c r="X211" s="1"/>
    </row>
    <row r="212">
      <c r="A212" s="2"/>
      <c r="B212" s="2"/>
      <c r="C212" s="88"/>
      <c r="D212" s="89"/>
      <c r="E212" s="4"/>
      <c r="F212" s="91"/>
      <c r="G212" s="91"/>
      <c r="H212" s="4"/>
      <c r="I212" s="98"/>
      <c r="J212" s="2"/>
      <c r="K212" s="1"/>
      <c r="L212" s="1"/>
      <c r="M212" s="1"/>
      <c r="N212" s="1"/>
      <c r="O212" s="1"/>
      <c r="P212" s="1"/>
      <c r="Q212" s="1"/>
      <c r="R212" s="1"/>
      <c r="S212" s="1"/>
      <c r="T212" s="1"/>
      <c r="U212" s="1"/>
      <c r="V212" s="1"/>
      <c r="W212" s="1"/>
      <c r="X212" s="1"/>
    </row>
    <row r="213">
      <c r="A213" s="2"/>
      <c r="B213" s="2"/>
      <c r="C213" s="88"/>
      <c r="D213" s="89"/>
      <c r="E213" s="4"/>
      <c r="F213" s="91"/>
      <c r="G213" s="91"/>
      <c r="H213" s="4"/>
      <c r="I213" s="98"/>
      <c r="J213" s="2"/>
      <c r="K213" s="1"/>
      <c r="L213" s="1"/>
      <c r="M213" s="1"/>
      <c r="N213" s="1"/>
      <c r="O213" s="1"/>
      <c r="P213" s="1"/>
      <c r="Q213" s="1"/>
      <c r="R213" s="1"/>
      <c r="S213" s="1"/>
      <c r="T213" s="1"/>
      <c r="U213" s="1"/>
      <c r="V213" s="1"/>
      <c r="W213" s="1"/>
      <c r="X213" s="1"/>
    </row>
    <row r="214">
      <c r="A214" s="2"/>
      <c r="B214" s="2"/>
      <c r="C214" s="88"/>
      <c r="D214" s="89"/>
      <c r="E214" s="4"/>
      <c r="F214" s="91"/>
      <c r="G214" s="91"/>
      <c r="H214" s="4"/>
      <c r="I214" s="98"/>
      <c r="J214" s="2"/>
      <c r="K214" s="1"/>
      <c r="L214" s="1"/>
      <c r="M214" s="1"/>
      <c r="N214" s="1"/>
      <c r="O214" s="1"/>
      <c r="P214" s="1"/>
      <c r="Q214" s="1"/>
      <c r="R214" s="1"/>
      <c r="S214" s="1"/>
      <c r="T214" s="1"/>
      <c r="U214" s="1"/>
      <c r="V214" s="1"/>
      <c r="W214" s="1"/>
      <c r="X214" s="1"/>
    </row>
    <row r="215">
      <c r="A215" s="2"/>
      <c r="B215" s="2"/>
      <c r="C215" s="88"/>
      <c r="D215" s="89"/>
      <c r="E215" s="4"/>
      <c r="F215" s="91"/>
      <c r="G215" s="91"/>
      <c r="H215" s="4"/>
      <c r="I215" s="98"/>
      <c r="J215" s="2"/>
      <c r="K215" s="1"/>
      <c r="L215" s="1"/>
      <c r="M215" s="1"/>
      <c r="N215" s="1"/>
      <c r="O215" s="1"/>
      <c r="P215" s="1"/>
      <c r="Q215" s="1"/>
      <c r="R215" s="1"/>
      <c r="S215" s="1"/>
      <c r="T215" s="1"/>
      <c r="U215" s="1"/>
      <c r="V215" s="1"/>
      <c r="W215" s="1"/>
      <c r="X215" s="1"/>
    </row>
    <row r="216">
      <c r="A216" s="2"/>
      <c r="B216" s="2"/>
      <c r="C216" s="88"/>
      <c r="D216" s="89"/>
      <c r="E216" s="4"/>
      <c r="F216" s="91"/>
      <c r="G216" s="91"/>
      <c r="H216" s="4"/>
      <c r="I216" s="98"/>
      <c r="J216" s="2"/>
      <c r="K216" s="1"/>
      <c r="L216" s="1"/>
      <c r="M216" s="1"/>
      <c r="N216" s="1"/>
      <c r="O216" s="1"/>
      <c r="P216" s="1"/>
      <c r="Q216" s="1"/>
      <c r="R216" s="1"/>
      <c r="S216" s="1"/>
      <c r="T216" s="1"/>
      <c r="U216" s="1"/>
      <c r="V216" s="1"/>
      <c r="W216" s="1"/>
      <c r="X216" s="1"/>
    </row>
    <row r="217">
      <c r="A217" s="2"/>
      <c r="B217" s="2"/>
      <c r="C217" s="88"/>
      <c r="D217" s="89"/>
      <c r="E217" s="4"/>
      <c r="F217" s="91"/>
      <c r="G217" s="91"/>
      <c r="H217" s="4"/>
      <c r="I217" s="98"/>
      <c r="J217" s="2"/>
      <c r="K217" s="1"/>
      <c r="L217" s="1"/>
      <c r="M217" s="1"/>
      <c r="N217" s="1"/>
      <c r="O217" s="1"/>
      <c r="P217" s="1"/>
      <c r="Q217" s="1"/>
      <c r="R217" s="1"/>
      <c r="S217" s="1"/>
      <c r="T217" s="1"/>
      <c r="U217" s="1"/>
      <c r="V217" s="1"/>
      <c r="W217" s="1"/>
      <c r="X217" s="1"/>
    </row>
    <row r="218">
      <c r="A218" s="2"/>
      <c r="B218" s="2"/>
      <c r="C218" s="88"/>
      <c r="D218" s="89"/>
      <c r="E218" s="4"/>
      <c r="F218" s="91"/>
      <c r="G218" s="91"/>
      <c r="H218" s="4"/>
      <c r="I218" s="98"/>
      <c r="J218" s="2"/>
      <c r="K218" s="1"/>
      <c r="L218" s="1"/>
      <c r="M218" s="1"/>
      <c r="N218" s="1"/>
      <c r="O218" s="1"/>
      <c r="P218" s="1"/>
      <c r="Q218" s="1"/>
      <c r="R218" s="1"/>
      <c r="S218" s="1"/>
      <c r="T218" s="1"/>
      <c r="U218" s="1"/>
      <c r="V218" s="1"/>
      <c r="W218" s="1"/>
      <c r="X218" s="1"/>
    </row>
    <row r="219">
      <c r="A219" s="2"/>
      <c r="B219" s="2"/>
      <c r="C219" s="88"/>
      <c r="D219" s="89"/>
      <c r="E219" s="4"/>
      <c r="F219" s="91"/>
      <c r="G219" s="91"/>
      <c r="H219" s="4"/>
      <c r="I219" s="98"/>
      <c r="J219" s="2"/>
      <c r="K219" s="1"/>
      <c r="L219" s="1"/>
      <c r="M219" s="1"/>
      <c r="N219" s="1"/>
      <c r="O219" s="1"/>
      <c r="P219" s="1"/>
      <c r="Q219" s="1"/>
      <c r="R219" s="1"/>
      <c r="S219" s="1"/>
      <c r="T219" s="1"/>
      <c r="U219" s="1"/>
      <c r="V219" s="1"/>
      <c r="W219" s="1"/>
      <c r="X219" s="1"/>
    </row>
    <row r="220">
      <c r="A220" s="2"/>
      <c r="B220" s="2"/>
      <c r="C220" s="88"/>
      <c r="D220" s="89"/>
      <c r="E220" s="4"/>
      <c r="F220" s="91"/>
      <c r="G220" s="91"/>
      <c r="H220" s="4"/>
      <c r="I220" s="98"/>
      <c r="J220" s="2"/>
      <c r="K220" s="1"/>
      <c r="L220" s="1"/>
      <c r="M220" s="1"/>
      <c r="N220" s="1"/>
      <c r="O220" s="1"/>
      <c r="P220" s="1"/>
      <c r="Q220" s="1"/>
      <c r="R220" s="1"/>
      <c r="S220" s="1"/>
      <c r="T220" s="1"/>
      <c r="U220" s="1"/>
      <c r="V220" s="1"/>
      <c r="W220" s="1"/>
      <c r="X220" s="1"/>
    </row>
    <row r="221">
      <c r="A221" s="2"/>
      <c r="B221" s="2"/>
      <c r="C221" s="88"/>
      <c r="D221" s="89"/>
      <c r="E221" s="4"/>
      <c r="F221" s="91"/>
      <c r="G221" s="91"/>
      <c r="H221" s="4"/>
      <c r="I221" s="98"/>
      <c r="J221" s="2"/>
      <c r="K221" s="1"/>
      <c r="L221" s="1"/>
      <c r="M221" s="1"/>
      <c r="N221" s="1"/>
      <c r="O221" s="1"/>
      <c r="P221" s="1"/>
      <c r="Q221" s="1"/>
      <c r="R221" s="1"/>
      <c r="S221" s="1"/>
      <c r="T221" s="1"/>
      <c r="U221" s="1"/>
      <c r="V221" s="1"/>
      <c r="W221" s="1"/>
      <c r="X221" s="1"/>
    </row>
    <row r="222">
      <c r="A222" s="2"/>
      <c r="B222" s="2"/>
      <c r="C222" s="88"/>
      <c r="D222" s="89"/>
      <c r="E222" s="4"/>
      <c r="F222" s="91"/>
      <c r="G222" s="91"/>
      <c r="H222" s="4"/>
      <c r="I222" s="98"/>
      <c r="J222" s="2"/>
      <c r="K222" s="1"/>
      <c r="L222" s="1"/>
      <c r="M222" s="1"/>
      <c r="N222" s="1"/>
      <c r="O222" s="1"/>
      <c r="P222" s="1"/>
      <c r="Q222" s="1"/>
      <c r="R222" s="1"/>
      <c r="S222" s="1"/>
      <c r="T222" s="1"/>
      <c r="U222" s="1"/>
      <c r="V222" s="1"/>
      <c r="W222" s="1"/>
      <c r="X222" s="1"/>
    </row>
    <row r="223">
      <c r="A223" s="2"/>
      <c r="B223" s="2"/>
      <c r="C223" s="88"/>
      <c r="D223" s="89"/>
      <c r="E223" s="4"/>
      <c r="F223" s="91"/>
      <c r="G223" s="91"/>
      <c r="H223" s="4"/>
      <c r="I223" s="98"/>
      <c r="J223" s="2"/>
      <c r="K223" s="1"/>
      <c r="L223" s="1"/>
      <c r="M223" s="1"/>
      <c r="N223" s="1"/>
      <c r="O223" s="1"/>
      <c r="P223" s="1"/>
      <c r="Q223" s="1"/>
      <c r="R223" s="1"/>
      <c r="S223" s="1"/>
      <c r="T223" s="1"/>
      <c r="U223" s="1"/>
      <c r="V223" s="1"/>
      <c r="W223" s="1"/>
      <c r="X223" s="1"/>
    </row>
    <row r="224">
      <c r="A224" s="2"/>
      <c r="B224" s="2"/>
      <c r="C224" s="88"/>
      <c r="D224" s="89"/>
      <c r="E224" s="4"/>
      <c r="F224" s="91"/>
      <c r="G224" s="91"/>
      <c r="H224" s="4"/>
      <c r="I224" s="98"/>
      <c r="J224" s="2"/>
      <c r="K224" s="1"/>
      <c r="L224" s="1"/>
      <c r="M224" s="1"/>
      <c r="N224" s="1"/>
      <c r="O224" s="1"/>
      <c r="P224" s="1"/>
      <c r="Q224" s="1"/>
      <c r="R224" s="1"/>
      <c r="S224" s="1"/>
      <c r="T224" s="1"/>
      <c r="U224" s="1"/>
      <c r="V224" s="1"/>
      <c r="W224" s="1"/>
      <c r="X224" s="1"/>
    </row>
    <row r="225">
      <c r="A225" s="2"/>
      <c r="B225" s="2"/>
      <c r="C225" s="88"/>
      <c r="D225" s="89"/>
      <c r="E225" s="4"/>
      <c r="F225" s="91"/>
      <c r="G225" s="91"/>
      <c r="H225" s="4"/>
      <c r="I225" s="98"/>
      <c r="J225" s="2"/>
      <c r="K225" s="1"/>
      <c r="L225" s="1"/>
      <c r="M225" s="1"/>
      <c r="N225" s="1"/>
      <c r="O225" s="1"/>
      <c r="P225" s="1"/>
      <c r="Q225" s="1"/>
      <c r="R225" s="1"/>
      <c r="S225" s="1"/>
      <c r="T225" s="1"/>
      <c r="U225" s="1"/>
      <c r="V225" s="1"/>
      <c r="W225" s="1"/>
      <c r="X225" s="1"/>
    </row>
    <row r="226">
      <c r="A226" s="2"/>
      <c r="B226" s="2"/>
      <c r="C226" s="88"/>
      <c r="D226" s="89"/>
      <c r="E226" s="4"/>
      <c r="F226" s="91"/>
      <c r="G226" s="91"/>
      <c r="H226" s="4"/>
      <c r="I226" s="98"/>
      <c r="J226" s="2"/>
      <c r="K226" s="1"/>
      <c r="L226" s="1"/>
      <c r="M226" s="1"/>
      <c r="N226" s="1"/>
      <c r="O226" s="1"/>
      <c r="P226" s="1"/>
      <c r="Q226" s="1"/>
      <c r="R226" s="1"/>
      <c r="S226" s="1"/>
      <c r="T226" s="1"/>
      <c r="U226" s="1"/>
      <c r="V226" s="1"/>
      <c r="W226" s="1"/>
      <c r="X226" s="1"/>
    </row>
    <row r="227">
      <c r="A227" s="2"/>
      <c r="B227" s="2"/>
      <c r="C227" s="88"/>
      <c r="D227" s="89"/>
      <c r="E227" s="4"/>
      <c r="F227" s="91"/>
      <c r="G227" s="91"/>
      <c r="H227" s="4"/>
      <c r="I227" s="98"/>
      <c r="J227" s="2"/>
      <c r="K227" s="1"/>
      <c r="L227" s="1"/>
      <c r="M227" s="1"/>
      <c r="N227" s="1"/>
      <c r="O227" s="1"/>
      <c r="P227" s="1"/>
      <c r="Q227" s="1"/>
      <c r="R227" s="1"/>
      <c r="S227" s="1"/>
      <c r="T227" s="1"/>
      <c r="U227" s="1"/>
      <c r="V227" s="1"/>
      <c r="W227" s="1"/>
      <c r="X227" s="1"/>
    </row>
    <row r="228">
      <c r="A228" s="2"/>
      <c r="B228" s="2"/>
      <c r="C228" s="88"/>
      <c r="D228" s="89"/>
      <c r="E228" s="4"/>
      <c r="F228" s="91"/>
      <c r="G228" s="91"/>
      <c r="H228" s="4"/>
      <c r="I228" s="98"/>
      <c r="J228" s="2"/>
      <c r="K228" s="1"/>
      <c r="L228" s="1"/>
      <c r="M228" s="1"/>
      <c r="N228" s="1"/>
      <c r="O228" s="1"/>
      <c r="P228" s="1"/>
      <c r="Q228" s="1"/>
      <c r="R228" s="1"/>
      <c r="S228" s="1"/>
      <c r="T228" s="1"/>
      <c r="U228" s="1"/>
      <c r="V228" s="1"/>
      <c r="W228" s="1"/>
      <c r="X228" s="1"/>
    </row>
    <row r="229">
      <c r="A229" s="2"/>
      <c r="B229" s="2"/>
      <c r="C229" s="88"/>
      <c r="D229" s="89"/>
      <c r="E229" s="4"/>
      <c r="F229" s="91"/>
      <c r="G229" s="91"/>
      <c r="H229" s="4"/>
      <c r="I229" s="98"/>
      <c r="J229" s="2"/>
      <c r="K229" s="1"/>
      <c r="L229" s="1"/>
      <c r="M229" s="1"/>
      <c r="N229" s="1"/>
      <c r="O229" s="1"/>
      <c r="P229" s="1"/>
      <c r="Q229" s="1"/>
      <c r="R229" s="1"/>
      <c r="S229" s="1"/>
      <c r="T229" s="1"/>
      <c r="U229" s="1"/>
      <c r="V229" s="1"/>
      <c r="W229" s="1"/>
      <c r="X229" s="1"/>
    </row>
    <row r="230">
      <c r="A230" s="2"/>
      <c r="B230" s="2"/>
      <c r="C230" s="88"/>
      <c r="D230" s="89"/>
      <c r="E230" s="4"/>
      <c r="F230" s="91"/>
      <c r="G230" s="91"/>
      <c r="H230" s="4"/>
      <c r="I230" s="98"/>
      <c r="J230" s="2"/>
      <c r="K230" s="1"/>
      <c r="L230" s="1"/>
      <c r="M230" s="1"/>
      <c r="N230" s="1"/>
      <c r="O230" s="1"/>
      <c r="P230" s="1"/>
      <c r="Q230" s="1"/>
      <c r="R230" s="1"/>
      <c r="S230" s="1"/>
      <c r="T230" s="1"/>
      <c r="U230" s="1"/>
      <c r="V230" s="1"/>
      <c r="W230" s="1"/>
      <c r="X230" s="1"/>
    </row>
    <row r="231">
      <c r="A231" s="2"/>
      <c r="B231" s="2"/>
      <c r="C231" s="88"/>
      <c r="D231" s="89"/>
      <c r="E231" s="4"/>
      <c r="F231" s="91"/>
      <c r="G231" s="91"/>
      <c r="H231" s="4"/>
      <c r="I231" s="98"/>
      <c r="J231" s="2"/>
      <c r="K231" s="1"/>
      <c r="L231" s="1"/>
      <c r="M231" s="1"/>
      <c r="N231" s="1"/>
      <c r="O231" s="1"/>
      <c r="P231" s="1"/>
      <c r="Q231" s="1"/>
      <c r="R231" s="1"/>
      <c r="S231" s="1"/>
      <c r="T231" s="1"/>
      <c r="U231" s="1"/>
      <c r="V231" s="1"/>
      <c r="W231" s="1"/>
      <c r="X231" s="1"/>
    </row>
    <row r="232">
      <c r="A232" s="2"/>
      <c r="B232" s="2"/>
      <c r="C232" s="88"/>
      <c r="D232" s="89"/>
      <c r="E232" s="4"/>
      <c r="F232" s="91"/>
      <c r="G232" s="91"/>
      <c r="H232" s="4"/>
      <c r="I232" s="98"/>
      <c r="J232" s="2"/>
      <c r="K232" s="1"/>
      <c r="L232" s="1"/>
      <c r="M232" s="1"/>
      <c r="N232" s="1"/>
      <c r="O232" s="1"/>
      <c r="P232" s="1"/>
      <c r="Q232" s="1"/>
      <c r="R232" s="1"/>
      <c r="S232" s="1"/>
      <c r="T232" s="1"/>
      <c r="U232" s="1"/>
      <c r="V232" s="1"/>
      <c r="W232" s="1"/>
      <c r="X232" s="1"/>
    </row>
    <row r="233">
      <c r="A233" s="2"/>
      <c r="B233" s="2"/>
      <c r="C233" s="88"/>
      <c r="D233" s="89"/>
      <c r="E233" s="4"/>
      <c r="F233" s="91"/>
      <c r="G233" s="91"/>
      <c r="H233" s="4"/>
      <c r="I233" s="98"/>
      <c r="J233" s="2"/>
      <c r="K233" s="1"/>
      <c r="L233" s="1"/>
      <c r="M233" s="1"/>
      <c r="N233" s="1"/>
      <c r="O233" s="1"/>
      <c r="P233" s="1"/>
      <c r="Q233" s="1"/>
      <c r="R233" s="1"/>
      <c r="S233" s="1"/>
      <c r="T233" s="1"/>
      <c r="U233" s="1"/>
      <c r="V233" s="1"/>
      <c r="W233" s="1"/>
      <c r="X233" s="1"/>
    </row>
    <row r="234">
      <c r="A234" s="2"/>
      <c r="B234" s="2"/>
      <c r="C234" s="88"/>
      <c r="D234" s="89"/>
      <c r="E234" s="4"/>
      <c r="F234" s="91"/>
      <c r="G234" s="91"/>
      <c r="H234" s="4"/>
      <c r="I234" s="98"/>
      <c r="J234" s="2"/>
      <c r="K234" s="1"/>
      <c r="L234" s="1"/>
      <c r="M234" s="1"/>
      <c r="N234" s="1"/>
      <c r="O234" s="1"/>
      <c r="P234" s="1"/>
      <c r="Q234" s="1"/>
      <c r="R234" s="1"/>
      <c r="S234" s="1"/>
      <c r="T234" s="1"/>
      <c r="U234" s="1"/>
      <c r="V234" s="1"/>
      <c r="W234" s="1"/>
      <c r="X234" s="1"/>
    </row>
    <row r="235">
      <c r="A235" s="2"/>
      <c r="B235" s="2"/>
      <c r="C235" s="88"/>
      <c r="D235" s="89"/>
      <c r="E235" s="4"/>
      <c r="F235" s="91"/>
      <c r="G235" s="91"/>
      <c r="H235" s="4"/>
      <c r="I235" s="98"/>
      <c r="J235" s="2"/>
      <c r="K235" s="1"/>
      <c r="L235" s="1"/>
      <c r="M235" s="1"/>
      <c r="N235" s="1"/>
      <c r="O235" s="1"/>
      <c r="P235" s="1"/>
      <c r="Q235" s="1"/>
      <c r="R235" s="1"/>
      <c r="S235" s="1"/>
      <c r="T235" s="1"/>
      <c r="U235" s="1"/>
      <c r="V235" s="1"/>
      <c r="W235" s="1"/>
      <c r="X235" s="1"/>
    </row>
    <row r="236">
      <c r="A236" s="2"/>
      <c r="B236" s="2"/>
      <c r="C236" s="88"/>
      <c r="D236" s="89"/>
      <c r="E236" s="4"/>
      <c r="F236" s="91"/>
      <c r="G236" s="91"/>
      <c r="H236" s="4"/>
      <c r="I236" s="98"/>
      <c r="J236" s="2"/>
      <c r="K236" s="1"/>
      <c r="L236" s="1"/>
      <c r="M236" s="1"/>
      <c r="N236" s="1"/>
      <c r="O236" s="1"/>
      <c r="P236" s="1"/>
      <c r="Q236" s="1"/>
      <c r="R236" s="1"/>
      <c r="S236" s="1"/>
      <c r="T236" s="1"/>
      <c r="U236" s="1"/>
      <c r="V236" s="1"/>
      <c r="W236" s="1"/>
      <c r="X236" s="1"/>
    </row>
    <row r="237">
      <c r="A237" s="2"/>
      <c r="B237" s="2"/>
      <c r="C237" s="88"/>
      <c r="D237" s="89"/>
      <c r="E237" s="4"/>
      <c r="F237" s="91"/>
      <c r="G237" s="91"/>
      <c r="H237" s="4"/>
      <c r="I237" s="98"/>
      <c r="J237" s="2"/>
      <c r="K237" s="1"/>
      <c r="L237" s="1"/>
      <c r="M237" s="1"/>
      <c r="N237" s="1"/>
      <c r="O237" s="1"/>
      <c r="P237" s="1"/>
      <c r="Q237" s="1"/>
      <c r="R237" s="1"/>
      <c r="S237" s="1"/>
      <c r="T237" s="1"/>
      <c r="U237" s="1"/>
      <c r="V237" s="1"/>
      <c r="W237" s="1"/>
      <c r="X237" s="1"/>
    </row>
    <row r="238">
      <c r="A238" s="2"/>
      <c r="B238" s="2"/>
      <c r="C238" s="88"/>
      <c r="D238" s="89"/>
      <c r="E238" s="4"/>
      <c r="F238" s="91"/>
      <c r="G238" s="91"/>
      <c r="H238" s="4"/>
      <c r="I238" s="98"/>
      <c r="J238" s="2"/>
      <c r="K238" s="1"/>
      <c r="L238" s="1"/>
      <c r="M238" s="1"/>
      <c r="N238" s="1"/>
      <c r="O238" s="1"/>
      <c r="P238" s="1"/>
      <c r="Q238" s="1"/>
      <c r="R238" s="1"/>
      <c r="S238" s="1"/>
      <c r="T238" s="1"/>
      <c r="U238" s="1"/>
      <c r="V238" s="1"/>
      <c r="W238" s="1"/>
      <c r="X238" s="1"/>
    </row>
    <row r="239">
      <c r="A239" s="2"/>
      <c r="B239" s="2"/>
      <c r="C239" s="88"/>
      <c r="D239" s="89"/>
      <c r="E239" s="4"/>
      <c r="F239" s="91"/>
      <c r="G239" s="91"/>
      <c r="H239" s="4"/>
      <c r="I239" s="98"/>
      <c r="J239" s="2"/>
      <c r="K239" s="1"/>
      <c r="L239" s="1"/>
      <c r="M239" s="1"/>
      <c r="N239" s="1"/>
      <c r="O239" s="1"/>
      <c r="P239" s="1"/>
      <c r="Q239" s="1"/>
      <c r="R239" s="1"/>
      <c r="S239" s="1"/>
      <c r="T239" s="1"/>
      <c r="U239" s="1"/>
      <c r="V239" s="1"/>
      <c r="W239" s="1"/>
      <c r="X239" s="1"/>
    </row>
    <row r="240">
      <c r="A240" s="2"/>
      <c r="B240" s="2"/>
      <c r="C240" s="88"/>
      <c r="D240" s="89"/>
      <c r="E240" s="4"/>
      <c r="F240" s="91"/>
      <c r="G240" s="91"/>
      <c r="H240" s="4"/>
      <c r="I240" s="98"/>
      <c r="J240" s="2"/>
      <c r="K240" s="1"/>
      <c r="L240" s="1"/>
      <c r="M240" s="1"/>
      <c r="N240" s="1"/>
      <c r="O240" s="1"/>
      <c r="P240" s="1"/>
      <c r="Q240" s="1"/>
      <c r="R240" s="1"/>
      <c r="S240" s="1"/>
      <c r="T240" s="1"/>
      <c r="U240" s="1"/>
      <c r="V240" s="1"/>
      <c r="W240" s="1"/>
      <c r="X240" s="1"/>
    </row>
    <row r="241">
      <c r="A241" s="2"/>
      <c r="B241" s="2"/>
      <c r="C241" s="88"/>
      <c r="D241" s="89"/>
      <c r="E241" s="4"/>
      <c r="F241" s="91"/>
      <c r="G241" s="91"/>
      <c r="H241" s="4"/>
      <c r="I241" s="98"/>
      <c r="J241" s="2"/>
      <c r="K241" s="1"/>
      <c r="L241" s="1"/>
      <c r="M241" s="1"/>
      <c r="N241" s="1"/>
      <c r="O241" s="1"/>
      <c r="P241" s="1"/>
      <c r="Q241" s="1"/>
      <c r="R241" s="1"/>
      <c r="S241" s="1"/>
      <c r="T241" s="1"/>
      <c r="U241" s="1"/>
      <c r="V241" s="1"/>
      <c r="W241" s="1"/>
      <c r="X241" s="1"/>
    </row>
    <row r="242">
      <c r="A242" s="2"/>
      <c r="B242" s="2"/>
      <c r="C242" s="88"/>
      <c r="D242" s="89"/>
      <c r="E242" s="4"/>
      <c r="F242" s="91"/>
      <c r="G242" s="91"/>
      <c r="H242" s="4"/>
      <c r="I242" s="98"/>
      <c r="J242" s="2"/>
      <c r="K242" s="1"/>
      <c r="L242" s="1"/>
      <c r="M242" s="1"/>
      <c r="N242" s="1"/>
      <c r="O242" s="1"/>
      <c r="P242" s="1"/>
      <c r="Q242" s="1"/>
      <c r="R242" s="1"/>
      <c r="S242" s="1"/>
      <c r="T242" s="1"/>
      <c r="U242" s="1"/>
      <c r="V242" s="1"/>
      <c r="W242" s="1"/>
      <c r="X242" s="1"/>
    </row>
    <row r="243">
      <c r="A243" s="2"/>
      <c r="B243" s="2"/>
      <c r="C243" s="88"/>
      <c r="D243" s="89"/>
      <c r="E243" s="4"/>
      <c r="F243" s="91"/>
      <c r="G243" s="91"/>
      <c r="H243" s="4"/>
      <c r="I243" s="98"/>
      <c r="J243" s="2"/>
      <c r="K243" s="1"/>
      <c r="L243" s="1"/>
      <c r="M243" s="1"/>
      <c r="N243" s="1"/>
      <c r="O243" s="1"/>
      <c r="P243" s="1"/>
      <c r="Q243" s="1"/>
      <c r="R243" s="1"/>
      <c r="S243" s="1"/>
      <c r="T243" s="1"/>
      <c r="U243" s="1"/>
      <c r="V243" s="1"/>
      <c r="W243" s="1"/>
      <c r="X243" s="1"/>
    </row>
    <row r="244">
      <c r="A244" s="2"/>
      <c r="B244" s="2"/>
      <c r="C244" s="88"/>
      <c r="D244" s="89"/>
      <c r="E244" s="4"/>
      <c r="F244" s="91"/>
      <c r="G244" s="91"/>
      <c r="H244" s="4"/>
      <c r="I244" s="98"/>
      <c r="J244" s="2"/>
      <c r="K244" s="1"/>
      <c r="L244" s="1"/>
      <c r="M244" s="1"/>
      <c r="N244" s="1"/>
      <c r="O244" s="1"/>
      <c r="P244" s="1"/>
      <c r="Q244" s="1"/>
      <c r="R244" s="1"/>
      <c r="S244" s="1"/>
      <c r="T244" s="1"/>
      <c r="U244" s="1"/>
      <c r="V244" s="1"/>
      <c r="W244" s="1"/>
      <c r="X244" s="1"/>
    </row>
    <row r="245">
      <c r="A245" s="2"/>
      <c r="B245" s="2"/>
      <c r="C245" s="88"/>
      <c r="D245" s="89"/>
      <c r="E245" s="4"/>
      <c r="F245" s="91"/>
      <c r="G245" s="91"/>
      <c r="H245" s="4"/>
      <c r="I245" s="98"/>
      <c r="J245" s="2"/>
      <c r="K245" s="1"/>
      <c r="L245" s="1"/>
      <c r="M245" s="1"/>
      <c r="N245" s="1"/>
      <c r="O245" s="1"/>
      <c r="P245" s="1"/>
      <c r="Q245" s="1"/>
      <c r="R245" s="1"/>
      <c r="S245" s="1"/>
      <c r="T245" s="1"/>
      <c r="U245" s="1"/>
      <c r="V245" s="1"/>
      <c r="W245" s="1"/>
      <c r="X245" s="1"/>
    </row>
    <row r="246">
      <c r="A246" s="2"/>
      <c r="B246" s="2"/>
      <c r="C246" s="88"/>
      <c r="D246" s="89"/>
      <c r="E246" s="4"/>
      <c r="F246" s="91"/>
      <c r="G246" s="91"/>
      <c r="H246" s="4"/>
      <c r="I246" s="98"/>
      <c r="J246" s="2"/>
      <c r="K246" s="1"/>
      <c r="L246" s="1"/>
      <c r="M246" s="1"/>
      <c r="N246" s="1"/>
      <c r="O246" s="1"/>
      <c r="P246" s="1"/>
      <c r="Q246" s="1"/>
      <c r="R246" s="1"/>
      <c r="S246" s="1"/>
      <c r="T246" s="1"/>
      <c r="U246" s="1"/>
      <c r="V246" s="1"/>
      <c r="W246" s="1"/>
      <c r="X246" s="1"/>
    </row>
    <row r="247">
      <c r="A247" s="2"/>
      <c r="B247" s="2"/>
      <c r="C247" s="88"/>
      <c r="D247" s="89"/>
      <c r="E247" s="4"/>
      <c r="F247" s="91"/>
      <c r="G247" s="91"/>
      <c r="H247" s="4"/>
      <c r="I247" s="98"/>
      <c r="J247" s="2"/>
      <c r="K247" s="1"/>
      <c r="L247" s="1"/>
      <c r="M247" s="1"/>
      <c r="N247" s="1"/>
      <c r="O247" s="1"/>
      <c r="P247" s="1"/>
      <c r="Q247" s="1"/>
      <c r="R247" s="1"/>
      <c r="S247" s="1"/>
      <c r="T247" s="1"/>
      <c r="U247" s="1"/>
      <c r="V247" s="1"/>
      <c r="W247" s="1"/>
      <c r="X247" s="1"/>
    </row>
    <row r="248">
      <c r="A248" s="2"/>
      <c r="B248" s="2"/>
      <c r="C248" s="88"/>
      <c r="D248" s="89"/>
      <c r="E248" s="4"/>
      <c r="F248" s="91"/>
      <c r="G248" s="91"/>
      <c r="H248" s="4"/>
      <c r="I248" s="98"/>
      <c r="J248" s="2"/>
      <c r="K248" s="1"/>
      <c r="L248" s="1"/>
      <c r="M248" s="1"/>
      <c r="N248" s="1"/>
      <c r="O248" s="1"/>
      <c r="P248" s="1"/>
      <c r="Q248" s="1"/>
      <c r="R248" s="1"/>
      <c r="S248" s="1"/>
      <c r="T248" s="1"/>
      <c r="U248" s="1"/>
      <c r="V248" s="1"/>
      <c r="W248" s="1"/>
      <c r="X248" s="1"/>
    </row>
    <row r="249">
      <c r="A249" s="2"/>
      <c r="B249" s="2"/>
      <c r="C249" s="88"/>
      <c r="D249" s="89"/>
      <c r="E249" s="4"/>
      <c r="F249" s="91"/>
      <c r="G249" s="91"/>
      <c r="H249" s="4"/>
      <c r="I249" s="98"/>
      <c r="J249" s="2"/>
      <c r="K249" s="1"/>
      <c r="L249" s="1"/>
      <c r="M249" s="1"/>
      <c r="N249" s="1"/>
      <c r="O249" s="1"/>
      <c r="P249" s="1"/>
      <c r="Q249" s="1"/>
      <c r="R249" s="1"/>
      <c r="S249" s="1"/>
      <c r="T249" s="1"/>
      <c r="U249" s="1"/>
      <c r="V249" s="1"/>
      <c r="W249" s="1"/>
      <c r="X249" s="1"/>
    </row>
    <row r="250">
      <c r="A250" s="2"/>
      <c r="B250" s="2"/>
      <c r="C250" s="88"/>
      <c r="D250" s="89"/>
      <c r="E250" s="4"/>
      <c r="F250" s="91"/>
      <c r="G250" s="91"/>
      <c r="H250" s="4"/>
      <c r="I250" s="98"/>
      <c r="J250" s="2"/>
      <c r="K250" s="1"/>
      <c r="L250" s="1"/>
      <c r="M250" s="1"/>
      <c r="N250" s="1"/>
      <c r="O250" s="1"/>
      <c r="P250" s="1"/>
      <c r="Q250" s="1"/>
      <c r="R250" s="1"/>
      <c r="S250" s="1"/>
      <c r="T250" s="1"/>
      <c r="U250" s="1"/>
      <c r="V250" s="1"/>
      <c r="W250" s="1"/>
      <c r="X250" s="1"/>
    </row>
    <row r="251">
      <c r="A251" s="2"/>
      <c r="B251" s="2"/>
      <c r="C251" s="88"/>
      <c r="D251" s="89"/>
      <c r="E251" s="4"/>
      <c r="F251" s="91"/>
      <c r="G251" s="91"/>
      <c r="H251" s="4"/>
      <c r="I251" s="98"/>
      <c r="J251" s="2"/>
      <c r="K251" s="1"/>
      <c r="L251" s="1"/>
      <c r="M251" s="1"/>
      <c r="N251" s="1"/>
      <c r="O251" s="1"/>
      <c r="P251" s="1"/>
      <c r="Q251" s="1"/>
      <c r="R251" s="1"/>
      <c r="S251" s="1"/>
      <c r="T251" s="1"/>
      <c r="U251" s="1"/>
      <c r="V251" s="1"/>
      <c r="W251" s="1"/>
      <c r="X251" s="1"/>
    </row>
    <row r="252">
      <c r="A252" s="2"/>
      <c r="B252" s="2"/>
      <c r="C252" s="88"/>
      <c r="D252" s="89"/>
      <c r="E252" s="4"/>
      <c r="F252" s="91"/>
      <c r="G252" s="91"/>
      <c r="H252" s="4"/>
      <c r="I252" s="98"/>
      <c r="J252" s="2"/>
      <c r="K252" s="1"/>
      <c r="L252" s="1"/>
      <c r="M252" s="1"/>
      <c r="N252" s="1"/>
      <c r="O252" s="1"/>
      <c r="P252" s="1"/>
      <c r="Q252" s="1"/>
      <c r="R252" s="1"/>
      <c r="S252" s="1"/>
      <c r="T252" s="1"/>
      <c r="U252" s="1"/>
      <c r="V252" s="1"/>
      <c r="W252" s="1"/>
      <c r="X252" s="1"/>
    </row>
    <row r="253">
      <c r="A253" s="2"/>
      <c r="B253" s="2"/>
      <c r="C253" s="88"/>
      <c r="D253" s="89"/>
      <c r="E253" s="4"/>
      <c r="F253" s="91"/>
      <c r="G253" s="91"/>
      <c r="H253" s="4"/>
      <c r="I253" s="98"/>
      <c r="J253" s="2"/>
      <c r="K253" s="1"/>
      <c r="L253" s="1"/>
      <c r="M253" s="1"/>
      <c r="N253" s="1"/>
      <c r="O253" s="1"/>
      <c r="P253" s="1"/>
      <c r="Q253" s="1"/>
      <c r="R253" s="1"/>
      <c r="S253" s="1"/>
      <c r="T253" s="1"/>
      <c r="U253" s="1"/>
      <c r="V253" s="1"/>
      <c r="W253" s="1"/>
      <c r="X253" s="1"/>
    </row>
    <row r="254">
      <c r="A254" s="2"/>
      <c r="B254" s="2"/>
      <c r="C254" s="88"/>
      <c r="D254" s="89"/>
      <c r="E254" s="4"/>
      <c r="F254" s="91"/>
      <c r="G254" s="91"/>
      <c r="H254" s="4"/>
      <c r="I254" s="98"/>
      <c r="J254" s="2"/>
      <c r="K254" s="1"/>
      <c r="L254" s="1"/>
      <c r="M254" s="1"/>
      <c r="N254" s="1"/>
      <c r="O254" s="1"/>
      <c r="P254" s="1"/>
      <c r="Q254" s="1"/>
      <c r="R254" s="1"/>
      <c r="S254" s="1"/>
      <c r="T254" s="1"/>
      <c r="U254" s="1"/>
      <c r="V254" s="1"/>
      <c r="W254" s="1"/>
      <c r="X254" s="1"/>
    </row>
    <row r="255">
      <c r="A255" s="2"/>
      <c r="B255" s="2"/>
      <c r="C255" s="88"/>
      <c r="D255" s="89"/>
      <c r="E255" s="4"/>
      <c r="F255" s="91"/>
      <c r="G255" s="91"/>
      <c r="H255" s="4"/>
      <c r="I255" s="98"/>
      <c r="J255" s="2"/>
      <c r="K255" s="1"/>
      <c r="L255" s="1"/>
      <c r="M255" s="1"/>
      <c r="N255" s="1"/>
      <c r="O255" s="1"/>
      <c r="P255" s="1"/>
      <c r="Q255" s="1"/>
      <c r="R255" s="1"/>
      <c r="S255" s="1"/>
      <c r="T255" s="1"/>
      <c r="U255" s="1"/>
      <c r="V255" s="1"/>
      <c r="W255" s="1"/>
      <c r="X255" s="1"/>
    </row>
    <row r="256">
      <c r="A256" s="2"/>
      <c r="B256" s="2"/>
      <c r="C256" s="88"/>
      <c r="D256" s="89"/>
      <c r="E256" s="4"/>
      <c r="F256" s="91"/>
      <c r="G256" s="91"/>
      <c r="H256" s="4"/>
      <c r="I256" s="98"/>
      <c r="J256" s="2"/>
      <c r="K256" s="1"/>
      <c r="L256" s="1"/>
      <c r="M256" s="1"/>
      <c r="N256" s="1"/>
      <c r="O256" s="1"/>
      <c r="P256" s="1"/>
      <c r="Q256" s="1"/>
      <c r="R256" s="1"/>
      <c r="S256" s="1"/>
      <c r="T256" s="1"/>
      <c r="U256" s="1"/>
      <c r="V256" s="1"/>
      <c r="W256" s="1"/>
      <c r="X256" s="1"/>
    </row>
    <row r="257">
      <c r="A257" s="2"/>
      <c r="B257" s="2"/>
      <c r="C257" s="88"/>
      <c r="D257" s="89"/>
      <c r="E257" s="4"/>
      <c r="F257" s="91"/>
      <c r="G257" s="91"/>
      <c r="H257" s="4"/>
      <c r="I257" s="98"/>
      <c r="J257" s="2"/>
      <c r="K257" s="1"/>
      <c r="L257" s="1"/>
      <c r="M257" s="1"/>
      <c r="N257" s="1"/>
      <c r="O257" s="1"/>
      <c r="P257" s="1"/>
      <c r="Q257" s="1"/>
      <c r="R257" s="1"/>
      <c r="S257" s="1"/>
      <c r="T257" s="1"/>
      <c r="U257" s="1"/>
      <c r="V257" s="1"/>
      <c r="W257" s="1"/>
      <c r="X257" s="1"/>
    </row>
    <row r="258">
      <c r="A258" s="2"/>
      <c r="B258" s="2"/>
      <c r="C258" s="88"/>
      <c r="D258" s="89"/>
      <c r="E258" s="4"/>
      <c r="F258" s="91"/>
      <c r="G258" s="91"/>
      <c r="H258" s="4"/>
      <c r="I258" s="98"/>
      <c r="J258" s="2"/>
      <c r="K258" s="1"/>
      <c r="L258" s="1"/>
      <c r="M258" s="1"/>
      <c r="N258" s="1"/>
      <c r="O258" s="1"/>
      <c r="P258" s="1"/>
      <c r="Q258" s="1"/>
      <c r="R258" s="1"/>
      <c r="S258" s="1"/>
      <c r="T258" s="1"/>
      <c r="U258" s="1"/>
      <c r="V258" s="1"/>
      <c r="W258" s="1"/>
      <c r="X258" s="1"/>
    </row>
    <row r="259">
      <c r="A259" s="2"/>
      <c r="B259" s="2"/>
      <c r="C259" s="88"/>
      <c r="D259" s="89"/>
      <c r="E259" s="4"/>
      <c r="F259" s="91"/>
      <c r="G259" s="91"/>
      <c r="H259" s="4"/>
      <c r="I259" s="98"/>
      <c r="J259" s="2"/>
      <c r="K259" s="1"/>
      <c r="L259" s="1"/>
      <c r="M259" s="1"/>
      <c r="N259" s="1"/>
      <c r="O259" s="1"/>
      <c r="P259" s="1"/>
      <c r="Q259" s="1"/>
      <c r="R259" s="1"/>
      <c r="S259" s="1"/>
      <c r="T259" s="1"/>
      <c r="U259" s="1"/>
      <c r="V259" s="1"/>
      <c r="W259" s="1"/>
      <c r="X259" s="1"/>
    </row>
    <row r="260">
      <c r="A260" s="2"/>
      <c r="B260" s="2"/>
      <c r="C260" s="88"/>
      <c r="D260" s="89"/>
      <c r="E260" s="4"/>
      <c r="F260" s="91"/>
      <c r="G260" s="91"/>
      <c r="H260" s="4"/>
      <c r="I260" s="98"/>
      <c r="J260" s="2"/>
      <c r="K260" s="1"/>
      <c r="L260" s="1"/>
      <c r="M260" s="1"/>
      <c r="N260" s="1"/>
      <c r="O260" s="1"/>
      <c r="P260" s="1"/>
      <c r="Q260" s="1"/>
      <c r="R260" s="1"/>
      <c r="S260" s="1"/>
      <c r="T260" s="1"/>
      <c r="U260" s="1"/>
      <c r="V260" s="1"/>
      <c r="W260" s="1"/>
      <c r="X260" s="1"/>
    </row>
    <row r="261">
      <c r="A261" s="2"/>
      <c r="B261" s="2"/>
      <c r="C261" s="88"/>
      <c r="D261" s="89"/>
      <c r="E261" s="4"/>
      <c r="F261" s="91"/>
      <c r="G261" s="91"/>
      <c r="H261" s="4"/>
      <c r="I261" s="98"/>
      <c r="J261" s="2"/>
      <c r="K261" s="1"/>
      <c r="L261" s="1"/>
      <c r="M261" s="1"/>
      <c r="N261" s="1"/>
      <c r="O261" s="1"/>
      <c r="P261" s="1"/>
      <c r="Q261" s="1"/>
      <c r="R261" s="1"/>
      <c r="S261" s="1"/>
      <c r="T261" s="1"/>
      <c r="U261" s="1"/>
      <c r="V261" s="1"/>
      <c r="W261" s="1"/>
      <c r="X261" s="1"/>
    </row>
    <row r="262">
      <c r="A262" s="2"/>
      <c r="B262" s="2"/>
      <c r="C262" s="88"/>
      <c r="D262" s="89"/>
      <c r="E262" s="4"/>
      <c r="F262" s="91"/>
      <c r="G262" s="91"/>
      <c r="H262" s="4"/>
      <c r="I262" s="98"/>
      <c r="J262" s="2"/>
      <c r="K262" s="1"/>
      <c r="L262" s="1"/>
      <c r="M262" s="1"/>
      <c r="N262" s="1"/>
      <c r="O262" s="1"/>
      <c r="P262" s="1"/>
      <c r="Q262" s="1"/>
      <c r="R262" s="1"/>
      <c r="S262" s="1"/>
      <c r="T262" s="1"/>
      <c r="U262" s="1"/>
      <c r="V262" s="1"/>
      <c r="W262" s="1"/>
      <c r="X262" s="1"/>
    </row>
    <row r="263">
      <c r="A263" s="2"/>
      <c r="B263" s="2"/>
      <c r="C263" s="88"/>
      <c r="D263" s="89"/>
      <c r="E263" s="4"/>
      <c r="F263" s="91"/>
      <c r="G263" s="91"/>
      <c r="H263" s="4"/>
      <c r="I263" s="98"/>
      <c r="J263" s="2"/>
      <c r="K263" s="1"/>
      <c r="L263" s="1"/>
      <c r="M263" s="1"/>
      <c r="N263" s="1"/>
      <c r="O263" s="1"/>
      <c r="P263" s="1"/>
      <c r="Q263" s="1"/>
      <c r="R263" s="1"/>
      <c r="S263" s="1"/>
      <c r="T263" s="1"/>
      <c r="U263" s="1"/>
      <c r="V263" s="1"/>
      <c r="W263" s="1"/>
      <c r="X263" s="1"/>
    </row>
    <row r="264">
      <c r="A264" s="2"/>
      <c r="B264" s="2"/>
      <c r="C264" s="88"/>
      <c r="D264" s="89"/>
      <c r="E264" s="4"/>
      <c r="F264" s="91"/>
      <c r="G264" s="91"/>
      <c r="H264" s="4"/>
      <c r="I264" s="98"/>
      <c r="J264" s="2"/>
      <c r="K264" s="1"/>
      <c r="L264" s="1"/>
      <c r="M264" s="1"/>
      <c r="N264" s="1"/>
      <c r="O264" s="1"/>
      <c r="P264" s="1"/>
      <c r="Q264" s="1"/>
      <c r="R264" s="1"/>
      <c r="S264" s="1"/>
      <c r="T264" s="1"/>
      <c r="U264" s="1"/>
      <c r="V264" s="1"/>
      <c r="W264" s="1"/>
      <c r="X264" s="1"/>
    </row>
    <row r="265">
      <c r="A265" s="2"/>
      <c r="B265" s="2"/>
      <c r="C265" s="88"/>
      <c r="D265" s="89"/>
      <c r="E265" s="4"/>
      <c r="F265" s="91"/>
      <c r="G265" s="91"/>
      <c r="H265" s="4"/>
      <c r="I265" s="98"/>
      <c r="J265" s="2"/>
      <c r="K265" s="1"/>
      <c r="L265" s="1"/>
      <c r="M265" s="1"/>
      <c r="N265" s="1"/>
      <c r="O265" s="1"/>
      <c r="P265" s="1"/>
      <c r="Q265" s="1"/>
      <c r="R265" s="1"/>
      <c r="S265" s="1"/>
      <c r="T265" s="1"/>
      <c r="U265" s="1"/>
      <c r="V265" s="1"/>
      <c r="W265" s="1"/>
      <c r="X265" s="1"/>
    </row>
    <row r="266">
      <c r="A266" s="2"/>
      <c r="B266" s="2"/>
      <c r="C266" s="88"/>
      <c r="D266" s="89"/>
      <c r="E266" s="4"/>
      <c r="F266" s="91"/>
      <c r="G266" s="91"/>
      <c r="H266" s="4"/>
      <c r="I266" s="98"/>
      <c r="J266" s="2"/>
      <c r="K266" s="1"/>
      <c r="L266" s="1"/>
      <c r="M266" s="1"/>
      <c r="N266" s="1"/>
      <c r="O266" s="1"/>
      <c r="P266" s="1"/>
      <c r="Q266" s="1"/>
      <c r="R266" s="1"/>
      <c r="S266" s="1"/>
      <c r="T266" s="1"/>
      <c r="U266" s="1"/>
      <c r="V266" s="1"/>
      <c r="W266" s="1"/>
      <c r="X266" s="1"/>
    </row>
    <row r="267">
      <c r="A267" s="2"/>
      <c r="B267" s="2"/>
      <c r="C267" s="88"/>
      <c r="D267" s="89"/>
      <c r="E267" s="4"/>
      <c r="F267" s="91"/>
      <c r="G267" s="91"/>
      <c r="H267" s="4"/>
      <c r="I267" s="98"/>
      <c r="J267" s="2"/>
      <c r="K267" s="1"/>
      <c r="L267" s="1"/>
      <c r="M267" s="1"/>
      <c r="N267" s="1"/>
      <c r="O267" s="1"/>
      <c r="P267" s="1"/>
      <c r="Q267" s="1"/>
      <c r="R267" s="1"/>
      <c r="S267" s="1"/>
      <c r="T267" s="1"/>
      <c r="U267" s="1"/>
      <c r="V267" s="1"/>
      <c r="W267" s="1"/>
      <c r="X267" s="1"/>
    </row>
    <row r="268">
      <c r="A268" s="2"/>
      <c r="B268" s="2"/>
      <c r="C268" s="88"/>
      <c r="D268" s="89"/>
      <c r="E268" s="4"/>
      <c r="F268" s="91"/>
      <c r="G268" s="91"/>
      <c r="H268" s="4"/>
      <c r="I268" s="98"/>
      <c r="J268" s="2"/>
      <c r="K268" s="1"/>
      <c r="L268" s="1"/>
      <c r="M268" s="1"/>
      <c r="N268" s="1"/>
      <c r="O268" s="1"/>
      <c r="P268" s="1"/>
      <c r="Q268" s="1"/>
      <c r="R268" s="1"/>
      <c r="S268" s="1"/>
      <c r="T268" s="1"/>
      <c r="U268" s="1"/>
      <c r="V268" s="1"/>
      <c r="W268" s="1"/>
      <c r="X268" s="1"/>
    </row>
    <row r="269">
      <c r="A269" s="2"/>
      <c r="B269" s="2"/>
      <c r="C269" s="88"/>
      <c r="D269" s="89"/>
      <c r="E269" s="4"/>
      <c r="F269" s="91"/>
      <c r="G269" s="91"/>
      <c r="H269" s="4"/>
      <c r="I269" s="98"/>
      <c r="J269" s="2"/>
      <c r="K269" s="1"/>
      <c r="L269" s="1"/>
      <c r="M269" s="1"/>
      <c r="N269" s="1"/>
      <c r="O269" s="1"/>
      <c r="P269" s="1"/>
      <c r="Q269" s="1"/>
      <c r="R269" s="1"/>
      <c r="S269" s="1"/>
      <c r="T269" s="1"/>
      <c r="U269" s="1"/>
      <c r="V269" s="1"/>
      <c r="W269" s="1"/>
      <c r="X269" s="1"/>
    </row>
    <row r="270">
      <c r="A270" s="2"/>
      <c r="B270" s="2"/>
      <c r="C270" s="88"/>
      <c r="D270" s="89"/>
      <c r="E270" s="4"/>
      <c r="F270" s="91"/>
      <c r="G270" s="91"/>
      <c r="H270" s="4"/>
      <c r="I270" s="98"/>
      <c r="J270" s="2"/>
      <c r="K270" s="1"/>
      <c r="L270" s="1"/>
      <c r="M270" s="1"/>
      <c r="N270" s="1"/>
      <c r="O270" s="1"/>
      <c r="P270" s="1"/>
      <c r="Q270" s="1"/>
      <c r="R270" s="1"/>
      <c r="S270" s="1"/>
      <c r="T270" s="1"/>
      <c r="U270" s="1"/>
      <c r="V270" s="1"/>
      <c r="W270" s="1"/>
      <c r="X270" s="1"/>
    </row>
    <row r="271">
      <c r="A271" s="2"/>
      <c r="B271" s="2"/>
      <c r="C271" s="88"/>
      <c r="D271" s="89"/>
      <c r="E271" s="4"/>
      <c r="F271" s="91"/>
      <c r="G271" s="91"/>
      <c r="H271" s="4"/>
      <c r="I271" s="98"/>
      <c r="J271" s="2"/>
      <c r="K271" s="1"/>
      <c r="L271" s="1"/>
      <c r="M271" s="1"/>
      <c r="N271" s="1"/>
      <c r="O271" s="1"/>
      <c r="P271" s="1"/>
      <c r="Q271" s="1"/>
      <c r="R271" s="1"/>
      <c r="S271" s="1"/>
      <c r="T271" s="1"/>
      <c r="U271" s="1"/>
      <c r="V271" s="1"/>
      <c r="W271" s="1"/>
      <c r="X271" s="1"/>
    </row>
    <row r="272">
      <c r="A272" s="2"/>
      <c r="B272" s="2"/>
      <c r="C272" s="88"/>
      <c r="D272" s="89"/>
      <c r="E272" s="4"/>
      <c r="F272" s="91"/>
      <c r="G272" s="91"/>
      <c r="H272" s="4"/>
      <c r="I272" s="98"/>
      <c r="J272" s="2"/>
      <c r="K272" s="1"/>
      <c r="L272" s="1"/>
      <c r="M272" s="1"/>
      <c r="N272" s="1"/>
      <c r="O272" s="1"/>
      <c r="P272" s="1"/>
      <c r="Q272" s="1"/>
      <c r="R272" s="1"/>
      <c r="S272" s="1"/>
      <c r="T272" s="1"/>
      <c r="U272" s="1"/>
      <c r="V272" s="1"/>
      <c r="W272" s="1"/>
      <c r="X272" s="1"/>
    </row>
    <row r="273">
      <c r="A273" s="2"/>
      <c r="B273" s="2"/>
      <c r="C273" s="88"/>
      <c r="D273" s="89"/>
      <c r="E273" s="4"/>
      <c r="F273" s="91"/>
      <c r="G273" s="91"/>
      <c r="H273" s="4"/>
      <c r="I273" s="98"/>
      <c r="J273" s="2"/>
      <c r="K273" s="1"/>
      <c r="L273" s="1"/>
      <c r="M273" s="1"/>
      <c r="N273" s="1"/>
      <c r="O273" s="1"/>
      <c r="P273" s="1"/>
      <c r="Q273" s="1"/>
      <c r="R273" s="1"/>
      <c r="S273" s="1"/>
      <c r="T273" s="1"/>
      <c r="U273" s="1"/>
      <c r="V273" s="1"/>
      <c r="W273" s="1"/>
      <c r="X273" s="1"/>
    </row>
    <row r="274">
      <c r="A274" s="2"/>
      <c r="B274" s="2"/>
      <c r="C274" s="88"/>
      <c r="D274" s="89"/>
      <c r="E274" s="4"/>
      <c r="F274" s="91"/>
      <c r="G274" s="91"/>
      <c r="H274" s="4"/>
      <c r="I274" s="98"/>
      <c r="J274" s="2"/>
      <c r="K274" s="1"/>
      <c r="L274" s="1"/>
      <c r="M274" s="1"/>
      <c r="N274" s="1"/>
      <c r="O274" s="1"/>
      <c r="P274" s="1"/>
      <c r="Q274" s="1"/>
      <c r="R274" s="1"/>
      <c r="S274" s="1"/>
      <c r="T274" s="1"/>
      <c r="U274" s="1"/>
      <c r="V274" s="1"/>
      <c r="W274" s="1"/>
      <c r="X274" s="1"/>
    </row>
    <row r="275">
      <c r="A275" s="2"/>
      <c r="B275" s="2"/>
      <c r="C275" s="88"/>
      <c r="D275" s="89"/>
      <c r="E275" s="4"/>
      <c r="F275" s="91"/>
      <c r="G275" s="91"/>
      <c r="H275" s="4"/>
      <c r="I275" s="98"/>
      <c r="J275" s="2"/>
      <c r="K275" s="1"/>
      <c r="L275" s="1"/>
      <c r="M275" s="1"/>
      <c r="N275" s="1"/>
      <c r="O275" s="1"/>
      <c r="P275" s="1"/>
      <c r="Q275" s="1"/>
      <c r="R275" s="1"/>
      <c r="S275" s="1"/>
      <c r="T275" s="1"/>
      <c r="U275" s="1"/>
      <c r="V275" s="1"/>
      <c r="W275" s="1"/>
      <c r="X275" s="1"/>
    </row>
    <row r="276">
      <c r="A276" s="2"/>
      <c r="B276" s="2"/>
      <c r="C276" s="88"/>
      <c r="D276" s="89"/>
      <c r="E276" s="4"/>
      <c r="F276" s="91"/>
      <c r="G276" s="91"/>
      <c r="H276" s="4"/>
      <c r="I276" s="98"/>
      <c r="J276" s="2"/>
      <c r="K276" s="1"/>
      <c r="L276" s="1"/>
      <c r="M276" s="1"/>
      <c r="N276" s="1"/>
      <c r="O276" s="1"/>
      <c r="P276" s="1"/>
      <c r="Q276" s="1"/>
      <c r="R276" s="1"/>
      <c r="S276" s="1"/>
      <c r="T276" s="1"/>
      <c r="U276" s="1"/>
      <c r="V276" s="1"/>
      <c r="W276" s="1"/>
      <c r="X276" s="1"/>
    </row>
    <row r="277">
      <c r="A277" s="2"/>
      <c r="B277" s="2"/>
      <c r="C277" s="88"/>
      <c r="D277" s="89"/>
      <c r="E277" s="4"/>
      <c r="F277" s="91"/>
      <c r="G277" s="91"/>
      <c r="H277" s="4"/>
      <c r="I277" s="98"/>
      <c r="J277" s="2"/>
      <c r="K277" s="1"/>
      <c r="L277" s="1"/>
      <c r="M277" s="1"/>
      <c r="N277" s="1"/>
      <c r="O277" s="1"/>
      <c r="P277" s="1"/>
      <c r="Q277" s="1"/>
      <c r="R277" s="1"/>
      <c r="S277" s="1"/>
      <c r="T277" s="1"/>
      <c r="U277" s="1"/>
      <c r="V277" s="1"/>
      <c r="W277" s="1"/>
      <c r="X277" s="1"/>
    </row>
    <row r="278">
      <c r="A278" s="2"/>
      <c r="B278" s="2"/>
      <c r="C278" s="88"/>
      <c r="D278" s="89"/>
      <c r="E278" s="4"/>
      <c r="F278" s="91"/>
      <c r="G278" s="91"/>
      <c r="H278" s="4"/>
      <c r="I278" s="98"/>
      <c r="J278" s="2"/>
      <c r="K278" s="1"/>
      <c r="L278" s="1"/>
      <c r="M278" s="1"/>
      <c r="N278" s="1"/>
      <c r="O278" s="1"/>
      <c r="P278" s="1"/>
      <c r="Q278" s="1"/>
      <c r="R278" s="1"/>
      <c r="S278" s="1"/>
      <c r="T278" s="1"/>
      <c r="U278" s="1"/>
      <c r="V278" s="1"/>
      <c r="W278" s="1"/>
      <c r="X278" s="1"/>
    </row>
    <row r="279">
      <c r="A279" s="2"/>
      <c r="B279" s="2"/>
      <c r="C279" s="88"/>
      <c r="D279" s="89"/>
      <c r="E279" s="4"/>
      <c r="F279" s="91"/>
      <c r="G279" s="91"/>
      <c r="H279" s="4"/>
      <c r="I279" s="98"/>
      <c r="J279" s="2"/>
      <c r="K279" s="1"/>
      <c r="L279" s="1"/>
      <c r="M279" s="1"/>
      <c r="N279" s="1"/>
      <c r="O279" s="1"/>
      <c r="P279" s="1"/>
      <c r="Q279" s="1"/>
      <c r="R279" s="1"/>
      <c r="S279" s="1"/>
      <c r="T279" s="1"/>
      <c r="U279" s="1"/>
      <c r="V279" s="1"/>
      <c r="W279" s="1"/>
      <c r="X279" s="1"/>
    </row>
    <row r="280">
      <c r="A280" s="2"/>
      <c r="B280" s="2"/>
      <c r="C280" s="88"/>
      <c r="D280" s="89"/>
      <c r="E280" s="4"/>
      <c r="F280" s="91"/>
      <c r="G280" s="91"/>
      <c r="H280" s="4"/>
      <c r="I280" s="98"/>
      <c r="J280" s="2"/>
      <c r="K280" s="1"/>
      <c r="L280" s="1"/>
      <c r="M280" s="1"/>
      <c r="N280" s="1"/>
      <c r="O280" s="1"/>
      <c r="P280" s="1"/>
      <c r="Q280" s="1"/>
      <c r="R280" s="1"/>
      <c r="S280" s="1"/>
      <c r="T280" s="1"/>
      <c r="U280" s="1"/>
      <c r="V280" s="1"/>
      <c r="W280" s="1"/>
      <c r="X280" s="1"/>
    </row>
    <row r="281">
      <c r="A281" s="2"/>
      <c r="B281" s="2"/>
      <c r="C281" s="88"/>
      <c r="D281" s="89"/>
      <c r="E281" s="4"/>
      <c r="F281" s="91"/>
      <c r="G281" s="91"/>
      <c r="H281" s="4"/>
      <c r="I281" s="98"/>
      <c r="J281" s="2"/>
      <c r="K281" s="1"/>
      <c r="L281" s="1"/>
      <c r="M281" s="1"/>
      <c r="N281" s="1"/>
      <c r="O281" s="1"/>
      <c r="P281" s="1"/>
      <c r="Q281" s="1"/>
      <c r="R281" s="1"/>
      <c r="S281" s="1"/>
      <c r="T281" s="1"/>
      <c r="U281" s="1"/>
      <c r="V281" s="1"/>
      <c r="W281" s="1"/>
      <c r="X281" s="1"/>
    </row>
    <row r="282">
      <c r="A282" s="2"/>
      <c r="B282" s="2"/>
      <c r="C282" s="88"/>
      <c r="D282" s="89"/>
      <c r="E282" s="4"/>
      <c r="F282" s="91"/>
      <c r="G282" s="91"/>
      <c r="H282" s="4"/>
      <c r="I282" s="98"/>
      <c r="J282" s="2"/>
      <c r="K282" s="1"/>
      <c r="L282" s="1"/>
      <c r="M282" s="1"/>
      <c r="N282" s="1"/>
      <c r="O282" s="1"/>
      <c r="P282" s="1"/>
      <c r="Q282" s="1"/>
      <c r="R282" s="1"/>
      <c r="S282" s="1"/>
      <c r="T282" s="1"/>
      <c r="U282" s="1"/>
      <c r="V282" s="1"/>
      <c r="W282" s="1"/>
      <c r="X282" s="1"/>
    </row>
    <row r="283">
      <c r="A283" s="2"/>
      <c r="B283" s="2"/>
      <c r="C283" s="88"/>
      <c r="D283" s="89"/>
      <c r="E283" s="4"/>
      <c r="F283" s="91"/>
      <c r="G283" s="91"/>
      <c r="H283" s="4"/>
      <c r="I283" s="98"/>
      <c r="J283" s="2"/>
      <c r="K283" s="1"/>
      <c r="L283" s="1"/>
      <c r="M283" s="1"/>
      <c r="N283" s="1"/>
      <c r="O283" s="1"/>
      <c r="P283" s="1"/>
      <c r="Q283" s="1"/>
      <c r="R283" s="1"/>
      <c r="S283" s="1"/>
      <c r="T283" s="1"/>
      <c r="U283" s="1"/>
      <c r="V283" s="1"/>
      <c r="W283" s="1"/>
      <c r="X283" s="1"/>
    </row>
    <row r="284">
      <c r="A284" s="2"/>
      <c r="B284" s="2"/>
      <c r="C284" s="88"/>
      <c r="D284" s="89"/>
      <c r="E284" s="4"/>
      <c r="F284" s="91"/>
      <c r="G284" s="91"/>
      <c r="H284" s="4"/>
      <c r="I284" s="98"/>
      <c r="J284" s="2"/>
      <c r="K284" s="1"/>
      <c r="L284" s="1"/>
      <c r="M284" s="1"/>
      <c r="N284" s="1"/>
      <c r="O284" s="1"/>
      <c r="P284" s="1"/>
      <c r="Q284" s="1"/>
      <c r="R284" s="1"/>
      <c r="S284" s="1"/>
      <c r="T284" s="1"/>
      <c r="U284" s="1"/>
      <c r="V284" s="1"/>
      <c r="W284" s="1"/>
      <c r="X284" s="1"/>
    </row>
    <row r="285">
      <c r="A285" s="2"/>
      <c r="B285" s="2"/>
      <c r="C285" s="88"/>
      <c r="D285" s="89"/>
      <c r="E285" s="4"/>
      <c r="F285" s="91"/>
      <c r="G285" s="91"/>
      <c r="H285" s="4"/>
      <c r="I285" s="98"/>
      <c r="J285" s="2"/>
      <c r="K285" s="1"/>
      <c r="L285" s="1"/>
      <c r="M285" s="1"/>
      <c r="N285" s="1"/>
      <c r="O285" s="1"/>
      <c r="P285" s="1"/>
      <c r="Q285" s="1"/>
      <c r="R285" s="1"/>
      <c r="S285" s="1"/>
      <c r="T285" s="1"/>
      <c r="U285" s="1"/>
      <c r="V285" s="1"/>
      <c r="W285" s="1"/>
      <c r="X285" s="1"/>
    </row>
    <row r="286">
      <c r="A286" s="2"/>
      <c r="B286" s="2"/>
      <c r="C286" s="88"/>
      <c r="D286" s="89"/>
      <c r="E286" s="4"/>
      <c r="F286" s="91"/>
      <c r="G286" s="91"/>
      <c r="H286" s="4"/>
      <c r="I286" s="98"/>
      <c r="J286" s="2"/>
      <c r="K286" s="1"/>
      <c r="L286" s="1"/>
      <c r="M286" s="1"/>
      <c r="N286" s="1"/>
      <c r="O286" s="1"/>
      <c r="P286" s="1"/>
      <c r="Q286" s="1"/>
      <c r="R286" s="1"/>
      <c r="S286" s="1"/>
      <c r="T286" s="1"/>
      <c r="U286" s="1"/>
      <c r="V286" s="1"/>
      <c r="W286" s="1"/>
      <c r="X286" s="1"/>
    </row>
    <row r="287">
      <c r="A287" s="2"/>
      <c r="B287" s="2"/>
      <c r="C287" s="88"/>
      <c r="D287" s="89"/>
      <c r="E287" s="4"/>
      <c r="F287" s="91"/>
      <c r="G287" s="91"/>
      <c r="H287" s="4"/>
      <c r="I287" s="98"/>
      <c r="J287" s="2"/>
      <c r="K287" s="1"/>
      <c r="L287" s="1"/>
      <c r="M287" s="1"/>
      <c r="N287" s="1"/>
      <c r="O287" s="1"/>
      <c r="P287" s="1"/>
      <c r="Q287" s="1"/>
      <c r="R287" s="1"/>
      <c r="S287" s="1"/>
      <c r="T287" s="1"/>
      <c r="U287" s="1"/>
      <c r="V287" s="1"/>
      <c r="W287" s="1"/>
      <c r="X287" s="1"/>
    </row>
    <row r="288">
      <c r="A288" s="2"/>
      <c r="B288" s="2"/>
      <c r="C288" s="88"/>
      <c r="D288" s="89"/>
      <c r="E288" s="4"/>
      <c r="F288" s="91"/>
      <c r="G288" s="91"/>
      <c r="H288" s="4"/>
      <c r="I288" s="98"/>
      <c r="J288" s="2"/>
      <c r="K288" s="1"/>
      <c r="L288" s="1"/>
      <c r="M288" s="1"/>
      <c r="N288" s="1"/>
      <c r="O288" s="1"/>
      <c r="P288" s="1"/>
      <c r="Q288" s="1"/>
      <c r="R288" s="1"/>
      <c r="S288" s="1"/>
      <c r="T288" s="1"/>
      <c r="U288" s="1"/>
      <c r="V288" s="1"/>
      <c r="W288" s="1"/>
      <c r="X288" s="1"/>
    </row>
    <row r="289">
      <c r="A289" s="2"/>
      <c r="B289" s="2"/>
      <c r="C289" s="88"/>
      <c r="D289" s="89"/>
      <c r="E289" s="4"/>
      <c r="F289" s="91"/>
      <c r="G289" s="91"/>
      <c r="H289" s="4"/>
      <c r="I289" s="98"/>
      <c r="J289" s="2"/>
      <c r="K289" s="1"/>
      <c r="L289" s="1"/>
      <c r="M289" s="1"/>
      <c r="N289" s="1"/>
      <c r="O289" s="1"/>
      <c r="P289" s="1"/>
      <c r="Q289" s="1"/>
      <c r="R289" s="1"/>
      <c r="S289" s="1"/>
      <c r="T289" s="1"/>
      <c r="U289" s="1"/>
      <c r="V289" s="1"/>
      <c r="W289" s="1"/>
      <c r="X289" s="1"/>
    </row>
    <row r="290">
      <c r="A290" s="2"/>
      <c r="B290" s="2"/>
      <c r="C290" s="88"/>
      <c r="D290" s="89"/>
      <c r="E290" s="4"/>
      <c r="F290" s="91"/>
      <c r="G290" s="91"/>
      <c r="H290" s="4"/>
      <c r="I290" s="98"/>
      <c r="J290" s="2"/>
      <c r="K290" s="1"/>
      <c r="L290" s="1"/>
      <c r="M290" s="1"/>
      <c r="N290" s="1"/>
      <c r="O290" s="1"/>
      <c r="P290" s="1"/>
      <c r="Q290" s="1"/>
      <c r="R290" s="1"/>
      <c r="S290" s="1"/>
      <c r="T290" s="1"/>
      <c r="U290" s="1"/>
      <c r="V290" s="1"/>
      <c r="W290" s="1"/>
      <c r="X290" s="1"/>
    </row>
    <row r="291">
      <c r="A291" s="2"/>
      <c r="B291" s="2"/>
      <c r="C291" s="88"/>
      <c r="D291" s="89"/>
      <c r="E291" s="4"/>
      <c r="F291" s="91"/>
      <c r="G291" s="91"/>
      <c r="H291" s="4"/>
      <c r="I291" s="98"/>
      <c r="J291" s="2"/>
      <c r="K291" s="1"/>
      <c r="L291" s="1"/>
      <c r="M291" s="1"/>
      <c r="N291" s="1"/>
      <c r="O291" s="1"/>
      <c r="P291" s="1"/>
      <c r="Q291" s="1"/>
      <c r="R291" s="1"/>
      <c r="S291" s="1"/>
      <c r="T291" s="1"/>
      <c r="U291" s="1"/>
      <c r="V291" s="1"/>
      <c r="W291" s="1"/>
      <c r="X291" s="1"/>
    </row>
    <row r="292">
      <c r="A292" s="2"/>
      <c r="B292" s="2"/>
      <c r="C292" s="88"/>
      <c r="D292" s="89"/>
      <c r="E292" s="4"/>
      <c r="F292" s="91"/>
      <c r="G292" s="91"/>
      <c r="H292" s="4"/>
      <c r="I292" s="98"/>
      <c r="J292" s="2"/>
      <c r="K292" s="1"/>
      <c r="L292" s="1"/>
      <c r="M292" s="1"/>
      <c r="N292" s="1"/>
      <c r="O292" s="1"/>
      <c r="P292" s="1"/>
      <c r="Q292" s="1"/>
      <c r="R292" s="1"/>
      <c r="S292" s="1"/>
      <c r="T292" s="1"/>
      <c r="U292" s="1"/>
      <c r="V292" s="1"/>
      <c r="W292" s="1"/>
      <c r="X292" s="1"/>
    </row>
    <row r="293">
      <c r="A293" s="2"/>
      <c r="B293" s="2"/>
      <c r="C293" s="88"/>
      <c r="D293" s="89"/>
      <c r="E293" s="4"/>
      <c r="F293" s="91"/>
      <c r="G293" s="91"/>
      <c r="H293" s="4"/>
      <c r="I293" s="98"/>
      <c r="J293" s="2"/>
      <c r="K293" s="1"/>
      <c r="L293" s="1"/>
      <c r="M293" s="1"/>
      <c r="N293" s="1"/>
      <c r="O293" s="1"/>
      <c r="P293" s="1"/>
      <c r="Q293" s="1"/>
      <c r="R293" s="1"/>
      <c r="S293" s="1"/>
      <c r="T293" s="1"/>
      <c r="U293" s="1"/>
      <c r="V293" s="1"/>
      <c r="W293" s="1"/>
      <c r="X293" s="1"/>
    </row>
    <row r="294">
      <c r="A294" s="2"/>
      <c r="B294" s="2"/>
      <c r="C294" s="88"/>
      <c r="D294" s="89"/>
      <c r="E294" s="4"/>
      <c r="F294" s="91"/>
      <c r="G294" s="91"/>
      <c r="H294" s="4"/>
      <c r="I294" s="98"/>
      <c r="J294" s="2"/>
      <c r="K294" s="1"/>
      <c r="L294" s="1"/>
      <c r="M294" s="1"/>
      <c r="N294" s="1"/>
      <c r="O294" s="1"/>
      <c r="P294" s="1"/>
      <c r="Q294" s="1"/>
      <c r="R294" s="1"/>
      <c r="S294" s="1"/>
      <c r="T294" s="1"/>
      <c r="U294" s="1"/>
      <c r="V294" s="1"/>
      <c r="W294" s="1"/>
      <c r="X294" s="1"/>
    </row>
    <row r="295">
      <c r="A295" s="2"/>
      <c r="B295" s="2"/>
      <c r="C295" s="88"/>
      <c r="D295" s="89"/>
      <c r="E295" s="4"/>
      <c r="F295" s="91"/>
      <c r="G295" s="91"/>
      <c r="H295" s="4"/>
      <c r="I295" s="98"/>
      <c r="J295" s="2"/>
      <c r="K295" s="1"/>
      <c r="L295" s="1"/>
      <c r="M295" s="1"/>
      <c r="N295" s="1"/>
      <c r="O295" s="1"/>
      <c r="P295" s="1"/>
      <c r="Q295" s="1"/>
      <c r="R295" s="1"/>
      <c r="S295" s="1"/>
      <c r="T295" s="1"/>
      <c r="U295" s="1"/>
      <c r="V295" s="1"/>
      <c r="W295" s="1"/>
      <c r="X295" s="1"/>
    </row>
    <row r="296">
      <c r="A296" s="2"/>
      <c r="B296" s="2"/>
      <c r="C296" s="88"/>
      <c r="D296" s="89"/>
      <c r="E296" s="4"/>
      <c r="F296" s="91"/>
      <c r="G296" s="91"/>
      <c r="H296" s="4"/>
      <c r="I296" s="98"/>
      <c r="J296" s="2"/>
      <c r="K296" s="1"/>
      <c r="L296" s="1"/>
      <c r="M296" s="1"/>
      <c r="N296" s="1"/>
      <c r="O296" s="1"/>
      <c r="P296" s="1"/>
      <c r="Q296" s="1"/>
      <c r="R296" s="1"/>
      <c r="S296" s="1"/>
      <c r="T296" s="1"/>
      <c r="U296" s="1"/>
      <c r="V296" s="1"/>
      <c r="W296" s="1"/>
      <c r="X296" s="1"/>
    </row>
    <row r="297">
      <c r="A297" s="2"/>
      <c r="B297" s="2"/>
      <c r="C297" s="88"/>
      <c r="D297" s="89"/>
      <c r="E297" s="4"/>
      <c r="F297" s="91"/>
      <c r="G297" s="91"/>
      <c r="H297" s="4"/>
      <c r="I297" s="98"/>
      <c r="J297" s="2"/>
      <c r="K297" s="1"/>
      <c r="L297" s="1"/>
      <c r="M297" s="1"/>
      <c r="N297" s="1"/>
      <c r="O297" s="1"/>
      <c r="P297" s="1"/>
      <c r="Q297" s="1"/>
      <c r="R297" s="1"/>
      <c r="S297" s="1"/>
      <c r="T297" s="1"/>
      <c r="U297" s="1"/>
      <c r="V297" s="1"/>
      <c r="W297" s="1"/>
      <c r="X297" s="1"/>
    </row>
    <row r="298">
      <c r="A298" s="2"/>
      <c r="B298" s="2"/>
      <c r="C298" s="88"/>
      <c r="D298" s="89"/>
      <c r="E298" s="4"/>
      <c r="F298" s="91"/>
      <c r="G298" s="91"/>
      <c r="H298" s="4"/>
      <c r="I298" s="98"/>
      <c r="J298" s="2"/>
      <c r="K298" s="1"/>
      <c r="L298" s="1"/>
      <c r="M298" s="1"/>
      <c r="N298" s="1"/>
      <c r="O298" s="1"/>
      <c r="P298" s="1"/>
      <c r="Q298" s="1"/>
      <c r="R298" s="1"/>
      <c r="S298" s="1"/>
      <c r="T298" s="1"/>
      <c r="U298" s="1"/>
      <c r="V298" s="1"/>
      <c r="W298" s="1"/>
      <c r="X298" s="1"/>
    </row>
    <row r="299">
      <c r="A299" s="2"/>
      <c r="B299" s="2"/>
      <c r="C299" s="88"/>
      <c r="D299" s="89"/>
      <c r="E299" s="4"/>
      <c r="F299" s="91"/>
      <c r="G299" s="91"/>
      <c r="H299" s="4"/>
      <c r="I299" s="98"/>
      <c r="J299" s="2"/>
      <c r="K299" s="1"/>
      <c r="L299" s="1"/>
      <c r="M299" s="1"/>
      <c r="N299" s="1"/>
      <c r="O299" s="1"/>
      <c r="P299" s="1"/>
      <c r="Q299" s="1"/>
      <c r="R299" s="1"/>
      <c r="S299" s="1"/>
      <c r="T299" s="1"/>
      <c r="U299" s="1"/>
      <c r="V299" s="1"/>
      <c r="W299" s="1"/>
      <c r="X299" s="1"/>
    </row>
    <row r="300">
      <c r="A300" s="2"/>
      <c r="B300" s="2"/>
      <c r="C300" s="88"/>
      <c r="D300" s="89"/>
      <c r="E300" s="4"/>
      <c r="F300" s="91"/>
      <c r="G300" s="91"/>
      <c r="H300" s="4"/>
      <c r="I300" s="98"/>
      <c r="J300" s="2"/>
      <c r="K300" s="1"/>
      <c r="L300" s="1"/>
      <c r="M300" s="1"/>
      <c r="N300" s="1"/>
      <c r="O300" s="1"/>
      <c r="P300" s="1"/>
      <c r="Q300" s="1"/>
      <c r="R300" s="1"/>
      <c r="S300" s="1"/>
      <c r="T300" s="1"/>
      <c r="U300" s="1"/>
      <c r="V300" s="1"/>
      <c r="W300" s="1"/>
      <c r="X300" s="1"/>
    </row>
    <row r="301">
      <c r="A301" s="2"/>
      <c r="B301" s="2"/>
      <c r="C301" s="88"/>
      <c r="D301" s="89"/>
      <c r="E301" s="4"/>
      <c r="F301" s="91"/>
      <c r="G301" s="91"/>
      <c r="H301" s="4"/>
      <c r="I301" s="98"/>
      <c r="J301" s="2"/>
      <c r="K301" s="1"/>
      <c r="L301" s="1"/>
      <c r="M301" s="1"/>
      <c r="N301" s="1"/>
      <c r="O301" s="1"/>
      <c r="P301" s="1"/>
      <c r="Q301" s="1"/>
      <c r="R301" s="1"/>
      <c r="S301" s="1"/>
      <c r="T301" s="1"/>
      <c r="U301" s="1"/>
      <c r="V301" s="1"/>
      <c r="W301" s="1"/>
      <c r="X301" s="1"/>
    </row>
    <row r="302">
      <c r="A302" s="2"/>
      <c r="B302" s="2"/>
      <c r="C302" s="88"/>
      <c r="D302" s="89"/>
      <c r="E302" s="4"/>
      <c r="F302" s="91"/>
      <c r="G302" s="91"/>
      <c r="H302" s="4"/>
      <c r="I302" s="98"/>
      <c r="J302" s="2"/>
      <c r="K302" s="1"/>
      <c r="L302" s="1"/>
      <c r="M302" s="1"/>
      <c r="N302" s="1"/>
      <c r="O302" s="1"/>
      <c r="P302" s="1"/>
      <c r="Q302" s="1"/>
      <c r="R302" s="1"/>
      <c r="S302" s="1"/>
      <c r="T302" s="1"/>
      <c r="U302" s="1"/>
      <c r="V302" s="1"/>
      <c r="W302" s="1"/>
      <c r="X302" s="1"/>
    </row>
    <row r="303">
      <c r="A303" s="2"/>
      <c r="B303" s="2"/>
      <c r="C303" s="88"/>
      <c r="D303" s="89"/>
      <c r="E303" s="4"/>
      <c r="F303" s="91"/>
      <c r="G303" s="91"/>
      <c r="H303" s="4"/>
      <c r="I303" s="98"/>
      <c r="J303" s="2"/>
      <c r="K303" s="1"/>
      <c r="L303" s="1"/>
      <c r="M303" s="1"/>
      <c r="N303" s="1"/>
      <c r="O303" s="1"/>
      <c r="P303" s="1"/>
      <c r="Q303" s="1"/>
      <c r="R303" s="1"/>
      <c r="S303" s="1"/>
      <c r="T303" s="1"/>
      <c r="U303" s="1"/>
      <c r="V303" s="1"/>
      <c r="W303" s="1"/>
      <c r="X303" s="1"/>
    </row>
    <row r="304">
      <c r="A304" s="2"/>
      <c r="B304" s="2"/>
      <c r="C304" s="88"/>
      <c r="D304" s="89"/>
      <c r="E304" s="4"/>
      <c r="F304" s="91"/>
      <c r="G304" s="91"/>
      <c r="H304" s="4"/>
      <c r="I304" s="98"/>
      <c r="J304" s="2"/>
      <c r="K304" s="1"/>
      <c r="L304" s="1"/>
      <c r="M304" s="1"/>
      <c r="N304" s="1"/>
      <c r="O304" s="1"/>
      <c r="P304" s="1"/>
      <c r="Q304" s="1"/>
      <c r="R304" s="1"/>
      <c r="S304" s="1"/>
      <c r="T304" s="1"/>
      <c r="U304" s="1"/>
      <c r="V304" s="1"/>
      <c r="W304" s="1"/>
      <c r="X304" s="1"/>
    </row>
    <row r="305">
      <c r="A305" s="2"/>
      <c r="B305" s="2"/>
      <c r="C305" s="88"/>
      <c r="D305" s="89"/>
      <c r="E305" s="4"/>
      <c r="F305" s="91"/>
      <c r="G305" s="91"/>
      <c r="H305" s="4"/>
      <c r="I305" s="98"/>
      <c r="J305" s="2"/>
      <c r="K305" s="1"/>
      <c r="L305" s="1"/>
      <c r="M305" s="1"/>
      <c r="N305" s="1"/>
      <c r="O305" s="1"/>
      <c r="P305" s="1"/>
      <c r="Q305" s="1"/>
      <c r="R305" s="1"/>
      <c r="S305" s="1"/>
      <c r="T305" s="1"/>
      <c r="U305" s="1"/>
      <c r="V305" s="1"/>
      <c r="W305" s="1"/>
      <c r="X305" s="1"/>
    </row>
    <row r="306">
      <c r="A306" s="2"/>
      <c r="B306" s="2"/>
      <c r="C306" s="88"/>
      <c r="D306" s="89"/>
      <c r="E306" s="4"/>
      <c r="F306" s="91"/>
      <c r="G306" s="91"/>
      <c r="H306" s="4"/>
      <c r="I306" s="98"/>
      <c r="J306" s="2"/>
      <c r="K306" s="1"/>
      <c r="L306" s="1"/>
      <c r="M306" s="1"/>
      <c r="N306" s="1"/>
      <c r="O306" s="1"/>
      <c r="P306" s="1"/>
      <c r="Q306" s="1"/>
      <c r="R306" s="1"/>
      <c r="S306" s="1"/>
      <c r="T306" s="1"/>
      <c r="U306" s="1"/>
      <c r="V306" s="1"/>
      <c r="W306" s="1"/>
      <c r="X306" s="1"/>
    </row>
    <row r="307">
      <c r="A307" s="2"/>
      <c r="B307" s="2"/>
      <c r="C307" s="88"/>
      <c r="D307" s="89"/>
      <c r="E307" s="4"/>
      <c r="F307" s="91"/>
      <c r="G307" s="91"/>
      <c r="H307" s="4"/>
      <c r="I307" s="98"/>
      <c r="J307" s="2"/>
      <c r="K307" s="1"/>
      <c r="L307" s="1"/>
      <c r="M307" s="1"/>
      <c r="N307" s="1"/>
      <c r="O307" s="1"/>
      <c r="P307" s="1"/>
      <c r="Q307" s="1"/>
      <c r="R307" s="1"/>
      <c r="S307" s="1"/>
      <c r="T307" s="1"/>
      <c r="U307" s="1"/>
      <c r="V307" s="1"/>
      <c r="W307" s="1"/>
      <c r="X307" s="1"/>
    </row>
    <row r="308">
      <c r="A308" s="2"/>
      <c r="B308" s="2"/>
      <c r="C308" s="88"/>
      <c r="D308" s="89"/>
      <c r="E308" s="4"/>
      <c r="F308" s="91"/>
      <c r="G308" s="91"/>
      <c r="H308" s="4"/>
      <c r="I308" s="98"/>
      <c r="J308" s="2"/>
      <c r="K308" s="1"/>
      <c r="L308" s="1"/>
      <c r="M308" s="1"/>
      <c r="N308" s="1"/>
      <c r="O308" s="1"/>
      <c r="P308" s="1"/>
      <c r="Q308" s="1"/>
      <c r="R308" s="1"/>
      <c r="S308" s="1"/>
      <c r="T308" s="1"/>
      <c r="U308" s="1"/>
      <c r="V308" s="1"/>
      <c r="W308" s="1"/>
      <c r="X308" s="1"/>
    </row>
    <row r="309">
      <c r="A309" s="2"/>
      <c r="B309" s="2"/>
      <c r="C309" s="88"/>
      <c r="D309" s="89"/>
      <c r="E309" s="4"/>
      <c r="F309" s="91"/>
      <c r="G309" s="91"/>
      <c r="H309" s="4"/>
      <c r="I309" s="98"/>
      <c r="J309" s="2"/>
      <c r="K309" s="1"/>
      <c r="L309" s="1"/>
      <c r="M309" s="1"/>
      <c r="N309" s="1"/>
      <c r="O309" s="1"/>
      <c r="P309" s="1"/>
      <c r="Q309" s="1"/>
      <c r="R309" s="1"/>
      <c r="S309" s="1"/>
      <c r="T309" s="1"/>
      <c r="U309" s="1"/>
      <c r="V309" s="1"/>
      <c r="W309" s="1"/>
      <c r="X309" s="1"/>
    </row>
    <row r="310">
      <c r="A310" s="2"/>
      <c r="B310" s="2"/>
      <c r="C310" s="88"/>
      <c r="D310" s="89"/>
      <c r="E310" s="4"/>
      <c r="F310" s="91"/>
      <c r="G310" s="91"/>
      <c r="H310" s="4"/>
      <c r="I310" s="98"/>
      <c r="J310" s="2"/>
      <c r="K310" s="1"/>
      <c r="L310" s="1"/>
      <c r="M310" s="1"/>
      <c r="N310" s="1"/>
      <c r="O310" s="1"/>
      <c r="P310" s="1"/>
      <c r="Q310" s="1"/>
      <c r="R310" s="1"/>
      <c r="S310" s="1"/>
      <c r="T310" s="1"/>
      <c r="U310" s="1"/>
      <c r="V310" s="1"/>
      <c r="W310" s="1"/>
      <c r="X310" s="1"/>
    </row>
    <row r="311">
      <c r="A311" s="2"/>
      <c r="B311" s="2"/>
      <c r="C311" s="88"/>
      <c r="D311" s="89"/>
      <c r="E311" s="4"/>
      <c r="F311" s="91"/>
      <c r="G311" s="91"/>
      <c r="H311" s="4"/>
      <c r="I311" s="98"/>
      <c r="J311" s="2"/>
      <c r="K311" s="1"/>
      <c r="L311" s="1"/>
      <c r="M311" s="1"/>
      <c r="N311" s="1"/>
      <c r="O311" s="1"/>
      <c r="P311" s="1"/>
      <c r="Q311" s="1"/>
      <c r="R311" s="1"/>
      <c r="S311" s="1"/>
      <c r="T311" s="1"/>
      <c r="U311" s="1"/>
      <c r="V311" s="1"/>
      <c r="W311" s="1"/>
      <c r="X311" s="1"/>
    </row>
    <row r="312">
      <c r="A312" s="2"/>
      <c r="B312" s="2"/>
      <c r="C312" s="88"/>
      <c r="D312" s="89"/>
      <c r="E312" s="4"/>
      <c r="F312" s="91"/>
      <c r="G312" s="91"/>
      <c r="H312" s="4"/>
      <c r="I312" s="98"/>
      <c r="J312" s="2"/>
      <c r="K312" s="1"/>
      <c r="L312" s="1"/>
      <c r="M312" s="1"/>
      <c r="N312" s="1"/>
      <c r="O312" s="1"/>
      <c r="P312" s="1"/>
      <c r="Q312" s="1"/>
      <c r="R312" s="1"/>
      <c r="S312" s="1"/>
      <c r="T312" s="1"/>
      <c r="U312" s="1"/>
      <c r="V312" s="1"/>
      <c r="W312" s="1"/>
      <c r="X312" s="1"/>
    </row>
    <row r="313">
      <c r="A313" s="2"/>
      <c r="B313" s="2"/>
      <c r="C313" s="88"/>
      <c r="D313" s="89"/>
      <c r="E313" s="4"/>
      <c r="F313" s="91"/>
      <c r="G313" s="91"/>
      <c r="H313" s="4"/>
      <c r="I313" s="98"/>
      <c r="J313" s="2"/>
      <c r="K313" s="1"/>
      <c r="L313" s="1"/>
      <c r="M313" s="1"/>
      <c r="N313" s="1"/>
      <c r="O313" s="1"/>
      <c r="P313" s="1"/>
      <c r="Q313" s="1"/>
      <c r="R313" s="1"/>
      <c r="S313" s="1"/>
      <c r="T313" s="1"/>
      <c r="U313" s="1"/>
      <c r="V313" s="1"/>
      <c r="W313" s="1"/>
      <c r="X313" s="1"/>
    </row>
    <row r="314">
      <c r="A314" s="2"/>
      <c r="B314" s="2"/>
      <c r="C314" s="88"/>
      <c r="D314" s="89"/>
      <c r="E314" s="4"/>
      <c r="F314" s="91"/>
      <c r="G314" s="91"/>
      <c r="H314" s="4"/>
      <c r="I314" s="98"/>
      <c r="J314" s="2"/>
      <c r="K314" s="1"/>
      <c r="L314" s="1"/>
      <c r="M314" s="1"/>
      <c r="N314" s="1"/>
      <c r="O314" s="1"/>
      <c r="P314" s="1"/>
      <c r="Q314" s="1"/>
      <c r="R314" s="1"/>
      <c r="S314" s="1"/>
      <c r="T314" s="1"/>
      <c r="U314" s="1"/>
      <c r="V314" s="1"/>
      <c r="W314" s="1"/>
      <c r="X314" s="1"/>
    </row>
    <row r="315">
      <c r="A315" s="2"/>
      <c r="B315" s="2"/>
      <c r="C315" s="88"/>
      <c r="D315" s="89"/>
      <c r="E315" s="4"/>
      <c r="F315" s="91"/>
      <c r="G315" s="91"/>
      <c r="H315" s="4"/>
      <c r="I315" s="98"/>
      <c r="J315" s="2"/>
      <c r="K315" s="1"/>
      <c r="L315" s="1"/>
      <c r="M315" s="1"/>
      <c r="N315" s="1"/>
      <c r="O315" s="1"/>
      <c r="P315" s="1"/>
      <c r="Q315" s="1"/>
      <c r="R315" s="1"/>
      <c r="S315" s="1"/>
      <c r="T315" s="1"/>
      <c r="U315" s="1"/>
      <c r="V315" s="1"/>
      <c r="W315" s="1"/>
      <c r="X315" s="1"/>
    </row>
    <row r="316">
      <c r="A316" s="2"/>
      <c r="B316" s="2"/>
      <c r="C316" s="88"/>
      <c r="D316" s="89"/>
      <c r="E316" s="4"/>
      <c r="F316" s="91"/>
      <c r="G316" s="91"/>
      <c r="H316" s="4"/>
      <c r="I316" s="98"/>
      <c r="J316" s="2"/>
      <c r="K316" s="1"/>
      <c r="L316" s="1"/>
      <c r="M316" s="1"/>
      <c r="N316" s="1"/>
      <c r="O316" s="1"/>
      <c r="P316" s="1"/>
      <c r="Q316" s="1"/>
      <c r="R316" s="1"/>
      <c r="S316" s="1"/>
      <c r="T316" s="1"/>
      <c r="U316" s="1"/>
      <c r="V316" s="1"/>
      <c r="W316" s="1"/>
      <c r="X316" s="1"/>
    </row>
    <row r="317">
      <c r="A317" s="2"/>
      <c r="B317" s="2"/>
      <c r="C317" s="88"/>
      <c r="D317" s="89"/>
      <c r="E317" s="4"/>
      <c r="F317" s="91"/>
      <c r="G317" s="91"/>
      <c r="H317" s="4"/>
      <c r="I317" s="98"/>
      <c r="J317" s="2"/>
      <c r="K317" s="1"/>
      <c r="L317" s="1"/>
      <c r="M317" s="1"/>
      <c r="N317" s="1"/>
      <c r="O317" s="1"/>
      <c r="P317" s="1"/>
      <c r="Q317" s="1"/>
      <c r="R317" s="1"/>
      <c r="S317" s="1"/>
      <c r="T317" s="1"/>
      <c r="U317" s="1"/>
      <c r="V317" s="1"/>
      <c r="W317" s="1"/>
      <c r="X317" s="1"/>
    </row>
    <row r="318">
      <c r="A318" s="2"/>
      <c r="B318" s="2"/>
      <c r="C318" s="88"/>
      <c r="D318" s="89"/>
      <c r="E318" s="4"/>
      <c r="F318" s="91"/>
      <c r="G318" s="91"/>
      <c r="H318" s="4"/>
      <c r="I318" s="98"/>
      <c r="J318" s="2"/>
      <c r="K318" s="1"/>
      <c r="L318" s="1"/>
      <c r="M318" s="1"/>
      <c r="N318" s="1"/>
      <c r="O318" s="1"/>
      <c r="P318" s="1"/>
      <c r="Q318" s="1"/>
      <c r="R318" s="1"/>
      <c r="S318" s="1"/>
      <c r="T318" s="1"/>
      <c r="U318" s="1"/>
      <c r="V318" s="1"/>
      <c r="W318" s="1"/>
      <c r="X318" s="1"/>
    </row>
    <row r="319">
      <c r="A319" s="2"/>
      <c r="B319" s="2"/>
      <c r="C319" s="88"/>
      <c r="D319" s="89"/>
      <c r="E319" s="4"/>
      <c r="F319" s="91"/>
      <c r="G319" s="91"/>
      <c r="H319" s="4"/>
      <c r="I319" s="98"/>
      <c r="J319" s="2"/>
      <c r="K319" s="1"/>
      <c r="L319" s="1"/>
      <c r="M319" s="1"/>
      <c r="N319" s="1"/>
      <c r="O319" s="1"/>
      <c r="P319" s="1"/>
      <c r="Q319" s="1"/>
      <c r="R319" s="1"/>
      <c r="S319" s="1"/>
      <c r="T319" s="1"/>
      <c r="U319" s="1"/>
      <c r="V319" s="1"/>
      <c r="W319" s="1"/>
      <c r="X319" s="1"/>
    </row>
    <row r="320">
      <c r="A320" s="2"/>
      <c r="B320" s="2"/>
      <c r="C320" s="88"/>
      <c r="D320" s="89"/>
      <c r="E320" s="4"/>
      <c r="F320" s="91"/>
      <c r="G320" s="91"/>
      <c r="H320" s="4"/>
      <c r="I320" s="98"/>
      <c r="J320" s="2"/>
      <c r="K320" s="1"/>
      <c r="L320" s="1"/>
      <c r="M320" s="1"/>
      <c r="N320" s="1"/>
      <c r="O320" s="1"/>
      <c r="P320" s="1"/>
      <c r="Q320" s="1"/>
      <c r="R320" s="1"/>
      <c r="S320" s="1"/>
      <c r="T320" s="1"/>
      <c r="U320" s="1"/>
      <c r="V320" s="1"/>
      <c r="W320" s="1"/>
      <c r="X320" s="1"/>
    </row>
    <row r="321">
      <c r="A321" s="2"/>
      <c r="B321" s="2"/>
      <c r="C321" s="88"/>
      <c r="D321" s="89"/>
      <c r="E321" s="4"/>
      <c r="F321" s="91"/>
      <c r="G321" s="91"/>
      <c r="H321" s="4"/>
      <c r="I321" s="98"/>
      <c r="J321" s="2"/>
      <c r="K321" s="1"/>
      <c r="L321" s="1"/>
      <c r="M321" s="1"/>
      <c r="N321" s="1"/>
      <c r="O321" s="1"/>
      <c r="P321" s="1"/>
      <c r="Q321" s="1"/>
      <c r="R321" s="1"/>
      <c r="S321" s="1"/>
      <c r="T321" s="1"/>
      <c r="U321" s="1"/>
      <c r="V321" s="1"/>
      <c r="W321" s="1"/>
      <c r="X321" s="1"/>
    </row>
    <row r="322">
      <c r="A322" s="2"/>
      <c r="B322" s="2"/>
      <c r="C322" s="88"/>
      <c r="D322" s="89"/>
      <c r="E322" s="4"/>
      <c r="F322" s="91"/>
      <c r="G322" s="91"/>
      <c r="H322" s="4"/>
      <c r="I322" s="98"/>
      <c r="J322" s="2"/>
      <c r="K322" s="1"/>
      <c r="L322" s="1"/>
      <c r="M322" s="1"/>
      <c r="N322" s="1"/>
      <c r="O322" s="1"/>
      <c r="P322" s="1"/>
      <c r="Q322" s="1"/>
      <c r="R322" s="1"/>
      <c r="S322" s="1"/>
      <c r="T322" s="1"/>
      <c r="U322" s="1"/>
      <c r="V322" s="1"/>
      <c r="W322" s="1"/>
      <c r="X322" s="1"/>
    </row>
    <row r="323">
      <c r="A323" s="2"/>
      <c r="B323" s="2"/>
      <c r="C323" s="88"/>
      <c r="D323" s="89"/>
      <c r="E323" s="4"/>
      <c r="F323" s="91"/>
      <c r="G323" s="91"/>
      <c r="H323" s="4"/>
      <c r="I323" s="98"/>
      <c r="J323" s="2"/>
      <c r="K323" s="1"/>
      <c r="L323" s="1"/>
      <c r="M323" s="1"/>
      <c r="N323" s="1"/>
      <c r="O323" s="1"/>
      <c r="P323" s="1"/>
      <c r="Q323" s="1"/>
      <c r="R323" s="1"/>
      <c r="S323" s="1"/>
      <c r="T323" s="1"/>
      <c r="U323" s="1"/>
      <c r="V323" s="1"/>
      <c r="W323" s="1"/>
      <c r="X323" s="1"/>
    </row>
    <row r="324">
      <c r="A324" s="2"/>
      <c r="B324" s="2"/>
      <c r="C324" s="88"/>
      <c r="D324" s="89"/>
      <c r="E324" s="4"/>
      <c r="F324" s="91"/>
      <c r="G324" s="91"/>
      <c r="H324" s="4"/>
      <c r="I324" s="98"/>
      <c r="J324" s="2"/>
      <c r="K324" s="1"/>
      <c r="L324" s="1"/>
      <c r="M324" s="1"/>
      <c r="N324" s="1"/>
      <c r="O324" s="1"/>
      <c r="P324" s="1"/>
      <c r="Q324" s="1"/>
      <c r="R324" s="1"/>
      <c r="S324" s="1"/>
      <c r="T324" s="1"/>
      <c r="U324" s="1"/>
      <c r="V324" s="1"/>
      <c r="W324" s="1"/>
      <c r="X324" s="1"/>
    </row>
    <row r="325">
      <c r="A325" s="2"/>
      <c r="B325" s="2"/>
      <c r="C325" s="88"/>
      <c r="D325" s="89"/>
      <c r="E325" s="4"/>
      <c r="F325" s="91"/>
      <c r="G325" s="91"/>
      <c r="H325" s="4"/>
      <c r="I325" s="98"/>
      <c r="J325" s="2"/>
      <c r="K325" s="1"/>
      <c r="L325" s="1"/>
      <c r="M325" s="1"/>
      <c r="N325" s="1"/>
      <c r="O325" s="1"/>
      <c r="P325" s="1"/>
      <c r="Q325" s="1"/>
      <c r="R325" s="1"/>
      <c r="S325" s="1"/>
      <c r="T325" s="1"/>
      <c r="U325" s="1"/>
      <c r="V325" s="1"/>
      <c r="W325" s="1"/>
      <c r="X325" s="1"/>
    </row>
    <row r="326">
      <c r="A326" s="2"/>
      <c r="B326" s="2"/>
      <c r="C326" s="88"/>
      <c r="D326" s="89"/>
      <c r="E326" s="4"/>
      <c r="F326" s="91"/>
      <c r="G326" s="91"/>
      <c r="H326" s="4"/>
      <c r="I326" s="98"/>
      <c r="J326" s="2"/>
      <c r="K326" s="1"/>
      <c r="L326" s="1"/>
      <c r="M326" s="1"/>
      <c r="N326" s="1"/>
      <c r="O326" s="1"/>
      <c r="P326" s="1"/>
      <c r="Q326" s="1"/>
      <c r="R326" s="1"/>
      <c r="S326" s="1"/>
      <c r="T326" s="1"/>
      <c r="U326" s="1"/>
      <c r="V326" s="1"/>
      <c r="W326" s="1"/>
      <c r="X326" s="1"/>
    </row>
    <row r="327">
      <c r="A327" s="2"/>
      <c r="B327" s="2"/>
      <c r="C327" s="88"/>
      <c r="D327" s="89"/>
      <c r="E327" s="4"/>
      <c r="F327" s="91"/>
      <c r="G327" s="91"/>
      <c r="H327" s="4"/>
      <c r="I327" s="98"/>
      <c r="J327" s="2"/>
      <c r="K327" s="1"/>
      <c r="L327" s="1"/>
      <c r="M327" s="1"/>
      <c r="N327" s="1"/>
      <c r="O327" s="1"/>
      <c r="P327" s="1"/>
      <c r="Q327" s="1"/>
      <c r="R327" s="1"/>
      <c r="S327" s="1"/>
      <c r="T327" s="1"/>
      <c r="U327" s="1"/>
      <c r="V327" s="1"/>
      <c r="W327" s="1"/>
      <c r="X327" s="1"/>
    </row>
    <row r="328">
      <c r="A328" s="2"/>
      <c r="B328" s="2"/>
      <c r="C328" s="88"/>
      <c r="D328" s="89"/>
      <c r="E328" s="4"/>
      <c r="F328" s="91"/>
      <c r="G328" s="91"/>
      <c r="H328" s="4"/>
      <c r="I328" s="98"/>
      <c r="J328" s="2"/>
      <c r="K328" s="1"/>
      <c r="L328" s="1"/>
      <c r="M328" s="1"/>
      <c r="N328" s="1"/>
      <c r="O328" s="1"/>
      <c r="P328" s="1"/>
      <c r="Q328" s="1"/>
      <c r="R328" s="1"/>
      <c r="S328" s="1"/>
      <c r="T328" s="1"/>
      <c r="U328" s="1"/>
      <c r="V328" s="1"/>
      <c r="W328" s="1"/>
      <c r="X328" s="1"/>
    </row>
    <row r="329">
      <c r="A329" s="2"/>
      <c r="B329" s="2"/>
      <c r="C329" s="88"/>
      <c r="D329" s="89"/>
      <c r="E329" s="4"/>
      <c r="F329" s="91"/>
      <c r="G329" s="91"/>
      <c r="H329" s="4"/>
      <c r="I329" s="98"/>
      <c r="J329" s="2"/>
      <c r="K329" s="1"/>
      <c r="L329" s="1"/>
      <c r="M329" s="1"/>
      <c r="N329" s="1"/>
      <c r="O329" s="1"/>
      <c r="P329" s="1"/>
      <c r="Q329" s="1"/>
      <c r="R329" s="1"/>
      <c r="S329" s="1"/>
      <c r="T329" s="1"/>
      <c r="U329" s="1"/>
      <c r="V329" s="1"/>
      <c r="W329" s="1"/>
      <c r="X329" s="1"/>
    </row>
    <row r="330">
      <c r="A330" s="2"/>
      <c r="B330" s="2"/>
      <c r="C330" s="88"/>
      <c r="D330" s="89"/>
      <c r="E330" s="4"/>
      <c r="F330" s="91"/>
      <c r="G330" s="91"/>
      <c r="H330" s="4"/>
      <c r="I330" s="98"/>
      <c r="J330" s="2"/>
      <c r="K330" s="1"/>
      <c r="L330" s="1"/>
      <c r="M330" s="1"/>
      <c r="N330" s="1"/>
      <c r="O330" s="1"/>
      <c r="P330" s="1"/>
      <c r="Q330" s="1"/>
      <c r="R330" s="1"/>
      <c r="S330" s="1"/>
      <c r="T330" s="1"/>
      <c r="U330" s="1"/>
      <c r="V330" s="1"/>
      <c r="W330" s="1"/>
      <c r="X330" s="1"/>
    </row>
    <row r="331">
      <c r="A331" s="2"/>
      <c r="B331" s="2"/>
      <c r="C331" s="88"/>
      <c r="D331" s="89"/>
      <c r="E331" s="4"/>
      <c r="F331" s="91"/>
      <c r="G331" s="91"/>
      <c r="H331" s="4"/>
      <c r="I331" s="98"/>
      <c r="J331" s="2"/>
      <c r="K331" s="1"/>
      <c r="L331" s="1"/>
      <c r="M331" s="1"/>
      <c r="N331" s="1"/>
      <c r="O331" s="1"/>
      <c r="P331" s="1"/>
      <c r="Q331" s="1"/>
      <c r="R331" s="1"/>
      <c r="S331" s="1"/>
      <c r="T331" s="1"/>
      <c r="U331" s="1"/>
      <c r="V331" s="1"/>
      <c r="W331" s="1"/>
      <c r="X331" s="1"/>
    </row>
    <row r="332">
      <c r="A332" s="2"/>
      <c r="B332" s="2"/>
      <c r="C332" s="88"/>
      <c r="D332" s="89"/>
      <c r="E332" s="4"/>
      <c r="F332" s="91"/>
      <c r="G332" s="91"/>
      <c r="H332" s="4"/>
      <c r="I332" s="98"/>
      <c r="J332" s="2"/>
      <c r="K332" s="1"/>
      <c r="L332" s="1"/>
      <c r="M332" s="1"/>
      <c r="N332" s="1"/>
      <c r="O332" s="1"/>
      <c r="P332" s="1"/>
      <c r="Q332" s="1"/>
      <c r="R332" s="1"/>
      <c r="S332" s="1"/>
      <c r="T332" s="1"/>
      <c r="U332" s="1"/>
      <c r="V332" s="1"/>
      <c r="W332" s="1"/>
      <c r="X332" s="1"/>
    </row>
    <row r="333">
      <c r="A333" s="2"/>
      <c r="B333" s="2"/>
      <c r="C333" s="88"/>
      <c r="D333" s="89"/>
      <c r="E333" s="4"/>
      <c r="F333" s="91"/>
      <c r="G333" s="91"/>
      <c r="H333" s="4"/>
      <c r="I333" s="98"/>
      <c r="J333" s="2"/>
      <c r="K333" s="1"/>
      <c r="L333" s="1"/>
      <c r="M333" s="1"/>
      <c r="N333" s="1"/>
      <c r="O333" s="1"/>
      <c r="P333" s="1"/>
      <c r="Q333" s="1"/>
      <c r="R333" s="1"/>
      <c r="S333" s="1"/>
      <c r="T333" s="1"/>
      <c r="U333" s="1"/>
      <c r="V333" s="1"/>
      <c r="W333" s="1"/>
      <c r="X333" s="1"/>
    </row>
    <row r="334">
      <c r="A334" s="2"/>
      <c r="B334" s="2"/>
      <c r="C334" s="88"/>
      <c r="D334" s="89"/>
      <c r="E334" s="4"/>
      <c r="F334" s="91"/>
      <c r="G334" s="91"/>
      <c r="H334" s="4"/>
      <c r="I334" s="98"/>
      <c r="J334" s="2"/>
      <c r="K334" s="1"/>
      <c r="L334" s="1"/>
      <c r="M334" s="1"/>
      <c r="N334" s="1"/>
      <c r="O334" s="1"/>
      <c r="P334" s="1"/>
      <c r="Q334" s="1"/>
      <c r="R334" s="1"/>
      <c r="S334" s="1"/>
      <c r="T334" s="1"/>
      <c r="U334" s="1"/>
      <c r="V334" s="1"/>
      <c r="W334" s="1"/>
      <c r="X334" s="1"/>
    </row>
    <row r="335">
      <c r="A335" s="2"/>
      <c r="B335" s="2"/>
      <c r="C335" s="88"/>
      <c r="D335" s="89"/>
      <c r="E335" s="4"/>
      <c r="F335" s="91"/>
      <c r="G335" s="91"/>
      <c r="H335" s="4"/>
      <c r="I335" s="98"/>
      <c r="J335" s="2"/>
      <c r="K335" s="1"/>
      <c r="L335" s="1"/>
      <c r="M335" s="1"/>
      <c r="N335" s="1"/>
      <c r="O335" s="1"/>
      <c r="P335" s="1"/>
      <c r="Q335" s="1"/>
      <c r="R335" s="1"/>
      <c r="S335" s="1"/>
      <c r="T335" s="1"/>
      <c r="U335" s="1"/>
      <c r="V335" s="1"/>
      <c r="W335" s="1"/>
      <c r="X335" s="1"/>
    </row>
    <row r="336">
      <c r="A336" s="2"/>
      <c r="B336" s="2"/>
      <c r="C336" s="88"/>
      <c r="D336" s="89"/>
      <c r="E336" s="4"/>
      <c r="F336" s="91"/>
      <c r="G336" s="91"/>
      <c r="H336" s="4"/>
      <c r="I336" s="98"/>
      <c r="J336" s="2"/>
      <c r="K336" s="1"/>
      <c r="L336" s="1"/>
      <c r="M336" s="1"/>
      <c r="N336" s="1"/>
      <c r="O336" s="1"/>
      <c r="P336" s="1"/>
      <c r="Q336" s="1"/>
      <c r="R336" s="1"/>
      <c r="S336" s="1"/>
      <c r="T336" s="1"/>
      <c r="U336" s="1"/>
      <c r="V336" s="1"/>
      <c r="W336" s="1"/>
      <c r="X336" s="1"/>
    </row>
    <row r="337">
      <c r="A337" s="2"/>
      <c r="B337" s="2"/>
      <c r="C337" s="88"/>
      <c r="D337" s="89"/>
      <c r="E337" s="4"/>
      <c r="F337" s="91"/>
      <c r="G337" s="91"/>
      <c r="H337" s="4"/>
      <c r="I337" s="98"/>
      <c r="J337" s="2"/>
      <c r="K337" s="1"/>
      <c r="L337" s="1"/>
      <c r="M337" s="1"/>
      <c r="N337" s="1"/>
      <c r="O337" s="1"/>
      <c r="P337" s="1"/>
      <c r="Q337" s="1"/>
      <c r="R337" s="1"/>
      <c r="S337" s="1"/>
      <c r="T337" s="1"/>
      <c r="U337" s="1"/>
      <c r="V337" s="1"/>
      <c r="W337" s="1"/>
      <c r="X337" s="1"/>
    </row>
    <row r="338">
      <c r="A338" s="2"/>
      <c r="B338" s="2"/>
      <c r="C338" s="88"/>
      <c r="D338" s="89"/>
      <c r="E338" s="4"/>
      <c r="F338" s="91"/>
      <c r="G338" s="91"/>
      <c r="H338" s="4"/>
      <c r="I338" s="98"/>
      <c r="J338" s="2"/>
      <c r="K338" s="1"/>
      <c r="L338" s="1"/>
      <c r="M338" s="1"/>
      <c r="N338" s="1"/>
      <c r="O338" s="1"/>
      <c r="P338" s="1"/>
      <c r="Q338" s="1"/>
      <c r="R338" s="1"/>
      <c r="S338" s="1"/>
      <c r="T338" s="1"/>
      <c r="U338" s="1"/>
      <c r="V338" s="1"/>
      <c r="W338" s="1"/>
      <c r="X338" s="1"/>
    </row>
    <row r="339">
      <c r="A339" s="2"/>
      <c r="B339" s="2"/>
      <c r="C339" s="88"/>
      <c r="D339" s="89"/>
      <c r="E339" s="4"/>
      <c r="F339" s="91"/>
      <c r="G339" s="91"/>
      <c r="H339" s="4"/>
      <c r="I339" s="98"/>
      <c r="J339" s="2"/>
      <c r="K339" s="1"/>
      <c r="L339" s="1"/>
      <c r="M339" s="1"/>
      <c r="N339" s="1"/>
      <c r="O339" s="1"/>
      <c r="P339" s="1"/>
      <c r="Q339" s="1"/>
      <c r="R339" s="1"/>
      <c r="S339" s="1"/>
      <c r="T339" s="1"/>
      <c r="U339" s="1"/>
      <c r="V339" s="1"/>
      <c r="W339" s="1"/>
      <c r="X339" s="1"/>
    </row>
    <row r="340">
      <c r="A340" s="2"/>
      <c r="B340" s="2"/>
      <c r="C340" s="88"/>
      <c r="D340" s="89"/>
      <c r="E340" s="4"/>
      <c r="F340" s="91"/>
      <c r="G340" s="91"/>
      <c r="H340" s="4"/>
      <c r="I340" s="98"/>
      <c r="J340" s="2"/>
      <c r="K340" s="1"/>
      <c r="L340" s="1"/>
      <c r="M340" s="1"/>
      <c r="N340" s="1"/>
      <c r="O340" s="1"/>
      <c r="P340" s="1"/>
      <c r="Q340" s="1"/>
      <c r="R340" s="1"/>
      <c r="S340" s="1"/>
      <c r="T340" s="1"/>
      <c r="U340" s="1"/>
      <c r="V340" s="1"/>
      <c r="W340" s="1"/>
      <c r="X340" s="1"/>
    </row>
    <row r="341">
      <c r="A341" s="2"/>
      <c r="B341" s="2"/>
      <c r="C341" s="88"/>
      <c r="D341" s="89"/>
      <c r="E341" s="4"/>
      <c r="F341" s="91"/>
      <c r="G341" s="91"/>
      <c r="H341" s="4"/>
      <c r="I341" s="98"/>
      <c r="J341" s="2"/>
      <c r="K341" s="1"/>
      <c r="L341" s="1"/>
      <c r="M341" s="1"/>
      <c r="N341" s="1"/>
      <c r="O341" s="1"/>
      <c r="P341" s="1"/>
      <c r="Q341" s="1"/>
      <c r="R341" s="1"/>
      <c r="S341" s="1"/>
      <c r="T341" s="1"/>
      <c r="U341" s="1"/>
      <c r="V341" s="1"/>
      <c r="W341" s="1"/>
      <c r="X341" s="1"/>
    </row>
    <row r="342">
      <c r="A342" s="2"/>
      <c r="B342" s="2"/>
      <c r="C342" s="88"/>
      <c r="D342" s="89"/>
      <c r="E342" s="4"/>
      <c r="F342" s="91"/>
      <c r="G342" s="91"/>
      <c r="H342" s="4"/>
      <c r="I342" s="98"/>
      <c r="J342" s="2"/>
      <c r="K342" s="1"/>
      <c r="L342" s="1"/>
      <c r="M342" s="1"/>
      <c r="N342" s="1"/>
      <c r="O342" s="1"/>
      <c r="P342" s="1"/>
      <c r="Q342" s="1"/>
      <c r="R342" s="1"/>
      <c r="S342" s="1"/>
      <c r="T342" s="1"/>
      <c r="U342" s="1"/>
      <c r="V342" s="1"/>
      <c r="W342" s="1"/>
      <c r="X342" s="1"/>
    </row>
    <row r="343">
      <c r="A343" s="2"/>
      <c r="B343" s="2"/>
      <c r="C343" s="88"/>
      <c r="D343" s="89"/>
      <c r="E343" s="4"/>
      <c r="F343" s="91"/>
      <c r="G343" s="91"/>
      <c r="H343" s="4"/>
      <c r="I343" s="98"/>
      <c r="J343" s="2"/>
      <c r="K343" s="1"/>
      <c r="L343" s="1"/>
      <c r="M343" s="1"/>
      <c r="N343" s="1"/>
      <c r="O343" s="1"/>
      <c r="P343" s="1"/>
      <c r="Q343" s="1"/>
      <c r="R343" s="1"/>
      <c r="S343" s="1"/>
      <c r="T343" s="1"/>
      <c r="U343" s="1"/>
      <c r="V343" s="1"/>
      <c r="W343" s="1"/>
      <c r="X343" s="1"/>
    </row>
    <row r="344">
      <c r="A344" s="2"/>
      <c r="B344" s="2"/>
      <c r="C344" s="88"/>
      <c r="D344" s="89"/>
      <c r="E344" s="4"/>
      <c r="F344" s="91"/>
      <c r="G344" s="91"/>
      <c r="H344" s="4"/>
      <c r="I344" s="98"/>
      <c r="J344" s="2"/>
      <c r="K344" s="1"/>
      <c r="L344" s="1"/>
      <c r="M344" s="1"/>
      <c r="N344" s="1"/>
      <c r="O344" s="1"/>
      <c r="P344" s="1"/>
      <c r="Q344" s="1"/>
      <c r="R344" s="1"/>
      <c r="S344" s="1"/>
      <c r="T344" s="1"/>
      <c r="U344" s="1"/>
      <c r="V344" s="1"/>
      <c r="W344" s="1"/>
      <c r="X344" s="1"/>
    </row>
    <row r="345">
      <c r="A345" s="2"/>
      <c r="B345" s="2"/>
      <c r="C345" s="88"/>
      <c r="D345" s="89"/>
      <c r="E345" s="4"/>
      <c r="F345" s="91"/>
      <c r="G345" s="91"/>
      <c r="H345" s="4"/>
      <c r="I345" s="98"/>
      <c r="J345" s="2"/>
      <c r="K345" s="1"/>
      <c r="L345" s="1"/>
      <c r="M345" s="1"/>
      <c r="N345" s="1"/>
      <c r="O345" s="1"/>
      <c r="P345" s="1"/>
      <c r="Q345" s="1"/>
      <c r="R345" s="1"/>
      <c r="S345" s="1"/>
      <c r="T345" s="1"/>
      <c r="U345" s="1"/>
      <c r="V345" s="1"/>
      <c r="W345" s="1"/>
      <c r="X345" s="1"/>
    </row>
    <row r="346">
      <c r="A346" s="2"/>
      <c r="B346" s="2"/>
      <c r="C346" s="88"/>
      <c r="D346" s="89"/>
      <c r="E346" s="4"/>
      <c r="F346" s="91"/>
      <c r="G346" s="91"/>
      <c r="H346" s="4"/>
      <c r="I346" s="98"/>
      <c r="J346" s="2"/>
      <c r="K346" s="1"/>
      <c r="L346" s="1"/>
      <c r="M346" s="1"/>
      <c r="N346" s="1"/>
      <c r="O346" s="1"/>
      <c r="P346" s="1"/>
      <c r="Q346" s="1"/>
      <c r="R346" s="1"/>
      <c r="S346" s="1"/>
      <c r="T346" s="1"/>
      <c r="U346" s="1"/>
      <c r="V346" s="1"/>
      <c r="W346" s="1"/>
      <c r="X346" s="1"/>
    </row>
    <row r="347">
      <c r="A347" s="2"/>
      <c r="B347" s="2"/>
      <c r="C347" s="88"/>
      <c r="D347" s="89"/>
      <c r="E347" s="4"/>
      <c r="F347" s="91"/>
      <c r="G347" s="91"/>
      <c r="H347" s="4"/>
      <c r="I347" s="98"/>
      <c r="J347" s="2"/>
      <c r="K347" s="1"/>
      <c r="L347" s="1"/>
      <c r="M347" s="1"/>
      <c r="N347" s="1"/>
      <c r="O347" s="1"/>
      <c r="P347" s="1"/>
      <c r="Q347" s="1"/>
      <c r="R347" s="1"/>
      <c r="S347" s="1"/>
      <c r="T347" s="1"/>
      <c r="U347" s="1"/>
      <c r="V347" s="1"/>
      <c r="W347" s="1"/>
      <c r="X347" s="1"/>
    </row>
    <row r="348">
      <c r="A348" s="2"/>
      <c r="B348" s="2"/>
      <c r="C348" s="88"/>
      <c r="D348" s="89"/>
      <c r="E348" s="4"/>
      <c r="F348" s="91"/>
      <c r="G348" s="91"/>
      <c r="H348" s="4"/>
      <c r="I348" s="98"/>
      <c r="J348" s="2"/>
      <c r="K348" s="1"/>
      <c r="L348" s="1"/>
      <c r="M348" s="1"/>
      <c r="N348" s="1"/>
      <c r="O348" s="1"/>
      <c r="P348" s="1"/>
      <c r="Q348" s="1"/>
      <c r="R348" s="1"/>
      <c r="S348" s="1"/>
      <c r="T348" s="1"/>
      <c r="U348" s="1"/>
      <c r="V348" s="1"/>
      <c r="W348" s="1"/>
      <c r="X348" s="1"/>
    </row>
    <row r="349">
      <c r="A349" s="2"/>
      <c r="B349" s="2"/>
      <c r="C349" s="88"/>
      <c r="D349" s="89"/>
      <c r="E349" s="4"/>
      <c r="F349" s="91"/>
      <c r="G349" s="91"/>
      <c r="H349" s="4"/>
      <c r="I349" s="98"/>
      <c r="J349" s="2"/>
      <c r="K349" s="1"/>
      <c r="L349" s="1"/>
      <c r="M349" s="1"/>
      <c r="N349" s="1"/>
      <c r="O349" s="1"/>
      <c r="P349" s="1"/>
      <c r="Q349" s="1"/>
      <c r="R349" s="1"/>
      <c r="S349" s="1"/>
      <c r="T349" s="1"/>
      <c r="U349" s="1"/>
      <c r="V349" s="1"/>
      <c r="W349" s="1"/>
      <c r="X349" s="1"/>
    </row>
    <row r="350">
      <c r="A350" s="2"/>
      <c r="B350" s="2"/>
      <c r="C350" s="88"/>
      <c r="D350" s="89"/>
      <c r="E350" s="4"/>
      <c r="F350" s="91"/>
      <c r="G350" s="91"/>
      <c r="H350" s="4"/>
      <c r="I350" s="98"/>
      <c r="J350" s="2"/>
      <c r="K350" s="1"/>
      <c r="L350" s="1"/>
      <c r="M350" s="1"/>
      <c r="N350" s="1"/>
      <c r="O350" s="1"/>
      <c r="P350" s="1"/>
      <c r="Q350" s="1"/>
      <c r="R350" s="1"/>
      <c r="S350" s="1"/>
      <c r="T350" s="1"/>
      <c r="U350" s="1"/>
      <c r="V350" s="1"/>
      <c r="W350" s="1"/>
      <c r="X350" s="1"/>
    </row>
    <row r="351">
      <c r="A351" s="2"/>
      <c r="B351" s="2"/>
      <c r="C351" s="88"/>
      <c r="D351" s="89"/>
      <c r="E351" s="4"/>
      <c r="F351" s="91"/>
      <c r="G351" s="91"/>
      <c r="H351" s="4"/>
      <c r="I351" s="98"/>
      <c r="J351" s="2"/>
      <c r="K351" s="1"/>
      <c r="L351" s="1"/>
      <c r="M351" s="1"/>
      <c r="N351" s="1"/>
      <c r="O351" s="1"/>
      <c r="P351" s="1"/>
      <c r="Q351" s="1"/>
      <c r="R351" s="1"/>
      <c r="S351" s="1"/>
      <c r="T351" s="1"/>
      <c r="U351" s="1"/>
      <c r="V351" s="1"/>
      <c r="W351" s="1"/>
      <c r="X351" s="1"/>
    </row>
    <row r="352">
      <c r="A352" s="2"/>
      <c r="B352" s="2"/>
      <c r="C352" s="88"/>
      <c r="D352" s="89"/>
      <c r="E352" s="4"/>
      <c r="F352" s="91"/>
      <c r="G352" s="91"/>
      <c r="H352" s="4"/>
      <c r="I352" s="98"/>
      <c r="J352" s="2"/>
      <c r="K352" s="1"/>
      <c r="L352" s="1"/>
      <c r="M352" s="1"/>
      <c r="N352" s="1"/>
      <c r="O352" s="1"/>
      <c r="P352" s="1"/>
      <c r="Q352" s="1"/>
      <c r="R352" s="1"/>
      <c r="S352" s="1"/>
      <c r="T352" s="1"/>
      <c r="U352" s="1"/>
      <c r="V352" s="1"/>
      <c r="W352" s="1"/>
      <c r="X352" s="1"/>
    </row>
    <row r="353">
      <c r="A353" s="2"/>
      <c r="B353" s="2"/>
      <c r="C353" s="88"/>
      <c r="D353" s="89"/>
      <c r="E353" s="4"/>
      <c r="F353" s="91"/>
      <c r="G353" s="91"/>
      <c r="H353" s="4"/>
      <c r="I353" s="98"/>
      <c r="J353" s="2"/>
      <c r="K353" s="1"/>
      <c r="L353" s="1"/>
      <c r="M353" s="1"/>
      <c r="N353" s="1"/>
      <c r="O353" s="1"/>
      <c r="P353" s="1"/>
      <c r="Q353" s="1"/>
      <c r="R353" s="1"/>
      <c r="S353" s="1"/>
      <c r="T353" s="1"/>
      <c r="U353" s="1"/>
      <c r="V353" s="1"/>
      <c r="W353" s="1"/>
      <c r="X353" s="1"/>
    </row>
    <row r="354">
      <c r="A354" s="2"/>
      <c r="B354" s="2"/>
      <c r="C354" s="88"/>
      <c r="D354" s="89"/>
      <c r="E354" s="4"/>
      <c r="F354" s="91"/>
      <c r="G354" s="91"/>
      <c r="H354" s="4"/>
      <c r="I354" s="98"/>
      <c r="J354" s="2"/>
      <c r="K354" s="1"/>
      <c r="L354" s="1"/>
      <c r="M354" s="1"/>
      <c r="N354" s="1"/>
      <c r="O354" s="1"/>
      <c r="P354" s="1"/>
      <c r="Q354" s="1"/>
      <c r="R354" s="1"/>
      <c r="S354" s="1"/>
      <c r="T354" s="1"/>
      <c r="U354" s="1"/>
      <c r="V354" s="1"/>
      <c r="W354" s="1"/>
      <c r="X354" s="1"/>
    </row>
    <row r="355">
      <c r="A355" s="2"/>
      <c r="B355" s="2"/>
      <c r="C355" s="88"/>
      <c r="D355" s="89"/>
      <c r="E355" s="4"/>
      <c r="F355" s="91"/>
      <c r="G355" s="91"/>
      <c r="H355" s="4"/>
      <c r="I355" s="98"/>
      <c r="J355" s="2"/>
      <c r="K355" s="1"/>
      <c r="L355" s="1"/>
      <c r="M355" s="1"/>
      <c r="N355" s="1"/>
      <c r="O355" s="1"/>
      <c r="P355" s="1"/>
      <c r="Q355" s="1"/>
      <c r="R355" s="1"/>
      <c r="S355" s="1"/>
      <c r="T355" s="1"/>
      <c r="U355" s="1"/>
      <c r="V355" s="1"/>
      <c r="W355" s="1"/>
      <c r="X355" s="1"/>
    </row>
    <row r="356">
      <c r="A356" s="2"/>
      <c r="B356" s="2"/>
      <c r="C356" s="88"/>
      <c r="D356" s="89"/>
      <c r="E356" s="4"/>
      <c r="F356" s="91"/>
      <c r="G356" s="91"/>
      <c r="H356" s="4"/>
      <c r="I356" s="98"/>
      <c r="J356" s="2"/>
      <c r="K356" s="1"/>
      <c r="L356" s="1"/>
      <c r="M356" s="1"/>
      <c r="N356" s="1"/>
      <c r="O356" s="1"/>
      <c r="P356" s="1"/>
      <c r="Q356" s="1"/>
      <c r="R356" s="1"/>
      <c r="S356" s="1"/>
      <c r="T356" s="1"/>
      <c r="U356" s="1"/>
      <c r="V356" s="1"/>
      <c r="W356" s="1"/>
      <c r="X356" s="1"/>
    </row>
    <row r="357">
      <c r="A357" s="2"/>
      <c r="B357" s="2"/>
      <c r="C357" s="88"/>
      <c r="D357" s="89"/>
      <c r="E357" s="4"/>
      <c r="F357" s="91"/>
      <c r="G357" s="91"/>
      <c r="H357" s="4"/>
      <c r="I357" s="98"/>
      <c r="J357" s="2"/>
      <c r="K357" s="1"/>
      <c r="L357" s="1"/>
      <c r="M357" s="1"/>
      <c r="N357" s="1"/>
      <c r="O357" s="1"/>
      <c r="P357" s="1"/>
      <c r="Q357" s="1"/>
      <c r="R357" s="1"/>
      <c r="S357" s="1"/>
      <c r="T357" s="1"/>
      <c r="U357" s="1"/>
      <c r="V357" s="1"/>
      <c r="W357" s="1"/>
      <c r="X357" s="1"/>
    </row>
    <row r="358">
      <c r="A358" s="2"/>
      <c r="B358" s="2"/>
      <c r="C358" s="88"/>
      <c r="D358" s="89"/>
      <c r="E358" s="4"/>
      <c r="F358" s="91"/>
      <c r="G358" s="91"/>
      <c r="H358" s="4"/>
      <c r="I358" s="98"/>
      <c r="J358" s="2"/>
      <c r="K358" s="1"/>
      <c r="L358" s="1"/>
      <c r="M358" s="1"/>
      <c r="N358" s="1"/>
      <c r="O358" s="1"/>
      <c r="P358" s="1"/>
      <c r="Q358" s="1"/>
      <c r="R358" s="1"/>
      <c r="S358" s="1"/>
      <c r="T358" s="1"/>
      <c r="U358" s="1"/>
      <c r="V358" s="1"/>
      <c r="W358" s="1"/>
      <c r="X358" s="1"/>
    </row>
    <row r="359">
      <c r="A359" s="2"/>
      <c r="B359" s="2"/>
      <c r="C359" s="88"/>
      <c r="D359" s="89"/>
      <c r="E359" s="4"/>
      <c r="F359" s="91"/>
      <c r="G359" s="91"/>
      <c r="H359" s="4"/>
      <c r="I359" s="98"/>
      <c r="J359" s="2"/>
      <c r="K359" s="1"/>
      <c r="L359" s="1"/>
      <c r="M359" s="1"/>
      <c r="N359" s="1"/>
      <c r="O359" s="1"/>
      <c r="P359" s="1"/>
      <c r="Q359" s="1"/>
      <c r="R359" s="1"/>
      <c r="S359" s="1"/>
      <c r="T359" s="1"/>
      <c r="U359" s="1"/>
      <c r="V359" s="1"/>
      <c r="W359" s="1"/>
      <c r="X359" s="1"/>
    </row>
    <row r="360">
      <c r="A360" s="2"/>
      <c r="B360" s="2"/>
      <c r="C360" s="88"/>
      <c r="D360" s="89"/>
      <c r="E360" s="4"/>
      <c r="F360" s="91"/>
      <c r="G360" s="91"/>
      <c r="H360" s="4"/>
      <c r="I360" s="98"/>
      <c r="J360" s="2"/>
      <c r="K360" s="1"/>
      <c r="L360" s="1"/>
      <c r="M360" s="1"/>
      <c r="N360" s="1"/>
      <c r="O360" s="1"/>
      <c r="P360" s="1"/>
      <c r="Q360" s="1"/>
      <c r="R360" s="1"/>
      <c r="S360" s="1"/>
      <c r="T360" s="1"/>
      <c r="U360" s="1"/>
      <c r="V360" s="1"/>
      <c r="W360" s="1"/>
      <c r="X360" s="1"/>
    </row>
    <row r="361">
      <c r="A361" s="2"/>
      <c r="B361" s="2"/>
      <c r="C361" s="88"/>
      <c r="D361" s="89"/>
      <c r="E361" s="4"/>
      <c r="F361" s="91"/>
      <c r="G361" s="91"/>
      <c r="H361" s="4"/>
      <c r="I361" s="98"/>
      <c r="J361" s="2"/>
      <c r="K361" s="1"/>
      <c r="L361" s="1"/>
      <c r="M361" s="1"/>
      <c r="N361" s="1"/>
      <c r="O361" s="1"/>
      <c r="P361" s="1"/>
      <c r="Q361" s="1"/>
      <c r="R361" s="1"/>
      <c r="S361" s="1"/>
      <c r="T361" s="1"/>
      <c r="U361" s="1"/>
      <c r="V361" s="1"/>
      <c r="W361" s="1"/>
      <c r="X361" s="1"/>
    </row>
    <row r="362">
      <c r="A362" s="2"/>
      <c r="B362" s="2"/>
      <c r="C362" s="88"/>
      <c r="D362" s="89"/>
      <c r="E362" s="4"/>
      <c r="F362" s="91"/>
      <c r="G362" s="91"/>
      <c r="H362" s="4"/>
      <c r="I362" s="98"/>
      <c r="J362" s="2"/>
      <c r="K362" s="1"/>
      <c r="L362" s="1"/>
      <c r="M362" s="1"/>
      <c r="N362" s="1"/>
      <c r="O362" s="1"/>
      <c r="P362" s="1"/>
      <c r="Q362" s="1"/>
      <c r="R362" s="1"/>
      <c r="S362" s="1"/>
      <c r="T362" s="1"/>
      <c r="U362" s="1"/>
      <c r="V362" s="1"/>
      <c r="W362" s="1"/>
      <c r="X362" s="1"/>
    </row>
    <row r="363">
      <c r="A363" s="2"/>
      <c r="B363" s="2"/>
      <c r="C363" s="88"/>
      <c r="D363" s="89"/>
      <c r="E363" s="4"/>
      <c r="F363" s="91"/>
      <c r="G363" s="91"/>
      <c r="H363" s="4"/>
      <c r="I363" s="98"/>
      <c r="J363" s="2"/>
      <c r="K363" s="1"/>
      <c r="L363" s="1"/>
      <c r="M363" s="1"/>
      <c r="N363" s="1"/>
      <c r="O363" s="1"/>
      <c r="P363" s="1"/>
      <c r="Q363" s="1"/>
      <c r="R363" s="1"/>
      <c r="S363" s="1"/>
      <c r="T363" s="1"/>
      <c r="U363" s="1"/>
      <c r="V363" s="1"/>
      <c r="W363" s="1"/>
      <c r="X363" s="1"/>
    </row>
    <row r="364">
      <c r="A364" s="2"/>
      <c r="B364" s="2"/>
      <c r="C364" s="88"/>
      <c r="D364" s="89"/>
      <c r="E364" s="4"/>
      <c r="F364" s="91"/>
      <c r="G364" s="91"/>
      <c r="H364" s="4"/>
      <c r="I364" s="98"/>
      <c r="J364" s="2"/>
      <c r="K364" s="1"/>
      <c r="L364" s="1"/>
      <c r="M364" s="1"/>
      <c r="N364" s="1"/>
      <c r="O364" s="1"/>
      <c r="P364" s="1"/>
      <c r="Q364" s="1"/>
      <c r="R364" s="1"/>
      <c r="S364" s="1"/>
      <c r="T364" s="1"/>
      <c r="U364" s="1"/>
      <c r="V364" s="1"/>
      <c r="W364" s="1"/>
      <c r="X364" s="1"/>
    </row>
    <row r="365">
      <c r="A365" s="2"/>
      <c r="B365" s="2"/>
      <c r="C365" s="88"/>
      <c r="D365" s="89"/>
      <c r="E365" s="4"/>
      <c r="F365" s="91"/>
      <c r="G365" s="91"/>
      <c r="H365" s="4"/>
      <c r="I365" s="98"/>
      <c r="J365" s="2"/>
      <c r="K365" s="1"/>
      <c r="L365" s="1"/>
      <c r="M365" s="1"/>
      <c r="N365" s="1"/>
      <c r="O365" s="1"/>
      <c r="P365" s="1"/>
      <c r="Q365" s="1"/>
      <c r="R365" s="1"/>
      <c r="S365" s="1"/>
      <c r="T365" s="1"/>
      <c r="U365" s="1"/>
      <c r="V365" s="1"/>
      <c r="W365" s="1"/>
      <c r="X365" s="1"/>
    </row>
    <row r="366">
      <c r="A366" s="2"/>
      <c r="B366" s="2"/>
      <c r="C366" s="88"/>
      <c r="D366" s="89"/>
      <c r="E366" s="4"/>
      <c r="F366" s="91"/>
      <c r="G366" s="91"/>
      <c r="H366" s="4"/>
      <c r="I366" s="98"/>
      <c r="J366" s="2"/>
      <c r="K366" s="1"/>
      <c r="L366" s="1"/>
      <c r="M366" s="1"/>
      <c r="N366" s="1"/>
      <c r="O366" s="1"/>
      <c r="P366" s="1"/>
      <c r="Q366" s="1"/>
      <c r="R366" s="1"/>
      <c r="S366" s="1"/>
      <c r="T366" s="1"/>
      <c r="U366" s="1"/>
      <c r="V366" s="1"/>
      <c r="W366" s="1"/>
      <c r="X366" s="1"/>
    </row>
    <row r="367">
      <c r="A367" s="2"/>
      <c r="B367" s="2"/>
      <c r="C367" s="88"/>
      <c r="D367" s="89"/>
      <c r="E367" s="4"/>
      <c r="F367" s="91"/>
      <c r="G367" s="91"/>
      <c r="H367" s="4"/>
      <c r="I367" s="98"/>
      <c r="J367" s="2"/>
      <c r="K367" s="1"/>
      <c r="L367" s="1"/>
      <c r="M367" s="1"/>
      <c r="N367" s="1"/>
      <c r="O367" s="1"/>
      <c r="P367" s="1"/>
      <c r="Q367" s="1"/>
      <c r="R367" s="1"/>
      <c r="S367" s="1"/>
      <c r="T367" s="1"/>
      <c r="U367" s="1"/>
      <c r="V367" s="1"/>
      <c r="W367" s="1"/>
      <c r="X367" s="1"/>
    </row>
    <row r="368">
      <c r="A368" s="2"/>
      <c r="B368" s="2"/>
      <c r="C368" s="88"/>
      <c r="D368" s="89"/>
      <c r="E368" s="4"/>
      <c r="F368" s="91"/>
      <c r="G368" s="91"/>
      <c r="H368" s="4"/>
      <c r="I368" s="98"/>
      <c r="J368" s="2"/>
      <c r="K368" s="1"/>
      <c r="L368" s="1"/>
      <c r="M368" s="1"/>
      <c r="N368" s="1"/>
      <c r="O368" s="1"/>
      <c r="P368" s="1"/>
      <c r="Q368" s="1"/>
      <c r="R368" s="1"/>
      <c r="S368" s="1"/>
      <c r="T368" s="1"/>
      <c r="U368" s="1"/>
      <c r="V368" s="1"/>
      <c r="W368" s="1"/>
      <c r="X368" s="1"/>
    </row>
    <row r="369">
      <c r="A369" s="2"/>
      <c r="B369" s="2"/>
      <c r="C369" s="88"/>
      <c r="D369" s="89"/>
      <c r="E369" s="4"/>
      <c r="F369" s="91"/>
      <c r="G369" s="91"/>
      <c r="H369" s="4"/>
      <c r="I369" s="98"/>
      <c r="J369" s="2"/>
      <c r="K369" s="1"/>
      <c r="L369" s="1"/>
      <c r="M369" s="1"/>
      <c r="N369" s="1"/>
      <c r="O369" s="1"/>
      <c r="P369" s="1"/>
      <c r="Q369" s="1"/>
      <c r="R369" s="1"/>
      <c r="S369" s="1"/>
      <c r="T369" s="1"/>
      <c r="U369" s="1"/>
      <c r="V369" s="1"/>
      <c r="W369" s="1"/>
      <c r="X369" s="1"/>
    </row>
    <row r="370">
      <c r="A370" s="2"/>
      <c r="B370" s="2"/>
      <c r="C370" s="88"/>
      <c r="D370" s="89"/>
      <c r="E370" s="4"/>
      <c r="F370" s="91"/>
      <c r="G370" s="91"/>
      <c r="H370" s="4"/>
      <c r="I370" s="98"/>
      <c r="J370" s="2"/>
      <c r="K370" s="1"/>
      <c r="L370" s="1"/>
      <c r="M370" s="1"/>
      <c r="N370" s="1"/>
      <c r="O370" s="1"/>
      <c r="P370" s="1"/>
      <c r="Q370" s="1"/>
      <c r="R370" s="1"/>
      <c r="S370" s="1"/>
      <c r="T370" s="1"/>
      <c r="U370" s="1"/>
      <c r="V370" s="1"/>
      <c r="W370" s="1"/>
      <c r="X370" s="1"/>
    </row>
    <row r="371">
      <c r="A371" s="2"/>
      <c r="B371" s="2"/>
      <c r="C371" s="88"/>
      <c r="D371" s="89"/>
      <c r="E371" s="4"/>
      <c r="F371" s="91"/>
      <c r="G371" s="91"/>
      <c r="H371" s="4"/>
      <c r="I371" s="98"/>
      <c r="J371" s="2"/>
      <c r="K371" s="1"/>
      <c r="L371" s="1"/>
      <c r="M371" s="1"/>
      <c r="N371" s="1"/>
      <c r="O371" s="1"/>
      <c r="P371" s="1"/>
      <c r="Q371" s="1"/>
      <c r="R371" s="1"/>
      <c r="S371" s="1"/>
      <c r="T371" s="1"/>
      <c r="U371" s="1"/>
      <c r="V371" s="1"/>
      <c r="W371" s="1"/>
      <c r="X371" s="1"/>
    </row>
    <row r="372">
      <c r="A372" s="2"/>
      <c r="B372" s="2"/>
      <c r="C372" s="88"/>
      <c r="D372" s="89"/>
      <c r="E372" s="4"/>
      <c r="F372" s="91"/>
      <c r="G372" s="91"/>
      <c r="H372" s="4"/>
      <c r="I372" s="98"/>
      <c r="J372" s="2"/>
      <c r="K372" s="1"/>
      <c r="L372" s="1"/>
      <c r="M372" s="1"/>
      <c r="N372" s="1"/>
      <c r="O372" s="1"/>
      <c r="P372" s="1"/>
      <c r="Q372" s="1"/>
      <c r="R372" s="1"/>
      <c r="S372" s="1"/>
      <c r="T372" s="1"/>
      <c r="U372" s="1"/>
      <c r="V372" s="1"/>
      <c r="W372" s="1"/>
      <c r="X372" s="1"/>
    </row>
    <row r="373">
      <c r="A373" s="2"/>
      <c r="B373" s="2"/>
      <c r="C373" s="88"/>
      <c r="D373" s="89"/>
      <c r="E373" s="4"/>
      <c r="F373" s="91"/>
      <c r="G373" s="91"/>
      <c r="H373" s="4"/>
      <c r="I373" s="98"/>
      <c r="J373" s="2"/>
      <c r="K373" s="1"/>
      <c r="L373" s="1"/>
      <c r="M373" s="1"/>
      <c r="N373" s="1"/>
      <c r="O373" s="1"/>
      <c r="P373" s="1"/>
      <c r="Q373" s="1"/>
      <c r="R373" s="1"/>
      <c r="S373" s="1"/>
      <c r="T373" s="1"/>
      <c r="U373" s="1"/>
      <c r="V373" s="1"/>
      <c r="W373" s="1"/>
      <c r="X373" s="1"/>
    </row>
    <row r="374">
      <c r="A374" s="2"/>
      <c r="B374" s="2"/>
      <c r="C374" s="88"/>
      <c r="D374" s="89"/>
      <c r="E374" s="4"/>
      <c r="F374" s="91"/>
      <c r="G374" s="91"/>
      <c r="H374" s="4"/>
      <c r="I374" s="98"/>
      <c r="J374" s="2"/>
      <c r="K374" s="1"/>
      <c r="L374" s="1"/>
      <c r="M374" s="1"/>
      <c r="N374" s="1"/>
      <c r="O374" s="1"/>
      <c r="P374" s="1"/>
      <c r="Q374" s="1"/>
      <c r="R374" s="1"/>
      <c r="S374" s="1"/>
      <c r="T374" s="1"/>
      <c r="U374" s="1"/>
      <c r="V374" s="1"/>
      <c r="W374" s="1"/>
      <c r="X374" s="1"/>
    </row>
    <row r="375">
      <c r="A375" s="2"/>
      <c r="B375" s="2"/>
      <c r="C375" s="88"/>
      <c r="D375" s="89"/>
      <c r="E375" s="4"/>
      <c r="F375" s="91"/>
      <c r="G375" s="91"/>
      <c r="H375" s="4"/>
      <c r="I375" s="98"/>
      <c r="J375" s="2"/>
      <c r="K375" s="1"/>
      <c r="L375" s="1"/>
      <c r="M375" s="1"/>
      <c r="N375" s="1"/>
      <c r="O375" s="1"/>
      <c r="P375" s="1"/>
      <c r="Q375" s="1"/>
      <c r="R375" s="1"/>
      <c r="S375" s="1"/>
      <c r="T375" s="1"/>
      <c r="U375" s="1"/>
      <c r="V375" s="1"/>
      <c r="W375" s="1"/>
      <c r="X375" s="1"/>
    </row>
    <row r="376">
      <c r="A376" s="2"/>
      <c r="B376" s="2"/>
      <c r="C376" s="88"/>
      <c r="D376" s="89"/>
      <c r="E376" s="4"/>
      <c r="F376" s="91"/>
      <c r="G376" s="91"/>
      <c r="H376" s="4"/>
      <c r="I376" s="98"/>
      <c r="J376" s="2"/>
      <c r="K376" s="1"/>
      <c r="L376" s="1"/>
      <c r="M376" s="1"/>
      <c r="N376" s="1"/>
      <c r="O376" s="1"/>
      <c r="P376" s="1"/>
      <c r="Q376" s="1"/>
      <c r="R376" s="1"/>
      <c r="S376" s="1"/>
      <c r="T376" s="1"/>
      <c r="U376" s="1"/>
      <c r="V376" s="1"/>
      <c r="W376" s="1"/>
      <c r="X376" s="1"/>
    </row>
    <row r="377">
      <c r="A377" s="2"/>
      <c r="B377" s="2"/>
      <c r="C377" s="88"/>
      <c r="D377" s="89"/>
      <c r="E377" s="4"/>
      <c r="F377" s="91"/>
      <c r="G377" s="91"/>
      <c r="H377" s="4"/>
      <c r="I377" s="98"/>
      <c r="J377" s="2"/>
      <c r="K377" s="1"/>
      <c r="L377" s="1"/>
      <c r="M377" s="1"/>
      <c r="N377" s="1"/>
      <c r="O377" s="1"/>
      <c r="P377" s="1"/>
      <c r="Q377" s="1"/>
      <c r="R377" s="1"/>
      <c r="S377" s="1"/>
      <c r="T377" s="1"/>
      <c r="U377" s="1"/>
      <c r="V377" s="1"/>
      <c r="W377" s="1"/>
      <c r="X377" s="1"/>
    </row>
    <row r="378">
      <c r="A378" s="2"/>
      <c r="B378" s="2"/>
      <c r="C378" s="88"/>
      <c r="D378" s="89"/>
      <c r="E378" s="4"/>
      <c r="F378" s="91"/>
      <c r="G378" s="91"/>
      <c r="H378" s="4"/>
      <c r="I378" s="98"/>
      <c r="J378" s="2"/>
      <c r="K378" s="1"/>
      <c r="L378" s="1"/>
      <c r="M378" s="1"/>
      <c r="N378" s="1"/>
      <c r="O378" s="1"/>
      <c r="P378" s="1"/>
      <c r="Q378" s="1"/>
      <c r="R378" s="1"/>
      <c r="S378" s="1"/>
      <c r="T378" s="1"/>
      <c r="U378" s="1"/>
      <c r="V378" s="1"/>
      <c r="W378" s="1"/>
      <c r="X378" s="1"/>
    </row>
    <row r="379">
      <c r="A379" s="2"/>
      <c r="B379" s="2"/>
      <c r="C379" s="88"/>
      <c r="D379" s="89"/>
      <c r="E379" s="4"/>
      <c r="F379" s="91"/>
      <c r="G379" s="91"/>
      <c r="H379" s="4"/>
      <c r="I379" s="98"/>
      <c r="J379" s="2"/>
      <c r="K379" s="1"/>
      <c r="L379" s="1"/>
      <c r="M379" s="1"/>
      <c r="N379" s="1"/>
      <c r="O379" s="1"/>
      <c r="P379" s="1"/>
      <c r="Q379" s="1"/>
      <c r="R379" s="1"/>
      <c r="S379" s="1"/>
      <c r="T379" s="1"/>
      <c r="U379" s="1"/>
      <c r="V379" s="1"/>
      <c r="W379" s="1"/>
      <c r="X379" s="1"/>
    </row>
    <row r="380">
      <c r="A380" s="2"/>
      <c r="B380" s="2"/>
      <c r="C380" s="88"/>
      <c r="D380" s="89"/>
      <c r="E380" s="4"/>
      <c r="F380" s="91"/>
      <c r="G380" s="91"/>
      <c r="H380" s="4"/>
      <c r="I380" s="98"/>
      <c r="J380" s="2"/>
      <c r="K380" s="1"/>
      <c r="L380" s="1"/>
      <c r="M380" s="1"/>
      <c r="N380" s="1"/>
      <c r="O380" s="1"/>
      <c r="P380" s="1"/>
      <c r="Q380" s="1"/>
      <c r="R380" s="1"/>
      <c r="S380" s="1"/>
      <c r="T380" s="1"/>
      <c r="U380" s="1"/>
      <c r="V380" s="1"/>
      <c r="W380" s="1"/>
      <c r="X380" s="1"/>
    </row>
    <row r="381">
      <c r="A381" s="2"/>
      <c r="B381" s="2"/>
      <c r="C381" s="88"/>
      <c r="D381" s="89"/>
      <c r="E381" s="4"/>
      <c r="F381" s="91"/>
      <c r="G381" s="91"/>
      <c r="H381" s="4"/>
      <c r="I381" s="98"/>
      <c r="J381" s="2"/>
      <c r="K381" s="1"/>
      <c r="L381" s="1"/>
      <c r="M381" s="1"/>
      <c r="N381" s="1"/>
      <c r="O381" s="1"/>
      <c r="P381" s="1"/>
      <c r="Q381" s="1"/>
      <c r="R381" s="1"/>
      <c r="S381" s="1"/>
      <c r="T381" s="1"/>
      <c r="U381" s="1"/>
      <c r="V381" s="1"/>
      <c r="W381" s="1"/>
      <c r="X381" s="1"/>
    </row>
    <row r="382">
      <c r="A382" s="2"/>
      <c r="B382" s="2"/>
      <c r="C382" s="88"/>
      <c r="D382" s="89"/>
      <c r="E382" s="4"/>
      <c r="F382" s="91"/>
      <c r="G382" s="91"/>
      <c r="H382" s="4"/>
      <c r="I382" s="98"/>
      <c r="J382" s="2"/>
      <c r="K382" s="1"/>
      <c r="L382" s="1"/>
      <c r="M382" s="1"/>
      <c r="N382" s="1"/>
      <c r="O382" s="1"/>
      <c r="P382" s="1"/>
      <c r="Q382" s="1"/>
      <c r="R382" s="1"/>
      <c r="S382" s="1"/>
      <c r="T382" s="1"/>
      <c r="U382" s="1"/>
      <c r="V382" s="1"/>
      <c r="W382" s="1"/>
      <c r="X382" s="1"/>
    </row>
    <row r="383">
      <c r="A383" s="2"/>
      <c r="B383" s="2"/>
      <c r="C383" s="88"/>
      <c r="D383" s="89"/>
      <c r="E383" s="4"/>
      <c r="F383" s="91"/>
      <c r="G383" s="91"/>
      <c r="H383" s="4"/>
      <c r="I383" s="98"/>
      <c r="J383" s="2"/>
      <c r="K383" s="1"/>
      <c r="L383" s="1"/>
      <c r="M383" s="1"/>
      <c r="N383" s="1"/>
      <c r="O383" s="1"/>
      <c r="P383" s="1"/>
      <c r="Q383" s="1"/>
      <c r="R383" s="1"/>
      <c r="S383" s="1"/>
      <c r="T383" s="1"/>
      <c r="U383" s="1"/>
      <c r="V383" s="1"/>
      <c r="W383" s="1"/>
      <c r="X383" s="1"/>
    </row>
    <row r="384">
      <c r="A384" s="2"/>
      <c r="B384" s="2"/>
      <c r="C384" s="88"/>
      <c r="D384" s="89"/>
      <c r="E384" s="4"/>
      <c r="F384" s="91"/>
      <c r="G384" s="91"/>
      <c r="H384" s="4"/>
      <c r="I384" s="98"/>
      <c r="J384" s="2"/>
      <c r="K384" s="1"/>
      <c r="L384" s="1"/>
      <c r="M384" s="1"/>
      <c r="N384" s="1"/>
      <c r="O384" s="1"/>
      <c r="P384" s="1"/>
      <c r="Q384" s="1"/>
      <c r="R384" s="1"/>
      <c r="S384" s="1"/>
      <c r="T384" s="1"/>
      <c r="U384" s="1"/>
      <c r="V384" s="1"/>
      <c r="W384" s="1"/>
      <c r="X384" s="1"/>
    </row>
    <row r="385">
      <c r="A385" s="2"/>
      <c r="B385" s="2"/>
      <c r="C385" s="88"/>
      <c r="D385" s="89"/>
      <c r="E385" s="4"/>
      <c r="F385" s="91"/>
      <c r="G385" s="91"/>
      <c r="H385" s="4"/>
      <c r="I385" s="98"/>
      <c r="J385" s="2"/>
      <c r="K385" s="1"/>
      <c r="L385" s="1"/>
      <c r="M385" s="1"/>
      <c r="N385" s="1"/>
      <c r="O385" s="1"/>
      <c r="P385" s="1"/>
      <c r="Q385" s="1"/>
      <c r="R385" s="1"/>
      <c r="S385" s="1"/>
      <c r="T385" s="1"/>
      <c r="U385" s="1"/>
      <c r="V385" s="1"/>
      <c r="W385" s="1"/>
      <c r="X385" s="1"/>
    </row>
    <row r="386">
      <c r="A386" s="2"/>
      <c r="B386" s="2"/>
      <c r="C386" s="88"/>
      <c r="D386" s="89"/>
      <c r="E386" s="4"/>
      <c r="F386" s="91"/>
      <c r="G386" s="91"/>
      <c r="H386" s="4"/>
      <c r="I386" s="98"/>
      <c r="J386" s="2"/>
      <c r="K386" s="1"/>
      <c r="L386" s="1"/>
      <c r="M386" s="1"/>
      <c r="N386" s="1"/>
      <c r="O386" s="1"/>
      <c r="P386" s="1"/>
      <c r="Q386" s="1"/>
      <c r="R386" s="1"/>
      <c r="S386" s="1"/>
      <c r="T386" s="1"/>
      <c r="U386" s="1"/>
      <c r="V386" s="1"/>
      <c r="W386" s="1"/>
      <c r="X386" s="1"/>
    </row>
    <row r="387">
      <c r="A387" s="2"/>
      <c r="B387" s="2"/>
      <c r="C387" s="88"/>
      <c r="D387" s="89"/>
      <c r="E387" s="4"/>
      <c r="F387" s="91"/>
      <c r="G387" s="91"/>
      <c r="H387" s="4"/>
      <c r="I387" s="98"/>
      <c r="J387" s="2"/>
      <c r="K387" s="1"/>
      <c r="L387" s="1"/>
      <c r="M387" s="1"/>
      <c r="N387" s="1"/>
      <c r="O387" s="1"/>
      <c r="P387" s="1"/>
      <c r="Q387" s="1"/>
      <c r="R387" s="1"/>
      <c r="S387" s="1"/>
      <c r="T387" s="1"/>
      <c r="U387" s="1"/>
      <c r="V387" s="1"/>
      <c r="W387" s="1"/>
      <c r="X387" s="1"/>
    </row>
    <row r="388">
      <c r="A388" s="2"/>
      <c r="B388" s="2"/>
      <c r="C388" s="88"/>
      <c r="D388" s="89"/>
      <c r="E388" s="4"/>
      <c r="F388" s="91"/>
      <c r="G388" s="91"/>
      <c r="H388" s="4"/>
      <c r="I388" s="98"/>
      <c r="J388" s="2"/>
      <c r="K388" s="1"/>
      <c r="L388" s="1"/>
      <c r="M388" s="1"/>
      <c r="N388" s="1"/>
      <c r="O388" s="1"/>
      <c r="P388" s="1"/>
      <c r="Q388" s="1"/>
      <c r="R388" s="1"/>
      <c r="S388" s="1"/>
      <c r="T388" s="1"/>
      <c r="U388" s="1"/>
      <c r="V388" s="1"/>
      <c r="W388" s="1"/>
      <c r="X388" s="1"/>
    </row>
    <row r="389">
      <c r="A389" s="2"/>
      <c r="B389" s="2"/>
      <c r="C389" s="88"/>
      <c r="D389" s="89"/>
      <c r="E389" s="4"/>
      <c r="F389" s="91"/>
      <c r="G389" s="91"/>
      <c r="H389" s="4"/>
      <c r="I389" s="98"/>
      <c r="J389" s="2"/>
      <c r="K389" s="1"/>
      <c r="L389" s="1"/>
      <c r="M389" s="1"/>
      <c r="N389" s="1"/>
      <c r="O389" s="1"/>
      <c r="P389" s="1"/>
      <c r="Q389" s="1"/>
      <c r="R389" s="1"/>
      <c r="S389" s="1"/>
      <c r="T389" s="1"/>
      <c r="U389" s="1"/>
      <c r="V389" s="1"/>
      <c r="W389" s="1"/>
      <c r="X389" s="1"/>
    </row>
    <row r="390">
      <c r="A390" s="2"/>
      <c r="B390" s="2"/>
      <c r="C390" s="88"/>
      <c r="D390" s="89"/>
      <c r="E390" s="4"/>
      <c r="F390" s="91"/>
      <c r="G390" s="91"/>
      <c r="H390" s="4"/>
      <c r="I390" s="98"/>
      <c r="J390" s="2"/>
      <c r="K390" s="1"/>
      <c r="L390" s="1"/>
      <c r="M390" s="1"/>
      <c r="N390" s="1"/>
      <c r="O390" s="1"/>
      <c r="P390" s="1"/>
      <c r="Q390" s="1"/>
      <c r="R390" s="1"/>
      <c r="S390" s="1"/>
      <c r="T390" s="1"/>
      <c r="U390" s="1"/>
      <c r="V390" s="1"/>
      <c r="W390" s="1"/>
      <c r="X390" s="1"/>
    </row>
    <row r="391">
      <c r="A391" s="2"/>
      <c r="B391" s="2"/>
      <c r="C391" s="88"/>
      <c r="D391" s="89"/>
      <c r="E391" s="4"/>
      <c r="F391" s="91"/>
      <c r="G391" s="91"/>
      <c r="H391" s="4"/>
      <c r="I391" s="98"/>
      <c r="J391" s="2"/>
      <c r="K391" s="1"/>
      <c r="L391" s="1"/>
      <c r="M391" s="1"/>
      <c r="N391" s="1"/>
      <c r="O391" s="1"/>
      <c r="P391" s="1"/>
      <c r="Q391" s="1"/>
      <c r="R391" s="1"/>
      <c r="S391" s="1"/>
      <c r="T391" s="1"/>
      <c r="U391" s="1"/>
      <c r="V391" s="1"/>
      <c r="W391" s="1"/>
      <c r="X391" s="1"/>
    </row>
    <row r="392">
      <c r="A392" s="2"/>
      <c r="B392" s="2"/>
      <c r="C392" s="88"/>
      <c r="D392" s="89"/>
      <c r="E392" s="4"/>
      <c r="F392" s="91"/>
      <c r="G392" s="91"/>
      <c r="H392" s="4"/>
      <c r="I392" s="98"/>
      <c r="J392" s="2"/>
      <c r="K392" s="1"/>
      <c r="L392" s="1"/>
      <c r="M392" s="1"/>
      <c r="N392" s="1"/>
      <c r="O392" s="1"/>
      <c r="P392" s="1"/>
      <c r="Q392" s="1"/>
      <c r="R392" s="1"/>
      <c r="S392" s="1"/>
      <c r="T392" s="1"/>
      <c r="U392" s="1"/>
      <c r="V392" s="1"/>
      <c r="W392" s="1"/>
      <c r="X392" s="1"/>
    </row>
    <row r="393">
      <c r="A393" s="2"/>
      <c r="B393" s="2"/>
      <c r="C393" s="88"/>
      <c r="D393" s="89"/>
      <c r="E393" s="4"/>
      <c r="F393" s="91"/>
      <c r="G393" s="91"/>
      <c r="H393" s="4"/>
      <c r="I393" s="98"/>
      <c r="J393" s="2"/>
      <c r="K393" s="1"/>
      <c r="L393" s="1"/>
      <c r="M393" s="1"/>
      <c r="N393" s="1"/>
      <c r="O393" s="1"/>
      <c r="P393" s="1"/>
      <c r="Q393" s="1"/>
      <c r="R393" s="1"/>
      <c r="S393" s="1"/>
      <c r="T393" s="1"/>
      <c r="U393" s="1"/>
      <c r="V393" s="1"/>
      <c r="W393" s="1"/>
      <c r="X393" s="1"/>
    </row>
    <row r="394">
      <c r="A394" s="2"/>
      <c r="B394" s="2"/>
      <c r="C394" s="88"/>
      <c r="D394" s="89"/>
      <c r="E394" s="4"/>
      <c r="F394" s="91"/>
      <c r="G394" s="91"/>
      <c r="H394" s="4"/>
      <c r="I394" s="98"/>
      <c r="J394" s="2"/>
      <c r="K394" s="1"/>
      <c r="L394" s="1"/>
      <c r="M394" s="1"/>
      <c r="N394" s="1"/>
      <c r="O394" s="1"/>
      <c r="P394" s="1"/>
      <c r="Q394" s="1"/>
      <c r="R394" s="1"/>
      <c r="S394" s="1"/>
      <c r="T394" s="1"/>
      <c r="U394" s="1"/>
      <c r="V394" s="1"/>
      <c r="W394" s="1"/>
      <c r="X394" s="1"/>
    </row>
    <row r="395">
      <c r="A395" s="2"/>
      <c r="B395" s="2"/>
      <c r="C395" s="88"/>
      <c r="D395" s="89"/>
      <c r="E395" s="4"/>
      <c r="F395" s="91"/>
      <c r="G395" s="91"/>
      <c r="H395" s="4"/>
      <c r="I395" s="98"/>
      <c r="J395" s="2"/>
      <c r="K395" s="1"/>
      <c r="L395" s="1"/>
      <c r="M395" s="1"/>
      <c r="N395" s="1"/>
      <c r="O395" s="1"/>
      <c r="P395" s="1"/>
      <c r="Q395" s="1"/>
      <c r="R395" s="1"/>
      <c r="S395" s="1"/>
      <c r="T395" s="1"/>
      <c r="U395" s="1"/>
      <c r="V395" s="1"/>
      <c r="W395" s="1"/>
      <c r="X395" s="1"/>
    </row>
    <row r="396">
      <c r="A396" s="2"/>
      <c r="B396" s="2"/>
      <c r="C396" s="88"/>
      <c r="D396" s="89"/>
      <c r="E396" s="4"/>
      <c r="F396" s="91"/>
      <c r="G396" s="91"/>
      <c r="H396" s="4"/>
      <c r="I396" s="98"/>
      <c r="J396" s="2"/>
      <c r="K396" s="1"/>
      <c r="L396" s="1"/>
      <c r="M396" s="1"/>
      <c r="N396" s="1"/>
      <c r="O396" s="1"/>
      <c r="P396" s="1"/>
      <c r="Q396" s="1"/>
      <c r="R396" s="1"/>
      <c r="S396" s="1"/>
      <c r="T396" s="1"/>
      <c r="U396" s="1"/>
      <c r="V396" s="1"/>
      <c r="W396" s="1"/>
      <c r="X396" s="1"/>
    </row>
    <row r="397">
      <c r="A397" s="2"/>
      <c r="B397" s="2"/>
      <c r="C397" s="88"/>
      <c r="D397" s="89"/>
      <c r="E397" s="4"/>
      <c r="F397" s="91"/>
      <c r="G397" s="91"/>
      <c r="H397" s="4"/>
      <c r="I397" s="98"/>
      <c r="J397" s="2"/>
      <c r="K397" s="1"/>
      <c r="L397" s="1"/>
      <c r="M397" s="1"/>
      <c r="N397" s="1"/>
      <c r="O397" s="1"/>
      <c r="P397" s="1"/>
      <c r="Q397" s="1"/>
      <c r="R397" s="1"/>
      <c r="S397" s="1"/>
      <c r="T397" s="1"/>
      <c r="U397" s="1"/>
      <c r="V397" s="1"/>
      <c r="W397" s="1"/>
      <c r="X397" s="1"/>
    </row>
    <row r="398">
      <c r="A398" s="2"/>
      <c r="B398" s="2"/>
      <c r="C398" s="88"/>
      <c r="D398" s="89"/>
      <c r="E398" s="4"/>
      <c r="F398" s="91"/>
      <c r="G398" s="91"/>
      <c r="H398" s="4"/>
      <c r="I398" s="98"/>
      <c r="J398" s="2"/>
      <c r="K398" s="1"/>
      <c r="L398" s="1"/>
      <c r="M398" s="1"/>
      <c r="N398" s="1"/>
      <c r="O398" s="1"/>
      <c r="P398" s="1"/>
      <c r="Q398" s="1"/>
      <c r="R398" s="1"/>
      <c r="S398" s="1"/>
      <c r="T398" s="1"/>
      <c r="U398" s="1"/>
      <c r="V398" s="1"/>
      <c r="W398" s="1"/>
      <c r="X398" s="1"/>
    </row>
    <row r="399">
      <c r="A399" s="2"/>
      <c r="B399" s="2"/>
      <c r="C399" s="88"/>
      <c r="D399" s="89"/>
      <c r="E399" s="4"/>
      <c r="F399" s="91"/>
      <c r="G399" s="91"/>
      <c r="H399" s="4"/>
      <c r="I399" s="98"/>
      <c r="J399" s="2"/>
      <c r="K399" s="1"/>
      <c r="L399" s="1"/>
      <c r="M399" s="1"/>
      <c r="N399" s="1"/>
      <c r="O399" s="1"/>
      <c r="P399" s="1"/>
      <c r="Q399" s="1"/>
      <c r="R399" s="1"/>
      <c r="S399" s="1"/>
      <c r="T399" s="1"/>
      <c r="U399" s="1"/>
      <c r="V399" s="1"/>
      <c r="W399" s="1"/>
      <c r="X399" s="1"/>
    </row>
    <row r="400">
      <c r="A400" s="2"/>
      <c r="B400" s="2"/>
      <c r="C400" s="88"/>
      <c r="D400" s="89"/>
      <c r="E400" s="4"/>
      <c r="F400" s="91"/>
      <c r="G400" s="91"/>
      <c r="H400" s="4"/>
      <c r="I400" s="98"/>
      <c r="J400" s="2"/>
      <c r="K400" s="1"/>
      <c r="L400" s="1"/>
      <c r="M400" s="1"/>
      <c r="N400" s="1"/>
      <c r="O400" s="1"/>
      <c r="P400" s="1"/>
      <c r="Q400" s="1"/>
      <c r="R400" s="1"/>
      <c r="S400" s="1"/>
      <c r="T400" s="1"/>
      <c r="U400" s="1"/>
      <c r="V400" s="1"/>
      <c r="W400" s="1"/>
      <c r="X400" s="1"/>
    </row>
    <row r="401">
      <c r="A401" s="2"/>
      <c r="B401" s="2"/>
      <c r="C401" s="88"/>
      <c r="D401" s="89"/>
      <c r="E401" s="4"/>
      <c r="F401" s="91"/>
      <c r="G401" s="91"/>
      <c r="H401" s="4"/>
      <c r="I401" s="98"/>
      <c r="J401" s="2"/>
      <c r="K401" s="1"/>
      <c r="L401" s="1"/>
      <c r="M401" s="1"/>
      <c r="N401" s="1"/>
      <c r="O401" s="1"/>
      <c r="P401" s="1"/>
      <c r="Q401" s="1"/>
      <c r="R401" s="1"/>
      <c r="S401" s="1"/>
      <c r="T401" s="1"/>
      <c r="U401" s="1"/>
      <c r="V401" s="1"/>
      <c r="W401" s="1"/>
      <c r="X401" s="1"/>
    </row>
    <row r="402">
      <c r="A402" s="2"/>
      <c r="B402" s="2"/>
      <c r="C402" s="88"/>
      <c r="D402" s="89"/>
      <c r="E402" s="4"/>
      <c r="F402" s="91"/>
      <c r="G402" s="91"/>
      <c r="H402" s="4"/>
      <c r="I402" s="98"/>
      <c r="J402" s="2"/>
      <c r="K402" s="1"/>
      <c r="L402" s="1"/>
      <c r="M402" s="1"/>
      <c r="N402" s="1"/>
      <c r="O402" s="1"/>
      <c r="P402" s="1"/>
      <c r="Q402" s="1"/>
      <c r="R402" s="1"/>
      <c r="S402" s="1"/>
      <c r="T402" s="1"/>
      <c r="U402" s="1"/>
      <c r="V402" s="1"/>
      <c r="W402" s="1"/>
      <c r="X402" s="1"/>
    </row>
    <row r="403">
      <c r="A403" s="2"/>
      <c r="B403" s="2"/>
      <c r="C403" s="88"/>
      <c r="D403" s="89"/>
      <c r="E403" s="4"/>
      <c r="F403" s="91"/>
      <c r="G403" s="91"/>
      <c r="H403" s="4"/>
      <c r="I403" s="98"/>
      <c r="J403" s="2"/>
      <c r="K403" s="1"/>
      <c r="L403" s="1"/>
      <c r="M403" s="1"/>
      <c r="N403" s="1"/>
      <c r="O403" s="1"/>
      <c r="P403" s="1"/>
      <c r="Q403" s="1"/>
      <c r="R403" s="1"/>
      <c r="S403" s="1"/>
      <c r="T403" s="1"/>
      <c r="U403" s="1"/>
      <c r="V403" s="1"/>
      <c r="W403" s="1"/>
      <c r="X403" s="1"/>
    </row>
    <row r="404">
      <c r="A404" s="2"/>
      <c r="B404" s="2"/>
      <c r="C404" s="88"/>
      <c r="D404" s="89"/>
      <c r="E404" s="4"/>
      <c r="F404" s="91"/>
      <c r="G404" s="91"/>
      <c r="H404" s="4"/>
      <c r="I404" s="98"/>
      <c r="J404" s="2"/>
      <c r="K404" s="1"/>
      <c r="L404" s="1"/>
      <c r="M404" s="1"/>
      <c r="N404" s="1"/>
      <c r="O404" s="1"/>
      <c r="P404" s="1"/>
      <c r="Q404" s="1"/>
      <c r="R404" s="1"/>
      <c r="S404" s="1"/>
      <c r="T404" s="1"/>
      <c r="U404" s="1"/>
      <c r="V404" s="1"/>
      <c r="W404" s="1"/>
      <c r="X404" s="1"/>
    </row>
    <row r="405">
      <c r="A405" s="2"/>
      <c r="B405" s="2"/>
      <c r="C405" s="88"/>
      <c r="D405" s="89"/>
      <c r="E405" s="4"/>
      <c r="F405" s="91"/>
      <c r="G405" s="91"/>
      <c r="H405" s="4"/>
      <c r="I405" s="98"/>
      <c r="J405" s="2"/>
      <c r="K405" s="1"/>
      <c r="L405" s="1"/>
      <c r="M405" s="1"/>
      <c r="N405" s="1"/>
      <c r="O405" s="1"/>
      <c r="P405" s="1"/>
      <c r="Q405" s="1"/>
      <c r="R405" s="1"/>
      <c r="S405" s="1"/>
      <c r="T405" s="1"/>
      <c r="U405" s="1"/>
      <c r="V405" s="1"/>
      <c r="W405" s="1"/>
      <c r="X405" s="1"/>
    </row>
    <row r="406">
      <c r="A406" s="2"/>
      <c r="B406" s="2"/>
      <c r="C406" s="88"/>
      <c r="D406" s="89"/>
      <c r="E406" s="4"/>
      <c r="F406" s="91"/>
      <c r="G406" s="91"/>
      <c r="H406" s="4"/>
      <c r="I406" s="98"/>
      <c r="J406" s="2"/>
      <c r="K406" s="1"/>
      <c r="L406" s="1"/>
      <c r="M406" s="1"/>
      <c r="N406" s="1"/>
      <c r="O406" s="1"/>
      <c r="P406" s="1"/>
      <c r="Q406" s="1"/>
      <c r="R406" s="1"/>
      <c r="S406" s="1"/>
      <c r="T406" s="1"/>
      <c r="U406" s="1"/>
      <c r="V406" s="1"/>
      <c r="W406" s="1"/>
      <c r="X406" s="1"/>
    </row>
    <row r="407">
      <c r="A407" s="2"/>
      <c r="B407" s="2"/>
      <c r="C407" s="88"/>
      <c r="D407" s="89"/>
      <c r="E407" s="4"/>
      <c r="F407" s="91"/>
      <c r="G407" s="91"/>
      <c r="H407" s="4"/>
      <c r="I407" s="98"/>
      <c r="J407" s="2"/>
      <c r="K407" s="1"/>
      <c r="L407" s="1"/>
      <c r="M407" s="1"/>
      <c r="N407" s="1"/>
      <c r="O407" s="1"/>
      <c r="P407" s="1"/>
      <c r="Q407" s="1"/>
      <c r="R407" s="1"/>
      <c r="S407" s="1"/>
      <c r="T407" s="1"/>
      <c r="U407" s="1"/>
      <c r="V407" s="1"/>
      <c r="W407" s="1"/>
      <c r="X407" s="1"/>
    </row>
    <row r="408">
      <c r="A408" s="2"/>
      <c r="B408" s="2"/>
      <c r="C408" s="88"/>
      <c r="D408" s="89"/>
      <c r="E408" s="4"/>
      <c r="F408" s="91"/>
      <c r="G408" s="91"/>
      <c r="H408" s="4"/>
      <c r="I408" s="98"/>
      <c r="J408" s="2"/>
      <c r="K408" s="1"/>
      <c r="L408" s="1"/>
      <c r="M408" s="1"/>
      <c r="N408" s="1"/>
      <c r="O408" s="1"/>
      <c r="P408" s="1"/>
      <c r="Q408" s="1"/>
      <c r="R408" s="1"/>
      <c r="S408" s="1"/>
      <c r="T408" s="1"/>
      <c r="U408" s="1"/>
      <c r="V408" s="1"/>
      <c r="W408" s="1"/>
      <c r="X408" s="1"/>
    </row>
    <row r="409">
      <c r="A409" s="2"/>
      <c r="B409" s="2"/>
      <c r="C409" s="88"/>
      <c r="D409" s="89"/>
      <c r="E409" s="4"/>
      <c r="F409" s="91"/>
      <c r="G409" s="91"/>
      <c r="H409" s="4"/>
      <c r="I409" s="98"/>
      <c r="J409" s="2"/>
      <c r="K409" s="1"/>
      <c r="L409" s="1"/>
      <c r="M409" s="1"/>
      <c r="N409" s="1"/>
      <c r="O409" s="1"/>
      <c r="P409" s="1"/>
      <c r="Q409" s="1"/>
      <c r="R409" s="1"/>
      <c r="S409" s="1"/>
      <c r="T409" s="1"/>
      <c r="U409" s="1"/>
      <c r="V409" s="1"/>
      <c r="W409" s="1"/>
      <c r="X409" s="1"/>
    </row>
    <row r="410">
      <c r="A410" s="2"/>
      <c r="B410" s="2"/>
      <c r="C410" s="88"/>
      <c r="D410" s="89"/>
      <c r="E410" s="4"/>
      <c r="F410" s="91"/>
      <c r="G410" s="91"/>
      <c r="H410" s="4"/>
      <c r="I410" s="98"/>
      <c r="J410" s="2"/>
      <c r="K410" s="1"/>
      <c r="L410" s="1"/>
      <c r="M410" s="1"/>
      <c r="N410" s="1"/>
      <c r="O410" s="1"/>
      <c r="P410" s="1"/>
      <c r="Q410" s="1"/>
      <c r="R410" s="1"/>
      <c r="S410" s="1"/>
      <c r="T410" s="1"/>
      <c r="U410" s="1"/>
      <c r="V410" s="1"/>
      <c r="W410" s="1"/>
      <c r="X410" s="1"/>
    </row>
    <row r="411">
      <c r="A411" s="2"/>
      <c r="B411" s="2"/>
      <c r="C411" s="88"/>
      <c r="D411" s="89"/>
      <c r="E411" s="4"/>
      <c r="F411" s="91"/>
      <c r="G411" s="91"/>
      <c r="H411" s="4"/>
      <c r="I411" s="98"/>
      <c r="J411" s="2"/>
      <c r="K411" s="1"/>
      <c r="L411" s="1"/>
      <c r="M411" s="1"/>
      <c r="N411" s="1"/>
      <c r="O411" s="1"/>
      <c r="P411" s="1"/>
      <c r="Q411" s="1"/>
      <c r="R411" s="1"/>
      <c r="S411" s="1"/>
      <c r="T411" s="1"/>
      <c r="U411" s="1"/>
      <c r="V411" s="1"/>
      <c r="W411" s="1"/>
      <c r="X411" s="1"/>
    </row>
    <row r="412">
      <c r="A412" s="2"/>
      <c r="B412" s="2"/>
      <c r="C412" s="88"/>
      <c r="D412" s="89"/>
      <c r="E412" s="4"/>
      <c r="F412" s="91"/>
      <c r="G412" s="91"/>
      <c r="H412" s="4"/>
      <c r="I412" s="98"/>
      <c r="J412" s="2"/>
      <c r="K412" s="1"/>
      <c r="L412" s="1"/>
      <c r="M412" s="1"/>
      <c r="N412" s="1"/>
      <c r="O412" s="1"/>
      <c r="P412" s="1"/>
      <c r="Q412" s="1"/>
      <c r="R412" s="1"/>
      <c r="S412" s="1"/>
      <c r="T412" s="1"/>
      <c r="U412" s="1"/>
      <c r="V412" s="1"/>
      <c r="W412" s="1"/>
      <c r="X412" s="1"/>
    </row>
    <row r="413">
      <c r="A413" s="2"/>
      <c r="B413" s="2"/>
      <c r="C413" s="88"/>
      <c r="D413" s="89"/>
      <c r="E413" s="4"/>
      <c r="F413" s="91"/>
      <c r="G413" s="91"/>
      <c r="H413" s="4"/>
      <c r="I413" s="98"/>
      <c r="J413" s="2"/>
      <c r="K413" s="1"/>
      <c r="L413" s="1"/>
      <c r="M413" s="1"/>
      <c r="N413" s="1"/>
      <c r="O413" s="1"/>
      <c r="P413" s="1"/>
      <c r="Q413" s="1"/>
      <c r="R413" s="1"/>
      <c r="S413" s="1"/>
      <c r="T413" s="1"/>
      <c r="U413" s="1"/>
      <c r="V413" s="1"/>
      <c r="W413" s="1"/>
      <c r="X413" s="1"/>
    </row>
    <row r="414">
      <c r="A414" s="2"/>
      <c r="B414" s="2"/>
      <c r="C414" s="88"/>
      <c r="D414" s="89"/>
      <c r="E414" s="4"/>
      <c r="F414" s="91"/>
      <c r="G414" s="91"/>
      <c r="H414" s="4"/>
      <c r="I414" s="98"/>
      <c r="J414" s="2"/>
      <c r="K414" s="1"/>
      <c r="L414" s="1"/>
      <c r="M414" s="1"/>
      <c r="N414" s="1"/>
      <c r="O414" s="1"/>
      <c r="P414" s="1"/>
      <c r="Q414" s="1"/>
      <c r="R414" s="1"/>
      <c r="S414" s="1"/>
      <c r="T414" s="1"/>
      <c r="U414" s="1"/>
      <c r="V414" s="1"/>
      <c r="W414" s="1"/>
      <c r="X414" s="1"/>
    </row>
    <row r="415">
      <c r="A415" s="2"/>
      <c r="B415" s="2"/>
      <c r="C415" s="88"/>
      <c r="D415" s="89"/>
      <c r="E415" s="4"/>
      <c r="F415" s="91"/>
      <c r="G415" s="91"/>
      <c r="H415" s="4"/>
      <c r="I415" s="98"/>
      <c r="J415" s="2"/>
      <c r="K415" s="1"/>
      <c r="L415" s="1"/>
      <c r="M415" s="1"/>
      <c r="N415" s="1"/>
      <c r="O415" s="1"/>
      <c r="P415" s="1"/>
      <c r="Q415" s="1"/>
      <c r="R415" s="1"/>
      <c r="S415" s="1"/>
      <c r="T415" s="1"/>
      <c r="U415" s="1"/>
      <c r="V415" s="1"/>
      <c r="W415" s="1"/>
      <c r="X415" s="1"/>
    </row>
    <row r="416">
      <c r="A416" s="2"/>
      <c r="B416" s="2"/>
      <c r="C416" s="88"/>
      <c r="D416" s="89"/>
      <c r="E416" s="4"/>
      <c r="F416" s="91"/>
      <c r="G416" s="91"/>
      <c r="H416" s="4"/>
      <c r="I416" s="98"/>
      <c r="J416" s="2"/>
      <c r="K416" s="1"/>
      <c r="L416" s="1"/>
      <c r="M416" s="1"/>
      <c r="N416" s="1"/>
      <c r="O416" s="1"/>
      <c r="P416" s="1"/>
      <c r="Q416" s="1"/>
      <c r="R416" s="1"/>
      <c r="S416" s="1"/>
      <c r="T416" s="1"/>
      <c r="U416" s="1"/>
      <c r="V416" s="1"/>
      <c r="W416" s="1"/>
      <c r="X416" s="1"/>
    </row>
    <row r="417">
      <c r="A417" s="2"/>
      <c r="B417" s="2"/>
      <c r="C417" s="88"/>
      <c r="D417" s="89"/>
      <c r="E417" s="4"/>
      <c r="F417" s="91"/>
      <c r="G417" s="91"/>
      <c r="H417" s="4"/>
      <c r="I417" s="98"/>
      <c r="J417" s="2"/>
      <c r="K417" s="1"/>
      <c r="L417" s="1"/>
      <c r="M417" s="1"/>
      <c r="N417" s="1"/>
      <c r="O417" s="1"/>
      <c r="P417" s="1"/>
      <c r="Q417" s="1"/>
      <c r="R417" s="1"/>
      <c r="S417" s="1"/>
      <c r="T417" s="1"/>
      <c r="U417" s="1"/>
      <c r="V417" s="1"/>
      <c r="W417" s="1"/>
      <c r="X417" s="1"/>
    </row>
    <row r="418">
      <c r="A418" s="2"/>
      <c r="B418" s="2"/>
      <c r="C418" s="88"/>
      <c r="D418" s="89"/>
      <c r="E418" s="4"/>
      <c r="F418" s="91"/>
      <c r="G418" s="91"/>
      <c r="H418" s="4"/>
      <c r="I418" s="98"/>
      <c r="J418" s="2"/>
      <c r="K418" s="1"/>
      <c r="L418" s="1"/>
      <c r="M418" s="1"/>
      <c r="N418" s="1"/>
      <c r="O418" s="1"/>
      <c r="P418" s="1"/>
      <c r="Q418" s="1"/>
      <c r="R418" s="1"/>
      <c r="S418" s="1"/>
      <c r="T418" s="1"/>
      <c r="U418" s="1"/>
      <c r="V418" s="1"/>
      <c r="W418" s="1"/>
      <c r="X418" s="1"/>
    </row>
    <row r="419">
      <c r="A419" s="2"/>
      <c r="B419" s="2"/>
      <c r="C419" s="88"/>
      <c r="D419" s="89"/>
      <c r="E419" s="4"/>
      <c r="F419" s="91"/>
      <c r="G419" s="91"/>
      <c r="H419" s="4"/>
      <c r="I419" s="98"/>
      <c r="J419" s="2"/>
      <c r="K419" s="1"/>
      <c r="L419" s="1"/>
      <c r="M419" s="1"/>
      <c r="N419" s="1"/>
      <c r="O419" s="1"/>
      <c r="P419" s="1"/>
      <c r="Q419" s="1"/>
      <c r="R419" s="1"/>
      <c r="S419" s="1"/>
      <c r="T419" s="1"/>
      <c r="U419" s="1"/>
      <c r="V419" s="1"/>
      <c r="W419" s="1"/>
      <c r="X419" s="1"/>
    </row>
    <row r="420">
      <c r="A420" s="2"/>
      <c r="B420" s="2"/>
      <c r="C420" s="88"/>
      <c r="D420" s="89"/>
      <c r="E420" s="4"/>
      <c r="F420" s="91"/>
      <c r="G420" s="91"/>
      <c r="H420" s="4"/>
      <c r="I420" s="98"/>
      <c r="J420" s="2"/>
      <c r="K420" s="1"/>
      <c r="L420" s="1"/>
      <c r="M420" s="1"/>
      <c r="N420" s="1"/>
      <c r="O420" s="1"/>
      <c r="P420" s="1"/>
      <c r="Q420" s="1"/>
      <c r="R420" s="1"/>
      <c r="S420" s="1"/>
      <c r="T420" s="1"/>
      <c r="U420" s="1"/>
      <c r="V420" s="1"/>
      <c r="W420" s="1"/>
      <c r="X420" s="1"/>
    </row>
    <row r="421">
      <c r="A421" s="2"/>
      <c r="B421" s="2"/>
      <c r="C421" s="88"/>
      <c r="D421" s="89"/>
      <c r="E421" s="4"/>
      <c r="F421" s="91"/>
      <c r="G421" s="91"/>
      <c r="H421" s="4"/>
      <c r="I421" s="98"/>
      <c r="J421" s="2"/>
      <c r="K421" s="1"/>
      <c r="L421" s="1"/>
      <c r="M421" s="1"/>
      <c r="N421" s="1"/>
      <c r="O421" s="1"/>
      <c r="P421" s="1"/>
      <c r="Q421" s="1"/>
      <c r="R421" s="1"/>
      <c r="S421" s="1"/>
      <c r="T421" s="1"/>
      <c r="U421" s="1"/>
      <c r="V421" s="1"/>
      <c r="W421" s="1"/>
      <c r="X421" s="1"/>
    </row>
    <row r="422">
      <c r="A422" s="2"/>
      <c r="B422" s="2"/>
      <c r="C422" s="88"/>
      <c r="D422" s="89"/>
      <c r="E422" s="4"/>
      <c r="F422" s="91"/>
      <c r="G422" s="91"/>
      <c r="H422" s="4"/>
      <c r="I422" s="98"/>
      <c r="J422" s="2"/>
      <c r="K422" s="1"/>
      <c r="L422" s="1"/>
      <c r="M422" s="1"/>
      <c r="N422" s="1"/>
      <c r="O422" s="1"/>
      <c r="P422" s="1"/>
      <c r="Q422" s="1"/>
      <c r="R422" s="1"/>
      <c r="S422" s="1"/>
      <c r="T422" s="1"/>
      <c r="U422" s="1"/>
      <c r="V422" s="1"/>
      <c r="W422" s="1"/>
      <c r="X422" s="1"/>
    </row>
    <row r="423">
      <c r="A423" s="2"/>
      <c r="B423" s="2"/>
      <c r="C423" s="88"/>
      <c r="D423" s="89"/>
      <c r="E423" s="4"/>
      <c r="F423" s="91"/>
      <c r="G423" s="91"/>
      <c r="H423" s="4"/>
      <c r="I423" s="98"/>
      <c r="J423" s="2"/>
      <c r="K423" s="1"/>
      <c r="L423" s="1"/>
      <c r="M423" s="1"/>
      <c r="N423" s="1"/>
      <c r="O423" s="1"/>
      <c r="P423" s="1"/>
      <c r="Q423" s="1"/>
      <c r="R423" s="1"/>
      <c r="S423" s="1"/>
      <c r="T423" s="1"/>
      <c r="U423" s="1"/>
      <c r="V423" s="1"/>
      <c r="W423" s="1"/>
      <c r="X423" s="1"/>
    </row>
    <row r="424">
      <c r="A424" s="2"/>
      <c r="B424" s="2"/>
      <c r="C424" s="88"/>
      <c r="D424" s="89"/>
      <c r="E424" s="4"/>
      <c r="F424" s="91"/>
      <c r="G424" s="91"/>
      <c r="H424" s="4"/>
      <c r="I424" s="98"/>
      <c r="J424" s="2"/>
      <c r="K424" s="1"/>
      <c r="L424" s="1"/>
      <c r="M424" s="1"/>
      <c r="N424" s="1"/>
      <c r="O424" s="1"/>
      <c r="P424" s="1"/>
      <c r="Q424" s="1"/>
      <c r="R424" s="1"/>
      <c r="S424" s="1"/>
      <c r="T424" s="1"/>
      <c r="U424" s="1"/>
      <c r="V424" s="1"/>
      <c r="W424" s="1"/>
      <c r="X424" s="1"/>
    </row>
    <row r="425">
      <c r="A425" s="2"/>
      <c r="B425" s="2"/>
      <c r="C425" s="88"/>
      <c r="D425" s="89"/>
      <c r="E425" s="4"/>
      <c r="F425" s="91"/>
      <c r="G425" s="91"/>
      <c r="H425" s="4"/>
      <c r="I425" s="98"/>
      <c r="J425" s="2"/>
      <c r="K425" s="1"/>
      <c r="L425" s="1"/>
      <c r="M425" s="1"/>
      <c r="N425" s="1"/>
      <c r="O425" s="1"/>
      <c r="P425" s="1"/>
      <c r="Q425" s="1"/>
      <c r="R425" s="1"/>
      <c r="S425" s="1"/>
      <c r="T425" s="1"/>
      <c r="U425" s="1"/>
      <c r="V425" s="1"/>
      <c r="W425" s="1"/>
      <c r="X425" s="1"/>
    </row>
    <row r="426">
      <c r="A426" s="2"/>
      <c r="B426" s="2"/>
      <c r="C426" s="88"/>
      <c r="D426" s="89"/>
      <c r="E426" s="4"/>
      <c r="F426" s="91"/>
      <c r="G426" s="91"/>
      <c r="H426" s="4"/>
      <c r="I426" s="98"/>
      <c r="J426" s="2"/>
      <c r="K426" s="1"/>
      <c r="L426" s="1"/>
      <c r="M426" s="1"/>
      <c r="N426" s="1"/>
      <c r="O426" s="1"/>
      <c r="P426" s="1"/>
      <c r="Q426" s="1"/>
      <c r="R426" s="1"/>
      <c r="S426" s="1"/>
      <c r="T426" s="1"/>
      <c r="U426" s="1"/>
      <c r="V426" s="1"/>
      <c r="W426" s="1"/>
      <c r="X426" s="1"/>
    </row>
    <row r="427">
      <c r="A427" s="2"/>
      <c r="B427" s="2"/>
      <c r="C427" s="88"/>
      <c r="D427" s="89"/>
      <c r="E427" s="4"/>
      <c r="F427" s="91"/>
      <c r="G427" s="91"/>
      <c r="H427" s="4"/>
      <c r="I427" s="98"/>
      <c r="J427" s="2"/>
      <c r="K427" s="1"/>
      <c r="L427" s="1"/>
      <c r="M427" s="1"/>
      <c r="N427" s="1"/>
      <c r="O427" s="1"/>
      <c r="P427" s="1"/>
      <c r="Q427" s="1"/>
      <c r="R427" s="1"/>
      <c r="S427" s="1"/>
      <c r="T427" s="1"/>
      <c r="U427" s="1"/>
      <c r="V427" s="1"/>
      <c r="W427" s="1"/>
      <c r="X427" s="1"/>
    </row>
    <row r="428">
      <c r="A428" s="2"/>
      <c r="B428" s="2"/>
      <c r="C428" s="88"/>
      <c r="D428" s="89"/>
      <c r="E428" s="4"/>
      <c r="F428" s="91"/>
      <c r="G428" s="91"/>
      <c r="H428" s="4"/>
      <c r="I428" s="98"/>
      <c r="J428" s="2"/>
      <c r="K428" s="1"/>
      <c r="L428" s="1"/>
      <c r="M428" s="1"/>
      <c r="N428" s="1"/>
      <c r="O428" s="1"/>
      <c r="P428" s="1"/>
      <c r="Q428" s="1"/>
      <c r="R428" s="1"/>
      <c r="S428" s="1"/>
      <c r="T428" s="1"/>
      <c r="U428" s="1"/>
      <c r="V428" s="1"/>
      <c r="W428" s="1"/>
      <c r="X428" s="1"/>
    </row>
    <row r="429">
      <c r="A429" s="2"/>
      <c r="B429" s="2"/>
      <c r="C429" s="88"/>
      <c r="D429" s="89"/>
      <c r="E429" s="4"/>
      <c r="F429" s="91"/>
      <c r="G429" s="91"/>
      <c r="H429" s="4"/>
      <c r="I429" s="98"/>
      <c r="J429" s="2"/>
      <c r="K429" s="1"/>
      <c r="L429" s="1"/>
      <c r="M429" s="1"/>
      <c r="N429" s="1"/>
      <c r="O429" s="1"/>
      <c r="P429" s="1"/>
      <c r="Q429" s="1"/>
      <c r="R429" s="1"/>
      <c r="S429" s="1"/>
      <c r="T429" s="1"/>
      <c r="U429" s="1"/>
      <c r="V429" s="1"/>
      <c r="W429" s="1"/>
      <c r="X429" s="1"/>
    </row>
    <row r="430">
      <c r="A430" s="2"/>
      <c r="B430" s="2"/>
      <c r="C430" s="88"/>
      <c r="D430" s="89"/>
      <c r="E430" s="4"/>
      <c r="F430" s="91"/>
      <c r="G430" s="91"/>
      <c r="H430" s="4"/>
      <c r="I430" s="98"/>
      <c r="J430" s="2"/>
      <c r="K430" s="1"/>
      <c r="L430" s="1"/>
      <c r="M430" s="1"/>
      <c r="N430" s="1"/>
      <c r="O430" s="1"/>
      <c r="P430" s="1"/>
      <c r="Q430" s="1"/>
      <c r="R430" s="1"/>
      <c r="S430" s="1"/>
      <c r="T430" s="1"/>
      <c r="U430" s="1"/>
      <c r="V430" s="1"/>
      <c r="W430" s="1"/>
      <c r="X430" s="1"/>
    </row>
    <row r="431">
      <c r="A431" s="2"/>
      <c r="B431" s="2"/>
      <c r="C431" s="88"/>
      <c r="D431" s="89"/>
      <c r="E431" s="4"/>
      <c r="F431" s="91"/>
      <c r="G431" s="91"/>
      <c r="H431" s="4"/>
      <c r="I431" s="98"/>
      <c r="J431" s="2"/>
      <c r="K431" s="1"/>
      <c r="L431" s="1"/>
      <c r="M431" s="1"/>
      <c r="N431" s="1"/>
      <c r="O431" s="1"/>
      <c r="P431" s="1"/>
      <c r="Q431" s="1"/>
      <c r="R431" s="1"/>
      <c r="S431" s="1"/>
      <c r="T431" s="1"/>
      <c r="U431" s="1"/>
      <c r="V431" s="1"/>
      <c r="W431" s="1"/>
      <c r="X431" s="1"/>
    </row>
    <row r="432">
      <c r="A432" s="2"/>
      <c r="B432" s="2"/>
      <c r="C432" s="88"/>
      <c r="D432" s="89"/>
      <c r="E432" s="4"/>
      <c r="F432" s="91"/>
      <c r="G432" s="91"/>
      <c r="H432" s="4"/>
      <c r="I432" s="98"/>
      <c r="J432" s="2"/>
      <c r="K432" s="1"/>
      <c r="L432" s="1"/>
      <c r="M432" s="1"/>
      <c r="N432" s="1"/>
      <c r="O432" s="1"/>
      <c r="P432" s="1"/>
      <c r="Q432" s="1"/>
      <c r="R432" s="1"/>
      <c r="S432" s="1"/>
      <c r="T432" s="1"/>
      <c r="U432" s="1"/>
      <c r="V432" s="1"/>
      <c r="W432" s="1"/>
      <c r="X432" s="1"/>
    </row>
    <row r="433">
      <c r="A433" s="2"/>
      <c r="B433" s="2"/>
      <c r="C433" s="88"/>
      <c r="D433" s="89"/>
      <c r="E433" s="4"/>
      <c r="F433" s="91"/>
      <c r="G433" s="91"/>
      <c r="H433" s="4"/>
      <c r="I433" s="98"/>
      <c r="J433" s="2"/>
      <c r="K433" s="1"/>
      <c r="L433" s="1"/>
      <c r="M433" s="1"/>
      <c r="N433" s="1"/>
      <c r="O433" s="1"/>
      <c r="P433" s="1"/>
      <c r="Q433" s="1"/>
      <c r="R433" s="1"/>
      <c r="S433" s="1"/>
      <c r="T433" s="1"/>
      <c r="U433" s="1"/>
      <c r="V433" s="1"/>
      <c r="W433" s="1"/>
      <c r="X433" s="1"/>
    </row>
    <row r="434">
      <c r="A434" s="2"/>
      <c r="B434" s="2"/>
      <c r="C434" s="88"/>
      <c r="D434" s="89"/>
      <c r="E434" s="4"/>
      <c r="F434" s="91"/>
      <c r="G434" s="91"/>
      <c r="H434" s="4"/>
      <c r="I434" s="98"/>
      <c r="J434" s="2"/>
      <c r="K434" s="1"/>
      <c r="L434" s="1"/>
      <c r="M434" s="1"/>
      <c r="N434" s="1"/>
      <c r="O434" s="1"/>
      <c r="P434" s="1"/>
      <c r="Q434" s="1"/>
      <c r="R434" s="1"/>
      <c r="S434" s="1"/>
      <c r="T434" s="1"/>
      <c r="U434" s="1"/>
      <c r="V434" s="1"/>
      <c r="W434" s="1"/>
      <c r="X434" s="1"/>
    </row>
    <row r="435">
      <c r="A435" s="2"/>
      <c r="B435" s="2"/>
      <c r="C435" s="88"/>
      <c r="D435" s="89"/>
      <c r="E435" s="4"/>
      <c r="F435" s="91"/>
      <c r="G435" s="91"/>
      <c r="H435" s="4"/>
      <c r="I435" s="98"/>
      <c r="J435" s="2"/>
      <c r="K435" s="1"/>
      <c r="L435" s="1"/>
      <c r="M435" s="1"/>
      <c r="N435" s="1"/>
      <c r="O435" s="1"/>
      <c r="P435" s="1"/>
      <c r="Q435" s="1"/>
      <c r="R435" s="1"/>
      <c r="S435" s="1"/>
      <c r="T435" s="1"/>
      <c r="U435" s="1"/>
      <c r="V435" s="1"/>
      <c r="W435" s="1"/>
      <c r="X435" s="1"/>
    </row>
    <row r="436">
      <c r="A436" s="2"/>
      <c r="B436" s="2"/>
      <c r="C436" s="88"/>
      <c r="D436" s="89"/>
      <c r="E436" s="4"/>
      <c r="F436" s="91"/>
      <c r="G436" s="91"/>
      <c r="H436" s="4"/>
      <c r="I436" s="98"/>
      <c r="J436" s="2"/>
      <c r="K436" s="1"/>
      <c r="L436" s="1"/>
      <c r="M436" s="1"/>
      <c r="N436" s="1"/>
      <c r="O436" s="1"/>
      <c r="P436" s="1"/>
      <c r="Q436" s="1"/>
      <c r="R436" s="1"/>
      <c r="S436" s="1"/>
      <c r="T436" s="1"/>
      <c r="U436" s="1"/>
      <c r="V436" s="1"/>
      <c r="W436" s="1"/>
      <c r="X436" s="1"/>
    </row>
    <row r="437">
      <c r="A437" s="2"/>
      <c r="B437" s="2"/>
      <c r="C437" s="88"/>
      <c r="D437" s="89"/>
      <c r="E437" s="4"/>
      <c r="F437" s="91"/>
      <c r="G437" s="91"/>
      <c r="H437" s="4"/>
      <c r="I437" s="98"/>
      <c r="J437" s="2"/>
      <c r="K437" s="1"/>
      <c r="L437" s="1"/>
      <c r="M437" s="1"/>
      <c r="N437" s="1"/>
      <c r="O437" s="1"/>
      <c r="P437" s="1"/>
      <c r="Q437" s="1"/>
      <c r="R437" s="1"/>
      <c r="S437" s="1"/>
      <c r="T437" s="1"/>
      <c r="U437" s="1"/>
      <c r="V437" s="1"/>
      <c r="W437" s="1"/>
      <c r="X437" s="1"/>
    </row>
    <row r="438">
      <c r="A438" s="2"/>
      <c r="B438" s="2"/>
      <c r="C438" s="88"/>
      <c r="D438" s="89"/>
      <c r="E438" s="4"/>
      <c r="F438" s="91"/>
      <c r="G438" s="91"/>
      <c r="H438" s="4"/>
      <c r="I438" s="98"/>
      <c r="J438" s="2"/>
      <c r="K438" s="1"/>
      <c r="L438" s="1"/>
      <c r="M438" s="1"/>
      <c r="N438" s="1"/>
      <c r="O438" s="1"/>
      <c r="P438" s="1"/>
      <c r="Q438" s="1"/>
      <c r="R438" s="1"/>
      <c r="S438" s="1"/>
      <c r="T438" s="1"/>
      <c r="U438" s="1"/>
      <c r="V438" s="1"/>
      <c r="W438" s="1"/>
      <c r="X438" s="1"/>
    </row>
    <row r="439">
      <c r="A439" s="2"/>
      <c r="B439" s="2"/>
      <c r="C439" s="88"/>
      <c r="D439" s="89"/>
      <c r="E439" s="4"/>
      <c r="F439" s="91"/>
      <c r="G439" s="91"/>
      <c r="H439" s="4"/>
      <c r="I439" s="98"/>
      <c r="J439" s="2"/>
      <c r="K439" s="1"/>
      <c r="L439" s="1"/>
      <c r="M439" s="1"/>
      <c r="N439" s="1"/>
      <c r="O439" s="1"/>
      <c r="P439" s="1"/>
      <c r="Q439" s="1"/>
      <c r="R439" s="1"/>
      <c r="S439" s="1"/>
      <c r="T439" s="1"/>
      <c r="U439" s="1"/>
      <c r="V439" s="1"/>
      <c r="W439" s="1"/>
      <c r="X439" s="1"/>
    </row>
    <row r="440">
      <c r="A440" s="2"/>
      <c r="B440" s="2"/>
      <c r="C440" s="88"/>
      <c r="D440" s="89"/>
      <c r="E440" s="4"/>
      <c r="F440" s="91"/>
      <c r="G440" s="91"/>
      <c r="H440" s="4"/>
      <c r="I440" s="98"/>
      <c r="J440" s="2"/>
      <c r="K440" s="1"/>
      <c r="L440" s="1"/>
      <c r="M440" s="1"/>
      <c r="N440" s="1"/>
      <c r="O440" s="1"/>
      <c r="P440" s="1"/>
      <c r="Q440" s="1"/>
      <c r="R440" s="1"/>
      <c r="S440" s="1"/>
      <c r="T440" s="1"/>
      <c r="U440" s="1"/>
      <c r="V440" s="1"/>
      <c r="W440" s="1"/>
      <c r="X440" s="1"/>
    </row>
    <row r="441">
      <c r="A441" s="2"/>
      <c r="B441" s="2"/>
      <c r="C441" s="88"/>
      <c r="D441" s="89"/>
      <c r="E441" s="4"/>
      <c r="F441" s="91"/>
      <c r="G441" s="91"/>
      <c r="H441" s="4"/>
      <c r="I441" s="98"/>
      <c r="J441" s="2"/>
      <c r="K441" s="1"/>
      <c r="L441" s="1"/>
      <c r="M441" s="1"/>
      <c r="N441" s="1"/>
      <c r="O441" s="1"/>
      <c r="P441" s="1"/>
      <c r="Q441" s="1"/>
      <c r="R441" s="1"/>
      <c r="S441" s="1"/>
      <c r="T441" s="1"/>
      <c r="U441" s="1"/>
      <c r="V441" s="1"/>
      <c r="W441" s="1"/>
      <c r="X441" s="1"/>
    </row>
    <row r="442">
      <c r="A442" s="2"/>
      <c r="B442" s="2"/>
      <c r="C442" s="88"/>
      <c r="D442" s="89"/>
      <c r="E442" s="4"/>
      <c r="F442" s="91"/>
      <c r="G442" s="91"/>
      <c r="H442" s="4"/>
      <c r="I442" s="98"/>
      <c r="J442" s="2"/>
      <c r="K442" s="1"/>
      <c r="L442" s="1"/>
      <c r="M442" s="1"/>
      <c r="N442" s="1"/>
      <c r="O442" s="1"/>
      <c r="P442" s="1"/>
      <c r="Q442" s="1"/>
      <c r="R442" s="1"/>
      <c r="S442" s="1"/>
      <c r="T442" s="1"/>
      <c r="U442" s="1"/>
      <c r="V442" s="1"/>
      <c r="W442" s="1"/>
      <c r="X442" s="1"/>
    </row>
    <row r="443">
      <c r="A443" s="2"/>
      <c r="B443" s="2"/>
      <c r="C443" s="88"/>
      <c r="D443" s="89"/>
      <c r="E443" s="4"/>
      <c r="F443" s="91"/>
      <c r="G443" s="91"/>
      <c r="H443" s="4"/>
      <c r="I443" s="98"/>
      <c r="J443" s="2"/>
      <c r="K443" s="1"/>
      <c r="L443" s="1"/>
      <c r="M443" s="1"/>
      <c r="N443" s="1"/>
      <c r="O443" s="1"/>
      <c r="P443" s="1"/>
      <c r="Q443" s="1"/>
      <c r="R443" s="1"/>
      <c r="S443" s="1"/>
      <c r="T443" s="1"/>
      <c r="U443" s="1"/>
      <c r="V443" s="1"/>
      <c r="W443" s="1"/>
      <c r="X443" s="1"/>
    </row>
    <row r="444">
      <c r="A444" s="2"/>
      <c r="B444" s="2"/>
      <c r="C444" s="88"/>
      <c r="D444" s="89"/>
      <c r="E444" s="4"/>
      <c r="F444" s="91"/>
      <c r="G444" s="91"/>
      <c r="H444" s="4"/>
      <c r="I444" s="98"/>
      <c r="J444" s="2"/>
      <c r="K444" s="1"/>
      <c r="L444" s="1"/>
      <c r="M444" s="1"/>
      <c r="N444" s="1"/>
      <c r="O444" s="1"/>
      <c r="P444" s="1"/>
      <c r="Q444" s="1"/>
      <c r="R444" s="1"/>
      <c r="S444" s="1"/>
      <c r="T444" s="1"/>
      <c r="U444" s="1"/>
      <c r="V444" s="1"/>
      <c r="W444" s="1"/>
      <c r="X444" s="1"/>
    </row>
    <row r="445">
      <c r="A445" s="2"/>
      <c r="B445" s="2"/>
      <c r="C445" s="88"/>
      <c r="D445" s="89"/>
      <c r="E445" s="4"/>
      <c r="F445" s="91"/>
      <c r="G445" s="91"/>
      <c r="H445" s="4"/>
      <c r="I445" s="98"/>
      <c r="J445" s="2"/>
      <c r="K445" s="1"/>
      <c r="L445" s="1"/>
      <c r="M445" s="1"/>
      <c r="N445" s="1"/>
      <c r="O445" s="1"/>
      <c r="P445" s="1"/>
      <c r="Q445" s="1"/>
      <c r="R445" s="1"/>
      <c r="S445" s="1"/>
      <c r="T445" s="1"/>
      <c r="U445" s="1"/>
      <c r="V445" s="1"/>
      <c r="W445" s="1"/>
      <c r="X445" s="1"/>
    </row>
    <row r="446">
      <c r="A446" s="2"/>
      <c r="B446" s="2"/>
      <c r="C446" s="88"/>
      <c r="D446" s="89"/>
      <c r="E446" s="4"/>
      <c r="F446" s="91"/>
      <c r="G446" s="91"/>
      <c r="H446" s="4"/>
      <c r="I446" s="98"/>
      <c r="J446" s="2"/>
      <c r="K446" s="1"/>
      <c r="L446" s="1"/>
      <c r="M446" s="1"/>
      <c r="N446" s="1"/>
      <c r="O446" s="1"/>
      <c r="P446" s="1"/>
      <c r="Q446" s="1"/>
      <c r="R446" s="1"/>
      <c r="S446" s="1"/>
      <c r="T446" s="1"/>
      <c r="U446" s="1"/>
      <c r="V446" s="1"/>
      <c r="W446" s="1"/>
      <c r="X446" s="1"/>
    </row>
    <row r="447">
      <c r="A447" s="2"/>
      <c r="B447" s="2"/>
      <c r="C447" s="88"/>
      <c r="D447" s="89"/>
      <c r="E447" s="4"/>
      <c r="F447" s="91"/>
      <c r="G447" s="91"/>
      <c r="H447" s="4"/>
      <c r="I447" s="98"/>
      <c r="J447" s="2"/>
      <c r="K447" s="1"/>
      <c r="L447" s="1"/>
      <c r="M447" s="1"/>
      <c r="N447" s="1"/>
      <c r="O447" s="1"/>
      <c r="P447" s="1"/>
      <c r="Q447" s="1"/>
      <c r="R447" s="1"/>
      <c r="S447" s="1"/>
      <c r="T447" s="1"/>
      <c r="U447" s="1"/>
      <c r="V447" s="1"/>
      <c r="W447" s="1"/>
      <c r="X447" s="1"/>
    </row>
    <row r="448">
      <c r="A448" s="2"/>
      <c r="B448" s="2"/>
      <c r="C448" s="88"/>
      <c r="D448" s="89"/>
      <c r="E448" s="4"/>
      <c r="F448" s="91"/>
      <c r="G448" s="91"/>
      <c r="H448" s="4"/>
      <c r="I448" s="98"/>
      <c r="J448" s="2"/>
      <c r="K448" s="1"/>
      <c r="L448" s="1"/>
      <c r="M448" s="1"/>
      <c r="N448" s="1"/>
      <c r="O448" s="1"/>
      <c r="P448" s="1"/>
      <c r="Q448" s="1"/>
      <c r="R448" s="1"/>
      <c r="S448" s="1"/>
      <c r="T448" s="1"/>
      <c r="U448" s="1"/>
      <c r="V448" s="1"/>
      <c r="W448" s="1"/>
      <c r="X448" s="1"/>
    </row>
    <row r="449">
      <c r="A449" s="2"/>
      <c r="B449" s="2"/>
      <c r="C449" s="88"/>
      <c r="D449" s="89"/>
      <c r="E449" s="4"/>
      <c r="F449" s="91"/>
      <c r="G449" s="91"/>
      <c r="H449" s="4"/>
      <c r="I449" s="98"/>
      <c r="J449" s="2"/>
      <c r="K449" s="1"/>
      <c r="L449" s="1"/>
      <c r="M449" s="1"/>
      <c r="N449" s="1"/>
      <c r="O449" s="1"/>
      <c r="P449" s="1"/>
      <c r="Q449" s="1"/>
      <c r="R449" s="1"/>
      <c r="S449" s="1"/>
      <c r="T449" s="1"/>
      <c r="U449" s="1"/>
      <c r="V449" s="1"/>
      <c r="W449" s="1"/>
      <c r="X449" s="1"/>
    </row>
    <row r="450">
      <c r="A450" s="2"/>
      <c r="B450" s="2"/>
      <c r="C450" s="88"/>
      <c r="D450" s="89"/>
      <c r="E450" s="4"/>
      <c r="F450" s="91"/>
      <c r="G450" s="91"/>
      <c r="H450" s="4"/>
      <c r="I450" s="98"/>
      <c r="J450" s="2"/>
      <c r="K450" s="1"/>
      <c r="L450" s="1"/>
      <c r="M450" s="1"/>
      <c r="N450" s="1"/>
      <c r="O450" s="1"/>
      <c r="P450" s="1"/>
      <c r="Q450" s="1"/>
      <c r="R450" s="1"/>
      <c r="S450" s="1"/>
      <c r="T450" s="1"/>
      <c r="U450" s="1"/>
      <c r="V450" s="1"/>
      <c r="W450" s="1"/>
      <c r="X450" s="1"/>
    </row>
    <row r="451">
      <c r="A451" s="2"/>
      <c r="B451" s="2"/>
      <c r="C451" s="88"/>
      <c r="D451" s="89"/>
      <c r="E451" s="4"/>
      <c r="F451" s="91"/>
      <c r="G451" s="91"/>
      <c r="H451" s="4"/>
      <c r="I451" s="98"/>
      <c r="J451" s="2"/>
      <c r="K451" s="1"/>
      <c r="L451" s="1"/>
      <c r="M451" s="1"/>
      <c r="N451" s="1"/>
      <c r="O451" s="1"/>
      <c r="P451" s="1"/>
      <c r="Q451" s="1"/>
      <c r="R451" s="1"/>
      <c r="S451" s="1"/>
      <c r="T451" s="1"/>
      <c r="U451" s="1"/>
      <c r="V451" s="1"/>
      <c r="W451" s="1"/>
      <c r="X451" s="1"/>
    </row>
    <row r="452">
      <c r="A452" s="2"/>
      <c r="B452" s="2"/>
      <c r="C452" s="88"/>
      <c r="D452" s="89"/>
      <c r="E452" s="4"/>
      <c r="F452" s="91"/>
      <c r="G452" s="91"/>
      <c r="H452" s="4"/>
      <c r="I452" s="98"/>
      <c r="J452" s="2"/>
      <c r="K452" s="1"/>
      <c r="L452" s="1"/>
      <c r="M452" s="1"/>
      <c r="N452" s="1"/>
      <c r="O452" s="1"/>
      <c r="P452" s="1"/>
      <c r="Q452" s="1"/>
      <c r="R452" s="1"/>
      <c r="S452" s="1"/>
      <c r="T452" s="1"/>
      <c r="U452" s="1"/>
      <c r="V452" s="1"/>
      <c r="W452" s="1"/>
      <c r="X452" s="1"/>
    </row>
    <row r="453">
      <c r="A453" s="2"/>
      <c r="B453" s="2"/>
      <c r="C453" s="88"/>
      <c r="D453" s="89"/>
      <c r="E453" s="4"/>
      <c r="F453" s="91"/>
      <c r="G453" s="91"/>
      <c r="H453" s="4"/>
      <c r="I453" s="98"/>
      <c r="J453" s="2"/>
      <c r="K453" s="1"/>
      <c r="L453" s="1"/>
      <c r="M453" s="1"/>
      <c r="N453" s="1"/>
      <c r="O453" s="1"/>
      <c r="P453" s="1"/>
      <c r="Q453" s="1"/>
      <c r="R453" s="1"/>
      <c r="S453" s="1"/>
      <c r="T453" s="1"/>
      <c r="U453" s="1"/>
      <c r="V453" s="1"/>
      <c r="W453" s="1"/>
      <c r="X453" s="1"/>
    </row>
    <row r="454">
      <c r="A454" s="2"/>
      <c r="B454" s="2"/>
      <c r="C454" s="88"/>
      <c r="D454" s="89"/>
      <c r="E454" s="4"/>
      <c r="F454" s="91"/>
      <c r="G454" s="91"/>
      <c r="H454" s="4"/>
      <c r="I454" s="98"/>
      <c r="J454" s="2"/>
      <c r="K454" s="1"/>
      <c r="L454" s="1"/>
      <c r="M454" s="1"/>
      <c r="N454" s="1"/>
      <c r="O454" s="1"/>
      <c r="P454" s="1"/>
      <c r="Q454" s="1"/>
      <c r="R454" s="1"/>
      <c r="S454" s="1"/>
      <c r="T454" s="1"/>
      <c r="U454" s="1"/>
      <c r="V454" s="1"/>
      <c r="W454" s="1"/>
      <c r="X454" s="1"/>
    </row>
    <row r="455">
      <c r="A455" s="2"/>
      <c r="B455" s="2"/>
      <c r="C455" s="88"/>
      <c r="D455" s="89"/>
      <c r="E455" s="4"/>
      <c r="F455" s="91"/>
      <c r="G455" s="91"/>
      <c r="H455" s="4"/>
      <c r="I455" s="98"/>
      <c r="J455" s="2"/>
      <c r="K455" s="1"/>
      <c r="L455" s="1"/>
      <c r="M455" s="1"/>
      <c r="N455" s="1"/>
      <c r="O455" s="1"/>
      <c r="P455" s="1"/>
      <c r="Q455" s="1"/>
      <c r="R455" s="1"/>
      <c r="S455" s="1"/>
      <c r="T455" s="1"/>
      <c r="U455" s="1"/>
      <c r="V455" s="1"/>
      <c r="W455" s="1"/>
      <c r="X455" s="1"/>
    </row>
    <row r="456">
      <c r="A456" s="2"/>
      <c r="B456" s="2"/>
      <c r="C456" s="88"/>
      <c r="D456" s="89"/>
      <c r="E456" s="4"/>
      <c r="F456" s="91"/>
      <c r="G456" s="91"/>
      <c r="H456" s="4"/>
      <c r="I456" s="98"/>
      <c r="J456" s="2"/>
      <c r="K456" s="1"/>
      <c r="L456" s="1"/>
      <c r="M456" s="1"/>
      <c r="N456" s="1"/>
      <c r="O456" s="1"/>
      <c r="P456" s="1"/>
      <c r="Q456" s="1"/>
      <c r="R456" s="1"/>
      <c r="S456" s="1"/>
      <c r="T456" s="1"/>
      <c r="U456" s="1"/>
      <c r="V456" s="1"/>
      <c r="W456" s="1"/>
      <c r="X456" s="1"/>
    </row>
    <row r="457">
      <c r="A457" s="2"/>
      <c r="B457" s="2"/>
      <c r="C457" s="88"/>
      <c r="D457" s="89"/>
      <c r="E457" s="4"/>
      <c r="F457" s="91"/>
      <c r="G457" s="91"/>
      <c r="H457" s="4"/>
      <c r="I457" s="98"/>
      <c r="J457" s="2"/>
      <c r="K457" s="1"/>
      <c r="L457" s="1"/>
      <c r="M457" s="1"/>
      <c r="N457" s="1"/>
      <c r="O457" s="1"/>
      <c r="P457" s="1"/>
      <c r="Q457" s="1"/>
      <c r="R457" s="1"/>
      <c r="S457" s="1"/>
      <c r="T457" s="1"/>
      <c r="U457" s="1"/>
      <c r="V457" s="1"/>
      <c r="W457" s="1"/>
      <c r="X457" s="1"/>
    </row>
    <row r="458">
      <c r="A458" s="2"/>
      <c r="B458" s="2"/>
      <c r="C458" s="88"/>
      <c r="D458" s="89"/>
      <c r="E458" s="4"/>
      <c r="F458" s="91"/>
      <c r="G458" s="91"/>
      <c r="H458" s="4"/>
      <c r="I458" s="98"/>
      <c r="J458" s="2"/>
      <c r="K458" s="1"/>
      <c r="L458" s="1"/>
      <c r="M458" s="1"/>
      <c r="N458" s="1"/>
      <c r="O458" s="1"/>
      <c r="P458" s="1"/>
      <c r="Q458" s="1"/>
      <c r="R458" s="1"/>
      <c r="S458" s="1"/>
      <c r="T458" s="1"/>
      <c r="U458" s="1"/>
      <c r="V458" s="1"/>
      <c r="W458" s="1"/>
      <c r="X458" s="1"/>
    </row>
    <row r="459">
      <c r="A459" s="2"/>
      <c r="B459" s="2"/>
      <c r="C459" s="88"/>
      <c r="D459" s="89"/>
      <c r="E459" s="4"/>
      <c r="F459" s="91"/>
      <c r="G459" s="91"/>
      <c r="H459" s="4"/>
      <c r="I459" s="98"/>
      <c r="J459" s="2"/>
      <c r="K459" s="1"/>
      <c r="L459" s="1"/>
      <c r="M459" s="1"/>
      <c r="N459" s="1"/>
      <c r="O459" s="1"/>
      <c r="P459" s="1"/>
      <c r="Q459" s="1"/>
      <c r="R459" s="1"/>
      <c r="S459" s="1"/>
      <c r="T459" s="1"/>
      <c r="U459" s="1"/>
      <c r="V459" s="1"/>
      <c r="W459" s="1"/>
      <c r="X459" s="1"/>
    </row>
    <row r="460">
      <c r="A460" s="2"/>
      <c r="B460" s="2"/>
      <c r="C460" s="88"/>
      <c r="D460" s="89"/>
      <c r="E460" s="4"/>
      <c r="F460" s="91"/>
      <c r="G460" s="91"/>
      <c r="H460" s="4"/>
      <c r="I460" s="98"/>
      <c r="J460" s="2"/>
      <c r="K460" s="1"/>
      <c r="L460" s="1"/>
      <c r="M460" s="1"/>
      <c r="N460" s="1"/>
      <c r="O460" s="1"/>
      <c r="P460" s="1"/>
      <c r="Q460" s="1"/>
      <c r="R460" s="1"/>
      <c r="S460" s="1"/>
      <c r="T460" s="1"/>
      <c r="U460" s="1"/>
      <c r="V460" s="1"/>
      <c r="W460" s="1"/>
      <c r="X460" s="1"/>
    </row>
    <row r="461">
      <c r="A461" s="2"/>
      <c r="B461" s="2"/>
      <c r="C461" s="88"/>
      <c r="D461" s="89"/>
      <c r="E461" s="4"/>
      <c r="F461" s="91"/>
      <c r="G461" s="91"/>
      <c r="H461" s="4"/>
      <c r="I461" s="98"/>
      <c r="J461" s="2"/>
      <c r="K461" s="1"/>
      <c r="L461" s="1"/>
      <c r="M461" s="1"/>
      <c r="N461" s="1"/>
      <c r="O461" s="1"/>
      <c r="P461" s="1"/>
      <c r="Q461" s="1"/>
      <c r="R461" s="1"/>
      <c r="S461" s="1"/>
      <c r="T461" s="1"/>
      <c r="U461" s="1"/>
      <c r="V461" s="1"/>
      <c r="W461" s="1"/>
      <c r="X461" s="1"/>
    </row>
    <row r="462">
      <c r="A462" s="2"/>
      <c r="B462" s="2"/>
      <c r="C462" s="88"/>
      <c r="D462" s="89"/>
      <c r="E462" s="4"/>
      <c r="F462" s="91"/>
      <c r="G462" s="91"/>
      <c r="H462" s="4"/>
      <c r="I462" s="98"/>
      <c r="J462" s="2"/>
      <c r="K462" s="1"/>
      <c r="L462" s="1"/>
      <c r="M462" s="1"/>
      <c r="N462" s="1"/>
      <c r="O462" s="1"/>
      <c r="P462" s="1"/>
      <c r="Q462" s="1"/>
      <c r="R462" s="1"/>
      <c r="S462" s="1"/>
      <c r="T462" s="1"/>
      <c r="U462" s="1"/>
      <c r="V462" s="1"/>
      <c r="W462" s="1"/>
      <c r="X462" s="1"/>
    </row>
    <row r="463">
      <c r="A463" s="2"/>
      <c r="B463" s="2"/>
      <c r="C463" s="88"/>
      <c r="D463" s="89"/>
      <c r="E463" s="4"/>
      <c r="F463" s="91"/>
      <c r="G463" s="91"/>
      <c r="H463" s="4"/>
      <c r="I463" s="98"/>
      <c r="J463" s="2"/>
      <c r="K463" s="1"/>
      <c r="L463" s="1"/>
      <c r="M463" s="1"/>
      <c r="N463" s="1"/>
      <c r="O463" s="1"/>
      <c r="P463" s="1"/>
      <c r="Q463" s="1"/>
      <c r="R463" s="1"/>
      <c r="S463" s="1"/>
      <c r="T463" s="1"/>
      <c r="U463" s="1"/>
      <c r="V463" s="1"/>
      <c r="W463" s="1"/>
      <c r="X463" s="1"/>
    </row>
    <row r="464">
      <c r="A464" s="2"/>
      <c r="B464" s="2"/>
      <c r="C464" s="88"/>
      <c r="D464" s="89"/>
      <c r="E464" s="4"/>
      <c r="F464" s="91"/>
      <c r="G464" s="91"/>
      <c r="H464" s="4"/>
      <c r="I464" s="98"/>
      <c r="J464" s="2"/>
      <c r="K464" s="1"/>
      <c r="L464" s="1"/>
      <c r="M464" s="1"/>
      <c r="N464" s="1"/>
      <c r="O464" s="1"/>
      <c r="P464" s="1"/>
      <c r="Q464" s="1"/>
      <c r="R464" s="1"/>
      <c r="S464" s="1"/>
      <c r="T464" s="1"/>
      <c r="U464" s="1"/>
      <c r="V464" s="1"/>
      <c r="W464" s="1"/>
      <c r="X464" s="1"/>
    </row>
    <row r="465">
      <c r="A465" s="2"/>
      <c r="B465" s="2"/>
      <c r="C465" s="88"/>
      <c r="D465" s="89"/>
      <c r="E465" s="4"/>
      <c r="F465" s="91"/>
      <c r="G465" s="91"/>
      <c r="H465" s="4"/>
      <c r="I465" s="98"/>
      <c r="J465" s="2"/>
      <c r="K465" s="1"/>
      <c r="L465" s="1"/>
      <c r="M465" s="1"/>
      <c r="N465" s="1"/>
      <c r="O465" s="1"/>
      <c r="P465" s="1"/>
      <c r="Q465" s="1"/>
      <c r="R465" s="1"/>
      <c r="S465" s="1"/>
      <c r="T465" s="1"/>
      <c r="U465" s="1"/>
      <c r="V465" s="1"/>
      <c r="W465" s="1"/>
      <c r="X465" s="1"/>
    </row>
    <row r="466">
      <c r="A466" s="2"/>
      <c r="B466" s="2"/>
      <c r="C466" s="88"/>
      <c r="D466" s="89"/>
      <c r="E466" s="4"/>
      <c r="F466" s="91"/>
      <c r="G466" s="91"/>
      <c r="H466" s="4"/>
      <c r="I466" s="98"/>
      <c r="J466" s="2"/>
      <c r="K466" s="1"/>
      <c r="L466" s="1"/>
      <c r="M466" s="1"/>
      <c r="N466" s="1"/>
      <c r="O466" s="1"/>
      <c r="P466" s="1"/>
      <c r="Q466" s="1"/>
      <c r="R466" s="1"/>
      <c r="S466" s="1"/>
      <c r="T466" s="1"/>
      <c r="U466" s="1"/>
      <c r="V466" s="1"/>
      <c r="W466" s="1"/>
      <c r="X466" s="1"/>
    </row>
    <row r="467">
      <c r="A467" s="2"/>
      <c r="B467" s="2"/>
      <c r="C467" s="88"/>
      <c r="D467" s="89"/>
      <c r="E467" s="4"/>
      <c r="F467" s="91"/>
      <c r="G467" s="91"/>
      <c r="H467" s="4"/>
      <c r="I467" s="98"/>
      <c r="J467" s="2"/>
      <c r="K467" s="1"/>
      <c r="L467" s="1"/>
      <c r="M467" s="1"/>
      <c r="N467" s="1"/>
      <c r="O467" s="1"/>
      <c r="P467" s="1"/>
      <c r="Q467" s="1"/>
      <c r="R467" s="1"/>
      <c r="S467" s="1"/>
      <c r="T467" s="1"/>
      <c r="U467" s="1"/>
      <c r="V467" s="1"/>
      <c r="W467" s="1"/>
      <c r="X467" s="1"/>
    </row>
    <row r="468">
      <c r="A468" s="2"/>
      <c r="B468" s="2"/>
      <c r="C468" s="88"/>
      <c r="D468" s="89"/>
      <c r="E468" s="4"/>
      <c r="F468" s="91"/>
      <c r="G468" s="91"/>
      <c r="H468" s="4"/>
      <c r="I468" s="98"/>
      <c r="J468" s="2"/>
      <c r="K468" s="1"/>
      <c r="L468" s="1"/>
      <c r="M468" s="1"/>
      <c r="N468" s="1"/>
      <c r="O468" s="1"/>
      <c r="P468" s="1"/>
      <c r="Q468" s="1"/>
      <c r="R468" s="1"/>
      <c r="S468" s="1"/>
      <c r="T468" s="1"/>
      <c r="U468" s="1"/>
      <c r="V468" s="1"/>
      <c r="W468" s="1"/>
      <c r="X468" s="1"/>
    </row>
    <row r="469">
      <c r="A469" s="2"/>
      <c r="B469" s="2"/>
      <c r="C469" s="88"/>
      <c r="D469" s="89"/>
      <c r="E469" s="4"/>
      <c r="F469" s="91"/>
      <c r="G469" s="91"/>
      <c r="H469" s="4"/>
      <c r="I469" s="98"/>
      <c r="J469" s="2"/>
      <c r="K469" s="1"/>
      <c r="L469" s="1"/>
      <c r="M469" s="1"/>
      <c r="N469" s="1"/>
      <c r="O469" s="1"/>
      <c r="P469" s="1"/>
      <c r="Q469" s="1"/>
      <c r="R469" s="1"/>
      <c r="S469" s="1"/>
      <c r="T469" s="1"/>
      <c r="U469" s="1"/>
      <c r="V469" s="1"/>
      <c r="W469" s="1"/>
      <c r="X469" s="1"/>
    </row>
    <row r="470">
      <c r="A470" s="2"/>
      <c r="B470" s="2"/>
      <c r="C470" s="88"/>
      <c r="D470" s="89"/>
      <c r="E470" s="4"/>
      <c r="F470" s="91"/>
      <c r="G470" s="91"/>
      <c r="H470" s="4"/>
      <c r="I470" s="98"/>
      <c r="J470" s="2"/>
      <c r="K470" s="1"/>
      <c r="L470" s="1"/>
      <c r="M470" s="1"/>
      <c r="N470" s="1"/>
      <c r="O470" s="1"/>
      <c r="P470" s="1"/>
      <c r="Q470" s="1"/>
      <c r="R470" s="1"/>
      <c r="S470" s="1"/>
      <c r="T470" s="1"/>
      <c r="U470" s="1"/>
      <c r="V470" s="1"/>
      <c r="W470" s="1"/>
      <c r="X470" s="1"/>
    </row>
    <row r="471">
      <c r="A471" s="2"/>
      <c r="B471" s="2"/>
      <c r="C471" s="88"/>
      <c r="D471" s="89"/>
      <c r="E471" s="4"/>
      <c r="F471" s="91"/>
      <c r="G471" s="91"/>
      <c r="H471" s="4"/>
      <c r="I471" s="98"/>
      <c r="J471" s="2"/>
      <c r="K471" s="1"/>
      <c r="L471" s="1"/>
      <c r="M471" s="1"/>
      <c r="N471" s="1"/>
      <c r="O471" s="1"/>
      <c r="P471" s="1"/>
      <c r="Q471" s="1"/>
      <c r="R471" s="1"/>
      <c r="S471" s="1"/>
      <c r="T471" s="1"/>
      <c r="U471" s="1"/>
      <c r="V471" s="1"/>
      <c r="W471" s="1"/>
      <c r="X471" s="1"/>
    </row>
    <row r="472">
      <c r="A472" s="2"/>
      <c r="B472" s="2"/>
      <c r="C472" s="88"/>
      <c r="D472" s="89"/>
      <c r="E472" s="4"/>
      <c r="F472" s="91"/>
      <c r="G472" s="91"/>
      <c r="H472" s="4"/>
      <c r="I472" s="98"/>
      <c r="J472" s="2"/>
      <c r="K472" s="1"/>
      <c r="L472" s="1"/>
      <c r="M472" s="1"/>
      <c r="N472" s="1"/>
      <c r="O472" s="1"/>
      <c r="P472" s="1"/>
      <c r="Q472" s="1"/>
      <c r="R472" s="1"/>
      <c r="S472" s="1"/>
      <c r="T472" s="1"/>
      <c r="U472" s="1"/>
      <c r="V472" s="1"/>
      <c r="W472" s="1"/>
      <c r="X472" s="1"/>
    </row>
    <row r="473">
      <c r="A473" s="2"/>
      <c r="B473" s="2"/>
      <c r="C473" s="88"/>
      <c r="D473" s="89"/>
      <c r="E473" s="4"/>
      <c r="F473" s="91"/>
      <c r="G473" s="91"/>
      <c r="H473" s="4"/>
      <c r="I473" s="98"/>
      <c r="J473" s="2"/>
      <c r="K473" s="1"/>
      <c r="L473" s="1"/>
      <c r="M473" s="1"/>
      <c r="N473" s="1"/>
      <c r="O473" s="1"/>
      <c r="P473" s="1"/>
      <c r="Q473" s="1"/>
      <c r="R473" s="1"/>
      <c r="S473" s="1"/>
      <c r="T473" s="1"/>
      <c r="U473" s="1"/>
      <c r="V473" s="1"/>
      <c r="W473" s="1"/>
      <c r="X473" s="1"/>
    </row>
    <row r="474">
      <c r="A474" s="2"/>
      <c r="B474" s="2"/>
      <c r="C474" s="88"/>
      <c r="D474" s="89"/>
      <c r="E474" s="4"/>
      <c r="F474" s="91"/>
      <c r="G474" s="91"/>
      <c r="H474" s="4"/>
      <c r="I474" s="98"/>
      <c r="J474" s="2"/>
      <c r="K474" s="1"/>
      <c r="L474" s="1"/>
      <c r="M474" s="1"/>
      <c r="N474" s="1"/>
      <c r="O474" s="1"/>
      <c r="P474" s="1"/>
      <c r="Q474" s="1"/>
      <c r="R474" s="1"/>
      <c r="S474" s="1"/>
      <c r="T474" s="1"/>
      <c r="U474" s="1"/>
      <c r="V474" s="1"/>
      <c r="W474" s="1"/>
      <c r="X474" s="1"/>
    </row>
    <row r="475">
      <c r="A475" s="2"/>
      <c r="B475" s="2"/>
      <c r="C475" s="88"/>
      <c r="D475" s="89"/>
      <c r="E475" s="4"/>
      <c r="F475" s="91"/>
      <c r="G475" s="91"/>
      <c r="H475" s="4"/>
      <c r="I475" s="98"/>
      <c r="J475" s="2"/>
      <c r="K475" s="1"/>
      <c r="L475" s="1"/>
      <c r="M475" s="1"/>
      <c r="N475" s="1"/>
      <c r="O475" s="1"/>
      <c r="P475" s="1"/>
      <c r="Q475" s="1"/>
      <c r="R475" s="1"/>
      <c r="S475" s="1"/>
      <c r="T475" s="1"/>
      <c r="U475" s="1"/>
      <c r="V475" s="1"/>
      <c r="W475" s="1"/>
      <c r="X475" s="1"/>
    </row>
    <row r="476">
      <c r="A476" s="2"/>
      <c r="B476" s="2"/>
      <c r="C476" s="88"/>
      <c r="D476" s="89"/>
      <c r="E476" s="4"/>
      <c r="F476" s="91"/>
      <c r="G476" s="91"/>
      <c r="H476" s="4"/>
      <c r="I476" s="98"/>
      <c r="J476" s="2"/>
      <c r="K476" s="1"/>
      <c r="L476" s="1"/>
      <c r="M476" s="1"/>
      <c r="N476" s="1"/>
      <c r="O476" s="1"/>
      <c r="P476" s="1"/>
      <c r="Q476" s="1"/>
      <c r="R476" s="1"/>
      <c r="S476" s="1"/>
      <c r="T476" s="1"/>
      <c r="U476" s="1"/>
      <c r="V476" s="1"/>
      <c r="W476" s="1"/>
      <c r="X476" s="1"/>
    </row>
    <row r="477">
      <c r="A477" s="2"/>
      <c r="B477" s="2"/>
      <c r="C477" s="88"/>
      <c r="D477" s="89"/>
      <c r="E477" s="4"/>
      <c r="F477" s="91"/>
      <c r="G477" s="91"/>
      <c r="H477" s="4"/>
      <c r="I477" s="98"/>
      <c r="J477" s="2"/>
      <c r="K477" s="1"/>
      <c r="L477" s="1"/>
      <c r="M477" s="1"/>
      <c r="N477" s="1"/>
      <c r="O477" s="1"/>
      <c r="P477" s="1"/>
      <c r="Q477" s="1"/>
      <c r="R477" s="1"/>
      <c r="S477" s="1"/>
      <c r="T477" s="1"/>
      <c r="U477" s="1"/>
      <c r="V477" s="1"/>
      <c r="W477" s="1"/>
      <c r="X477" s="1"/>
    </row>
    <row r="478">
      <c r="A478" s="2"/>
      <c r="B478" s="2"/>
      <c r="C478" s="88"/>
      <c r="D478" s="89"/>
      <c r="E478" s="4"/>
      <c r="F478" s="91"/>
      <c r="G478" s="91"/>
      <c r="H478" s="4"/>
      <c r="I478" s="98"/>
      <c r="J478" s="2"/>
      <c r="K478" s="1"/>
      <c r="L478" s="1"/>
      <c r="M478" s="1"/>
      <c r="N478" s="1"/>
      <c r="O478" s="1"/>
      <c r="P478" s="1"/>
      <c r="Q478" s="1"/>
      <c r="R478" s="1"/>
      <c r="S478" s="1"/>
      <c r="T478" s="1"/>
      <c r="U478" s="1"/>
      <c r="V478" s="1"/>
      <c r="W478" s="1"/>
      <c r="X478" s="1"/>
    </row>
    <row r="479">
      <c r="A479" s="2"/>
      <c r="B479" s="2"/>
      <c r="C479" s="88"/>
      <c r="D479" s="89"/>
      <c r="E479" s="4"/>
      <c r="F479" s="91"/>
      <c r="G479" s="91"/>
      <c r="H479" s="4"/>
      <c r="I479" s="98"/>
      <c r="J479" s="2"/>
      <c r="K479" s="1"/>
      <c r="L479" s="1"/>
      <c r="M479" s="1"/>
      <c r="N479" s="1"/>
      <c r="O479" s="1"/>
      <c r="P479" s="1"/>
      <c r="Q479" s="1"/>
      <c r="R479" s="1"/>
      <c r="S479" s="1"/>
      <c r="T479" s="1"/>
      <c r="U479" s="1"/>
      <c r="V479" s="1"/>
      <c r="W479" s="1"/>
      <c r="X479" s="1"/>
    </row>
    <row r="480">
      <c r="A480" s="2"/>
      <c r="B480" s="2"/>
      <c r="C480" s="88"/>
      <c r="D480" s="89"/>
      <c r="E480" s="4"/>
      <c r="F480" s="91"/>
      <c r="G480" s="91"/>
      <c r="H480" s="4"/>
      <c r="I480" s="98"/>
      <c r="J480" s="2"/>
      <c r="K480" s="1"/>
      <c r="L480" s="1"/>
      <c r="M480" s="1"/>
      <c r="N480" s="1"/>
      <c r="O480" s="1"/>
      <c r="P480" s="1"/>
      <c r="Q480" s="1"/>
      <c r="R480" s="1"/>
      <c r="S480" s="1"/>
      <c r="T480" s="1"/>
      <c r="U480" s="1"/>
      <c r="V480" s="1"/>
      <c r="W480" s="1"/>
      <c r="X480" s="1"/>
    </row>
    <row r="481">
      <c r="A481" s="2"/>
      <c r="B481" s="2"/>
      <c r="C481" s="88"/>
      <c r="D481" s="89"/>
      <c r="E481" s="4"/>
      <c r="F481" s="91"/>
      <c r="G481" s="91"/>
      <c r="H481" s="4"/>
      <c r="I481" s="98"/>
      <c r="J481" s="2"/>
      <c r="K481" s="1"/>
      <c r="L481" s="1"/>
      <c r="M481" s="1"/>
      <c r="N481" s="1"/>
      <c r="O481" s="1"/>
      <c r="P481" s="1"/>
      <c r="Q481" s="1"/>
      <c r="R481" s="1"/>
      <c r="S481" s="1"/>
      <c r="T481" s="1"/>
      <c r="U481" s="1"/>
      <c r="V481" s="1"/>
      <c r="W481" s="1"/>
      <c r="X481" s="1"/>
    </row>
    <row r="482">
      <c r="A482" s="2"/>
      <c r="B482" s="2"/>
      <c r="C482" s="88"/>
      <c r="D482" s="89"/>
      <c r="E482" s="4"/>
      <c r="F482" s="91"/>
      <c r="G482" s="91"/>
      <c r="H482" s="4"/>
      <c r="I482" s="98"/>
      <c r="J482" s="2"/>
      <c r="K482" s="1"/>
      <c r="L482" s="1"/>
      <c r="M482" s="1"/>
      <c r="N482" s="1"/>
      <c r="O482" s="1"/>
      <c r="P482" s="1"/>
      <c r="Q482" s="1"/>
      <c r="R482" s="1"/>
      <c r="S482" s="1"/>
      <c r="T482" s="1"/>
      <c r="U482" s="1"/>
      <c r="V482" s="1"/>
      <c r="W482" s="1"/>
      <c r="X482" s="1"/>
    </row>
    <row r="483">
      <c r="A483" s="2"/>
      <c r="B483" s="2"/>
      <c r="C483" s="88"/>
      <c r="D483" s="89"/>
      <c r="E483" s="4"/>
      <c r="F483" s="91"/>
      <c r="G483" s="91"/>
      <c r="H483" s="4"/>
      <c r="I483" s="98"/>
      <c r="J483" s="2"/>
      <c r="K483" s="1"/>
      <c r="L483" s="1"/>
      <c r="M483" s="1"/>
      <c r="N483" s="1"/>
      <c r="O483" s="1"/>
      <c r="P483" s="1"/>
      <c r="Q483" s="1"/>
      <c r="R483" s="1"/>
      <c r="S483" s="1"/>
      <c r="T483" s="1"/>
      <c r="U483" s="1"/>
      <c r="V483" s="1"/>
      <c r="W483" s="1"/>
      <c r="X483" s="1"/>
    </row>
    <row r="484">
      <c r="A484" s="2"/>
      <c r="B484" s="2"/>
      <c r="C484" s="88"/>
      <c r="D484" s="89"/>
      <c r="E484" s="4"/>
      <c r="F484" s="91"/>
      <c r="G484" s="91"/>
      <c r="H484" s="4"/>
      <c r="I484" s="98"/>
      <c r="J484" s="2"/>
      <c r="K484" s="1"/>
      <c r="L484" s="1"/>
      <c r="M484" s="1"/>
      <c r="N484" s="1"/>
      <c r="O484" s="1"/>
      <c r="P484" s="1"/>
      <c r="Q484" s="1"/>
      <c r="R484" s="1"/>
      <c r="S484" s="1"/>
      <c r="T484" s="1"/>
      <c r="U484" s="1"/>
      <c r="V484" s="1"/>
      <c r="W484" s="1"/>
      <c r="X484" s="1"/>
    </row>
    <row r="485">
      <c r="A485" s="2"/>
      <c r="B485" s="2"/>
      <c r="C485" s="88"/>
      <c r="D485" s="89"/>
      <c r="E485" s="4"/>
      <c r="F485" s="91"/>
      <c r="G485" s="91"/>
      <c r="H485" s="4"/>
      <c r="I485" s="98"/>
      <c r="J485" s="2"/>
      <c r="K485" s="1"/>
      <c r="L485" s="1"/>
      <c r="M485" s="1"/>
      <c r="N485" s="1"/>
      <c r="O485" s="1"/>
      <c r="P485" s="1"/>
      <c r="Q485" s="1"/>
      <c r="R485" s="1"/>
      <c r="S485" s="1"/>
      <c r="T485" s="1"/>
      <c r="U485" s="1"/>
      <c r="V485" s="1"/>
      <c r="W485" s="1"/>
      <c r="X485" s="1"/>
    </row>
    <row r="486">
      <c r="A486" s="2"/>
      <c r="B486" s="2"/>
      <c r="C486" s="88"/>
      <c r="D486" s="89"/>
      <c r="E486" s="4"/>
      <c r="F486" s="91"/>
      <c r="G486" s="91"/>
      <c r="H486" s="4"/>
      <c r="I486" s="98"/>
      <c r="J486" s="2"/>
      <c r="K486" s="1"/>
      <c r="L486" s="1"/>
      <c r="M486" s="1"/>
      <c r="N486" s="1"/>
      <c r="O486" s="1"/>
      <c r="P486" s="1"/>
      <c r="Q486" s="1"/>
      <c r="R486" s="1"/>
      <c r="S486" s="1"/>
      <c r="T486" s="1"/>
      <c r="U486" s="1"/>
      <c r="V486" s="1"/>
      <c r="W486" s="1"/>
      <c r="X486" s="1"/>
    </row>
    <row r="487">
      <c r="A487" s="2"/>
      <c r="B487" s="2"/>
      <c r="C487" s="88"/>
      <c r="D487" s="89"/>
      <c r="E487" s="4"/>
      <c r="F487" s="91"/>
      <c r="G487" s="91"/>
      <c r="H487" s="4"/>
      <c r="I487" s="98"/>
      <c r="J487" s="2"/>
      <c r="K487" s="1"/>
      <c r="L487" s="1"/>
      <c r="M487" s="1"/>
      <c r="N487" s="1"/>
      <c r="O487" s="1"/>
      <c r="P487" s="1"/>
      <c r="Q487" s="1"/>
      <c r="R487" s="1"/>
      <c r="S487" s="1"/>
      <c r="T487" s="1"/>
      <c r="U487" s="1"/>
      <c r="V487" s="1"/>
      <c r="W487" s="1"/>
      <c r="X487" s="1"/>
    </row>
    <row r="488">
      <c r="A488" s="2"/>
      <c r="B488" s="2"/>
      <c r="C488" s="88"/>
      <c r="D488" s="89"/>
      <c r="E488" s="4"/>
      <c r="F488" s="91"/>
      <c r="G488" s="91"/>
      <c r="H488" s="4"/>
      <c r="I488" s="98"/>
      <c r="J488" s="2"/>
      <c r="K488" s="1"/>
      <c r="L488" s="1"/>
      <c r="M488" s="1"/>
      <c r="N488" s="1"/>
      <c r="O488" s="1"/>
      <c r="P488" s="1"/>
      <c r="Q488" s="1"/>
      <c r="R488" s="1"/>
      <c r="S488" s="1"/>
      <c r="T488" s="1"/>
      <c r="U488" s="1"/>
      <c r="V488" s="1"/>
      <c r="W488" s="1"/>
      <c r="X488" s="1"/>
    </row>
    <row r="489">
      <c r="A489" s="2"/>
      <c r="B489" s="2"/>
      <c r="C489" s="88"/>
      <c r="D489" s="89"/>
      <c r="E489" s="4"/>
      <c r="F489" s="91"/>
      <c r="G489" s="91"/>
      <c r="H489" s="4"/>
      <c r="I489" s="98"/>
      <c r="J489" s="2"/>
      <c r="K489" s="1"/>
      <c r="L489" s="1"/>
      <c r="M489" s="1"/>
      <c r="N489" s="1"/>
      <c r="O489" s="1"/>
      <c r="P489" s="1"/>
      <c r="Q489" s="1"/>
      <c r="R489" s="1"/>
      <c r="S489" s="1"/>
      <c r="T489" s="1"/>
      <c r="U489" s="1"/>
      <c r="V489" s="1"/>
      <c r="W489" s="1"/>
      <c r="X489" s="1"/>
    </row>
    <row r="490">
      <c r="A490" s="2"/>
      <c r="B490" s="2"/>
      <c r="C490" s="88"/>
      <c r="D490" s="89"/>
      <c r="E490" s="4"/>
      <c r="F490" s="91"/>
      <c r="G490" s="91"/>
      <c r="H490" s="4"/>
      <c r="I490" s="98"/>
      <c r="J490" s="2"/>
      <c r="K490" s="1"/>
      <c r="L490" s="1"/>
      <c r="M490" s="1"/>
      <c r="N490" s="1"/>
      <c r="O490" s="1"/>
      <c r="P490" s="1"/>
      <c r="Q490" s="1"/>
      <c r="R490" s="1"/>
      <c r="S490" s="1"/>
      <c r="T490" s="1"/>
      <c r="U490" s="1"/>
      <c r="V490" s="1"/>
      <c r="W490" s="1"/>
      <c r="X490" s="1"/>
    </row>
    <row r="491">
      <c r="A491" s="2"/>
      <c r="B491" s="2"/>
      <c r="C491" s="88"/>
      <c r="D491" s="89"/>
      <c r="E491" s="4"/>
      <c r="F491" s="91"/>
      <c r="G491" s="91"/>
      <c r="H491" s="4"/>
      <c r="I491" s="98"/>
      <c r="J491" s="2"/>
      <c r="K491" s="1"/>
      <c r="L491" s="1"/>
      <c r="M491" s="1"/>
      <c r="N491" s="1"/>
      <c r="O491" s="1"/>
      <c r="P491" s="1"/>
      <c r="Q491" s="1"/>
      <c r="R491" s="1"/>
      <c r="S491" s="1"/>
      <c r="T491" s="1"/>
      <c r="U491" s="1"/>
      <c r="V491" s="1"/>
      <c r="W491" s="1"/>
      <c r="X491" s="1"/>
    </row>
    <row r="492">
      <c r="A492" s="2"/>
      <c r="B492" s="2"/>
      <c r="C492" s="88"/>
      <c r="D492" s="89"/>
      <c r="E492" s="4"/>
      <c r="F492" s="91"/>
      <c r="G492" s="91"/>
      <c r="H492" s="4"/>
      <c r="I492" s="98"/>
      <c r="J492" s="2"/>
      <c r="K492" s="1"/>
      <c r="L492" s="1"/>
      <c r="M492" s="1"/>
      <c r="N492" s="1"/>
      <c r="O492" s="1"/>
      <c r="P492" s="1"/>
      <c r="Q492" s="1"/>
      <c r="R492" s="1"/>
      <c r="S492" s="1"/>
      <c r="T492" s="1"/>
      <c r="U492" s="1"/>
      <c r="V492" s="1"/>
      <c r="W492" s="1"/>
      <c r="X492" s="1"/>
    </row>
    <row r="493">
      <c r="A493" s="2"/>
      <c r="B493" s="2"/>
      <c r="C493" s="88"/>
      <c r="D493" s="89"/>
      <c r="E493" s="4"/>
      <c r="F493" s="91"/>
      <c r="G493" s="91"/>
      <c r="H493" s="4"/>
      <c r="I493" s="98"/>
      <c r="J493" s="2"/>
      <c r="K493" s="1"/>
      <c r="L493" s="1"/>
      <c r="M493" s="1"/>
      <c r="N493" s="1"/>
      <c r="O493" s="1"/>
      <c r="P493" s="1"/>
      <c r="Q493" s="1"/>
      <c r="R493" s="1"/>
      <c r="S493" s="1"/>
      <c r="T493" s="1"/>
      <c r="U493" s="1"/>
      <c r="V493" s="1"/>
      <c r="W493" s="1"/>
      <c r="X493" s="1"/>
    </row>
    <row r="494">
      <c r="A494" s="2"/>
      <c r="B494" s="2"/>
      <c r="C494" s="88"/>
      <c r="D494" s="89"/>
      <c r="E494" s="4"/>
      <c r="F494" s="91"/>
      <c r="G494" s="91"/>
      <c r="H494" s="4"/>
      <c r="I494" s="98"/>
      <c r="J494" s="2"/>
      <c r="K494" s="1"/>
      <c r="L494" s="1"/>
      <c r="M494" s="1"/>
      <c r="N494" s="1"/>
      <c r="O494" s="1"/>
      <c r="P494" s="1"/>
      <c r="Q494" s="1"/>
      <c r="R494" s="1"/>
      <c r="S494" s="1"/>
      <c r="T494" s="1"/>
      <c r="U494" s="1"/>
      <c r="V494" s="1"/>
      <c r="W494" s="1"/>
      <c r="X494" s="1"/>
    </row>
    <row r="495">
      <c r="A495" s="2"/>
      <c r="B495" s="2"/>
      <c r="C495" s="88"/>
      <c r="D495" s="89"/>
      <c r="E495" s="4"/>
      <c r="F495" s="91"/>
      <c r="G495" s="91"/>
      <c r="H495" s="4"/>
      <c r="I495" s="98"/>
      <c r="J495" s="2"/>
      <c r="K495" s="1"/>
      <c r="L495" s="1"/>
      <c r="M495" s="1"/>
      <c r="N495" s="1"/>
      <c r="O495" s="1"/>
      <c r="P495" s="1"/>
      <c r="Q495" s="1"/>
      <c r="R495" s="1"/>
      <c r="S495" s="1"/>
      <c r="T495" s="1"/>
      <c r="U495" s="1"/>
      <c r="V495" s="1"/>
      <c r="W495" s="1"/>
      <c r="X495" s="1"/>
    </row>
    <row r="496">
      <c r="A496" s="2"/>
      <c r="B496" s="2"/>
      <c r="C496" s="88"/>
      <c r="D496" s="89"/>
      <c r="E496" s="4"/>
      <c r="F496" s="91"/>
      <c r="G496" s="91"/>
      <c r="H496" s="4"/>
      <c r="I496" s="98"/>
      <c r="J496" s="2"/>
      <c r="K496" s="1"/>
      <c r="L496" s="1"/>
      <c r="M496" s="1"/>
      <c r="N496" s="1"/>
      <c r="O496" s="1"/>
      <c r="P496" s="1"/>
      <c r="Q496" s="1"/>
      <c r="R496" s="1"/>
      <c r="S496" s="1"/>
      <c r="T496" s="1"/>
      <c r="U496" s="1"/>
      <c r="V496" s="1"/>
      <c r="W496" s="1"/>
      <c r="X496" s="1"/>
    </row>
    <row r="497">
      <c r="A497" s="2"/>
      <c r="B497" s="2"/>
      <c r="C497" s="88"/>
      <c r="D497" s="89"/>
      <c r="E497" s="4"/>
      <c r="F497" s="91"/>
      <c r="G497" s="91"/>
      <c r="H497" s="4"/>
      <c r="I497" s="98"/>
      <c r="J497" s="2"/>
      <c r="K497" s="1"/>
      <c r="L497" s="1"/>
      <c r="M497" s="1"/>
      <c r="N497" s="1"/>
      <c r="O497" s="1"/>
      <c r="P497" s="1"/>
      <c r="Q497" s="1"/>
      <c r="R497" s="1"/>
      <c r="S497" s="1"/>
      <c r="T497" s="1"/>
      <c r="U497" s="1"/>
      <c r="V497" s="1"/>
      <c r="W497" s="1"/>
      <c r="X497" s="1"/>
    </row>
    <row r="498">
      <c r="A498" s="2"/>
      <c r="B498" s="2"/>
      <c r="C498" s="88"/>
      <c r="D498" s="89"/>
      <c r="E498" s="4"/>
      <c r="F498" s="91"/>
      <c r="G498" s="91"/>
      <c r="H498" s="4"/>
      <c r="I498" s="98"/>
      <c r="J498" s="2"/>
      <c r="K498" s="1"/>
      <c r="L498" s="1"/>
      <c r="M498" s="1"/>
      <c r="N498" s="1"/>
      <c r="O498" s="1"/>
      <c r="P498" s="1"/>
      <c r="Q498" s="1"/>
      <c r="R498" s="1"/>
      <c r="S498" s="1"/>
      <c r="T498" s="1"/>
      <c r="U498" s="1"/>
      <c r="V498" s="1"/>
      <c r="W498" s="1"/>
      <c r="X498" s="1"/>
    </row>
    <row r="499">
      <c r="A499" s="2"/>
      <c r="B499" s="2"/>
      <c r="C499" s="88"/>
      <c r="D499" s="89"/>
      <c r="E499" s="4"/>
      <c r="F499" s="91"/>
      <c r="G499" s="91"/>
      <c r="H499" s="4"/>
      <c r="I499" s="98"/>
      <c r="J499" s="2"/>
      <c r="K499" s="1"/>
      <c r="L499" s="1"/>
      <c r="M499" s="1"/>
      <c r="N499" s="1"/>
      <c r="O499" s="1"/>
      <c r="P499" s="1"/>
      <c r="Q499" s="1"/>
      <c r="R499" s="1"/>
      <c r="S499" s="1"/>
      <c r="T499" s="1"/>
      <c r="U499" s="1"/>
      <c r="V499" s="1"/>
      <c r="W499" s="1"/>
      <c r="X499" s="1"/>
    </row>
    <row r="500">
      <c r="A500" s="2"/>
      <c r="B500" s="2"/>
      <c r="C500" s="88"/>
      <c r="D500" s="89"/>
      <c r="E500" s="4"/>
      <c r="F500" s="91"/>
      <c r="G500" s="91"/>
      <c r="H500" s="4"/>
      <c r="I500" s="98"/>
      <c r="J500" s="2"/>
      <c r="K500" s="1"/>
      <c r="L500" s="1"/>
      <c r="M500" s="1"/>
      <c r="N500" s="1"/>
      <c r="O500" s="1"/>
      <c r="P500" s="1"/>
      <c r="Q500" s="1"/>
      <c r="R500" s="1"/>
      <c r="S500" s="1"/>
      <c r="T500" s="1"/>
      <c r="U500" s="1"/>
      <c r="V500" s="1"/>
      <c r="W500" s="1"/>
      <c r="X500" s="1"/>
    </row>
    <row r="501">
      <c r="A501" s="2"/>
      <c r="B501" s="2"/>
      <c r="C501" s="88"/>
      <c r="D501" s="89"/>
      <c r="E501" s="4"/>
      <c r="F501" s="91"/>
      <c r="G501" s="91"/>
      <c r="H501" s="4"/>
      <c r="I501" s="98"/>
      <c r="J501" s="2"/>
      <c r="K501" s="1"/>
      <c r="L501" s="1"/>
      <c r="M501" s="1"/>
      <c r="N501" s="1"/>
      <c r="O501" s="1"/>
      <c r="P501" s="1"/>
      <c r="Q501" s="1"/>
      <c r="R501" s="1"/>
      <c r="S501" s="1"/>
      <c r="T501" s="1"/>
      <c r="U501" s="1"/>
      <c r="V501" s="1"/>
      <c r="W501" s="1"/>
      <c r="X501" s="1"/>
    </row>
    <row r="502">
      <c r="A502" s="2"/>
      <c r="B502" s="2"/>
      <c r="C502" s="88"/>
      <c r="D502" s="89"/>
      <c r="E502" s="4"/>
      <c r="F502" s="91"/>
      <c r="G502" s="91"/>
      <c r="H502" s="4"/>
      <c r="I502" s="98"/>
      <c r="J502" s="2"/>
      <c r="K502" s="1"/>
      <c r="L502" s="1"/>
      <c r="M502" s="1"/>
      <c r="N502" s="1"/>
      <c r="O502" s="1"/>
      <c r="P502" s="1"/>
      <c r="Q502" s="1"/>
      <c r="R502" s="1"/>
      <c r="S502" s="1"/>
      <c r="T502" s="1"/>
      <c r="U502" s="1"/>
      <c r="V502" s="1"/>
      <c r="W502" s="1"/>
      <c r="X502" s="1"/>
    </row>
    <row r="503">
      <c r="A503" s="2"/>
      <c r="B503" s="2"/>
      <c r="C503" s="88"/>
      <c r="D503" s="89"/>
      <c r="E503" s="4"/>
      <c r="F503" s="91"/>
      <c r="G503" s="91"/>
      <c r="H503" s="4"/>
      <c r="I503" s="98"/>
      <c r="J503" s="2"/>
      <c r="K503" s="1"/>
      <c r="L503" s="1"/>
      <c r="M503" s="1"/>
      <c r="N503" s="1"/>
      <c r="O503" s="1"/>
      <c r="P503" s="1"/>
      <c r="Q503" s="1"/>
      <c r="R503" s="1"/>
      <c r="S503" s="1"/>
      <c r="T503" s="1"/>
      <c r="U503" s="1"/>
      <c r="V503" s="1"/>
      <c r="W503" s="1"/>
      <c r="X503" s="1"/>
    </row>
    <row r="504">
      <c r="A504" s="2"/>
      <c r="B504" s="2"/>
      <c r="C504" s="88"/>
      <c r="D504" s="89"/>
      <c r="E504" s="4"/>
      <c r="F504" s="91"/>
      <c r="G504" s="91"/>
      <c r="H504" s="4"/>
      <c r="I504" s="98"/>
      <c r="J504" s="2"/>
      <c r="K504" s="1"/>
      <c r="L504" s="1"/>
      <c r="M504" s="1"/>
      <c r="N504" s="1"/>
      <c r="O504" s="1"/>
      <c r="P504" s="1"/>
      <c r="Q504" s="1"/>
      <c r="R504" s="1"/>
      <c r="S504" s="1"/>
      <c r="T504" s="1"/>
      <c r="U504" s="1"/>
      <c r="V504" s="1"/>
      <c r="W504" s="1"/>
      <c r="X504" s="1"/>
    </row>
    <row r="505">
      <c r="A505" s="2"/>
      <c r="B505" s="2"/>
      <c r="C505" s="88"/>
      <c r="D505" s="89"/>
      <c r="E505" s="4"/>
      <c r="F505" s="91"/>
      <c r="G505" s="91"/>
      <c r="H505" s="4"/>
      <c r="I505" s="98"/>
      <c r="J505" s="2"/>
      <c r="K505" s="1"/>
      <c r="L505" s="1"/>
      <c r="M505" s="1"/>
      <c r="N505" s="1"/>
      <c r="O505" s="1"/>
      <c r="P505" s="1"/>
      <c r="Q505" s="1"/>
      <c r="R505" s="1"/>
      <c r="S505" s="1"/>
      <c r="T505" s="1"/>
      <c r="U505" s="1"/>
      <c r="V505" s="1"/>
      <c r="W505" s="1"/>
      <c r="X505" s="1"/>
    </row>
    <row r="506">
      <c r="A506" s="2"/>
      <c r="B506" s="2"/>
      <c r="C506" s="88"/>
      <c r="D506" s="89"/>
      <c r="E506" s="4"/>
      <c r="F506" s="91"/>
      <c r="G506" s="91"/>
      <c r="H506" s="4"/>
      <c r="I506" s="98"/>
      <c r="J506" s="2"/>
      <c r="K506" s="1"/>
      <c r="L506" s="1"/>
      <c r="M506" s="1"/>
      <c r="N506" s="1"/>
      <c r="O506" s="1"/>
      <c r="P506" s="1"/>
      <c r="Q506" s="1"/>
      <c r="R506" s="1"/>
      <c r="S506" s="1"/>
      <c r="T506" s="1"/>
      <c r="U506" s="1"/>
      <c r="V506" s="1"/>
      <c r="W506" s="1"/>
      <c r="X506" s="1"/>
    </row>
    <row r="507">
      <c r="A507" s="2"/>
      <c r="B507" s="2"/>
      <c r="C507" s="88"/>
      <c r="D507" s="89"/>
      <c r="E507" s="4"/>
      <c r="F507" s="91"/>
      <c r="G507" s="91"/>
      <c r="H507" s="4"/>
      <c r="I507" s="98"/>
      <c r="J507" s="2"/>
      <c r="K507" s="1"/>
      <c r="L507" s="1"/>
      <c r="M507" s="1"/>
      <c r="N507" s="1"/>
      <c r="O507" s="1"/>
      <c r="P507" s="1"/>
      <c r="Q507" s="1"/>
      <c r="R507" s="1"/>
      <c r="S507" s="1"/>
      <c r="T507" s="1"/>
      <c r="U507" s="1"/>
      <c r="V507" s="1"/>
      <c r="W507" s="1"/>
      <c r="X507" s="1"/>
    </row>
    <row r="508">
      <c r="A508" s="2"/>
      <c r="B508" s="2"/>
      <c r="C508" s="88"/>
      <c r="D508" s="89"/>
      <c r="E508" s="4"/>
      <c r="F508" s="91"/>
      <c r="G508" s="91"/>
      <c r="H508" s="4"/>
      <c r="I508" s="98"/>
      <c r="J508" s="2"/>
      <c r="K508" s="1"/>
      <c r="L508" s="1"/>
      <c r="M508" s="1"/>
      <c r="N508" s="1"/>
      <c r="O508" s="1"/>
      <c r="P508" s="1"/>
      <c r="Q508" s="1"/>
      <c r="R508" s="1"/>
      <c r="S508" s="1"/>
      <c r="T508" s="1"/>
      <c r="U508" s="1"/>
      <c r="V508" s="1"/>
      <c r="W508" s="1"/>
      <c r="X508" s="1"/>
    </row>
    <row r="509">
      <c r="A509" s="2"/>
      <c r="B509" s="2"/>
      <c r="C509" s="88"/>
      <c r="D509" s="89"/>
      <c r="E509" s="4"/>
      <c r="F509" s="91"/>
      <c r="G509" s="91"/>
      <c r="H509" s="4"/>
      <c r="I509" s="98"/>
      <c r="J509" s="2"/>
      <c r="K509" s="1"/>
      <c r="L509" s="1"/>
      <c r="M509" s="1"/>
      <c r="N509" s="1"/>
      <c r="O509" s="1"/>
      <c r="P509" s="1"/>
      <c r="Q509" s="1"/>
      <c r="R509" s="1"/>
      <c r="S509" s="1"/>
      <c r="T509" s="1"/>
      <c r="U509" s="1"/>
      <c r="V509" s="1"/>
      <c r="W509" s="1"/>
      <c r="X509" s="1"/>
    </row>
    <row r="510">
      <c r="A510" s="2"/>
      <c r="B510" s="2"/>
      <c r="C510" s="88"/>
      <c r="D510" s="89"/>
      <c r="E510" s="4"/>
      <c r="F510" s="91"/>
      <c r="G510" s="91"/>
      <c r="H510" s="4"/>
      <c r="I510" s="98"/>
      <c r="J510" s="2"/>
      <c r="K510" s="1"/>
      <c r="L510" s="1"/>
      <c r="M510" s="1"/>
      <c r="N510" s="1"/>
      <c r="O510" s="1"/>
      <c r="P510" s="1"/>
      <c r="Q510" s="1"/>
      <c r="R510" s="1"/>
      <c r="S510" s="1"/>
      <c r="T510" s="1"/>
      <c r="U510" s="1"/>
      <c r="V510" s="1"/>
      <c r="W510" s="1"/>
      <c r="X510" s="1"/>
    </row>
    <row r="511">
      <c r="A511" s="2"/>
      <c r="B511" s="2"/>
      <c r="C511" s="88"/>
      <c r="D511" s="89"/>
      <c r="E511" s="4"/>
      <c r="F511" s="91"/>
      <c r="G511" s="91"/>
      <c r="H511" s="4"/>
      <c r="I511" s="98"/>
      <c r="J511" s="2"/>
      <c r="K511" s="1"/>
      <c r="L511" s="1"/>
      <c r="M511" s="1"/>
      <c r="N511" s="1"/>
      <c r="O511" s="1"/>
      <c r="P511" s="1"/>
      <c r="Q511" s="1"/>
      <c r="R511" s="1"/>
      <c r="S511" s="1"/>
      <c r="T511" s="1"/>
      <c r="U511" s="1"/>
      <c r="V511" s="1"/>
      <c r="W511" s="1"/>
      <c r="X511" s="1"/>
    </row>
    <row r="512">
      <c r="A512" s="2"/>
      <c r="B512" s="2"/>
      <c r="C512" s="88"/>
      <c r="D512" s="89"/>
      <c r="E512" s="4"/>
      <c r="F512" s="91"/>
      <c r="G512" s="91"/>
      <c r="H512" s="4"/>
      <c r="I512" s="98"/>
      <c r="J512" s="2"/>
      <c r="K512" s="1"/>
      <c r="L512" s="1"/>
      <c r="M512" s="1"/>
      <c r="N512" s="1"/>
      <c r="O512" s="1"/>
      <c r="P512" s="1"/>
      <c r="Q512" s="1"/>
      <c r="R512" s="1"/>
      <c r="S512" s="1"/>
      <c r="T512" s="1"/>
      <c r="U512" s="1"/>
      <c r="V512" s="1"/>
      <c r="W512" s="1"/>
      <c r="X512" s="1"/>
    </row>
    <row r="513">
      <c r="A513" s="2"/>
      <c r="B513" s="2"/>
      <c r="C513" s="88"/>
      <c r="D513" s="89"/>
      <c r="E513" s="4"/>
      <c r="F513" s="91"/>
      <c r="G513" s="91"/>
      <c r="H513" s="4"/>
      <c r="I513" s="98"/>
      <c r="J513" s="2"/>
      <c r="K513" s="1"/>
      <c r="L513" s="1"/>
      <c r="M513" s="1"/>
      <c r="N513" s="1"/>
      <c r="O513" s="1"/>
      <c r="P513" s="1"/>
      <c r="Q513" s="1"/>
      <c r="R513" s="1"/>
      <c r="S513" s="1"/>
      <c r="T513" s="1"/>
      <c r="U513" s="1"/>
      <c r="V513" s="1"/>
      <c r="W513" s="1"/>
      <c r="X513" s="1"/>
    </row>
    <row r="514">
      <c r="A514" s="2"/>
      <c r="B514" s="2"/>
      <c r="C514" s="88"/>
      <c r="D514" s="89"/>
      <c r="E514" s="4"/>
      <c r="F514" s="91"/>
      <c r="G514" s="91"/>
      <c r="H514" s="4"/>
      <c r="I514" s="98"/>
      <c r="J514" s="2"/>
      <c r="K514" s="1"/>
      <c r="L514" s="1"/>
      <c r="M514" s="1"/>
      <c r="N514" s="1"/>
      <c r="O514" s="1"/>
      <c r="P514" s="1"/>
      <c r="Q514" s="1"/>
      <c r="R514" s="1"/>
      <c r="S514" s="1"/>
      <c r="T514" s="1"/>
      <c r="U514" s="1"/>
      <c r="V514" s="1"/>
      <c r="W514" s="1"/>
      <c r="X514" s="1"/>
    </row>
    <row r="515">
      <c r="A515" s="2"/>
      <c r="B515" s="2"/>
      <c r="C515" s="88"/>
      <c r="D515" s="89"/>
      <c r="E515" s="4"/>
      <c r="F515" s="91"/>
      <c r="G515" s="91"/>
      <c r="H515" s="4"/>
      <c r="I515" s="98"/>
      <c r="J515" s="2"/>
      <c r="K515" s="1"/>
      <c r="L515" s="1"/>
      <c r="M515" s="1"/>
      <c r="N515" s="1"/>
      <c r="O515" s="1"/>
      <c r="P515" s="1"/>
      <c r="Q515" s="1"/>
      <c r="R515" s="1"/>
      <c r="S515" s="1"/>
      <c r="T515" s="1"/>
      <c r="U515" s="1"/>
      <c r="V515" s="1"/>
      <c r="W515" s="1"/>
      <c r="X515" s="1"/>
    </row>
    <row r="516">
      <c r="A516" s="2"/>
      <c r="B516" s="2"/>
      <c r="C516" s="88"/>
      <c r="D516" s="89"/>
      <c r="E516" s="4"/>
      <c r="F516" s="91"/>
      <c r="G516" s="91"/>
      <c r="H516" s="4"/>
      <c r="I516" s="98"/>
      <c r="J516" s="2"/>
      <c r="K516" s="1"/>
      <c r="L516" s="1"/>
      <c r="M516" s="1"/>
      <c r="N516" s="1"/>
      <c r="O516" s="1"/>
      <c r="P516" s="1"/>
      <c r="Q516" s="1"/>
      <c r="R516" s="1"/>
      <c r="S516" s="1"/>
      <c r="T516" s="1"/>
      <c r="U516" s="1"/>
      <c r="V516" s="1"/>
      <c r="W516" s="1"/>
      <c r="X516" s="1"/>
    </row>
    <row r="517">
      <c r="A517" s="2"/>
      <c r="B517" s="2"/>
      <c r="C517" s="88"/>
      <c r="D517" s="89"/>
      <c r="E517" s="4"/>
      <c r="F517" s="91"/>
      <c r="G517" s="91"/>
      <c r="H517" s="4"/>
      <c r="I517" s="98"/>
      <c r="J517" s="2"/>
      <c r="K517" s="1"/>
      <c r="L517" s="1"/>
      <c r="M517" s="1"/>
      <c r="N517" s="1"/>
      <c r="O517" s="1"/>
      <c r="P517" s="1"/>
      <c r="Q517" s="1"/>
      <c r="R517" s="1"/>
      <c r="S517" s="1"/>
      <c r="T517" s="1"/>
      <c r="U517" s="1"/>
      <c r="V517" s="1"/>
      <c r="W517" s="1"/>
      <c r="X517" s="1"/>
    </row>
    <row r="518">
      <c r="A518" s="2"/>
      <c r="B518" s="2"/>
      <c r="C518" s="88"/>
      <c r="D518" s="89"/>
      <c r="E518" s="4"/>
      <c r="F518" s="91"/>
      <c r="G518" s="91"/>
      <c r="H518" s="4"/>
      <c r="I518" s="98"/>
      <c r="J518" s="2"/>
      <c r="K518" s="1"/>
      <c r="L518" s="1"/>
      <c r="M518" s="1"/>
      <c r="N518" s="1"/>
      <c r="O518" s="1"/>
      <c r="P518" s="1"/>
      <c r="Q518" s="1"/>
      <c r="R518" s="1"/>
      <c r="S518" s="1"/>
      <c r="T518" s="1"/>
      <c r="U518" s="1"/>
      <c r="V518" s="1"/>
      <c r="W518" s="1"/>
      <c r="X518" s="1"/>
    </row>
    <row r="519">
      <c r="A519" s="2"/>
      <c r="B519" s="2"/>
      <c r="C519" s="88"/>
      <c r="D519" s="89"/>
      <c r="E519" s="4"/>
      <c r="F519" s="91"/>
      <c r="G519" s="91"/>
      <c r="H519" s="4"/>
      <c r="I519" s="98"/>
      <c r="J519" s="2"/>
      <c r="K519" s="1"/>
      <c r="L519" s="1"/>
      <c r="M519" s="1"/>
      <c r="N519" s="1"/>
      <c r="O519" s="1"/>
      <c r="P519" s="1"/>
      <c r="Q519" s="1"/>
      <c r="R519" s="1"/>
      <c r="S519" s="1"/>
      <c r="T519" s="1"/>
      <c r="U519" s="1"/>
      <c r="V519" s="1"/>
      <c r="W519" s="1"/>
      <c r="X519" s="1"/>
    </row>
    <row r="520">
      <c r="A520" s="2"/>
      <c r="B520" s="2"/>
      <c r="C520" s="88"/>
      <c r="D520" s="89"/>
      <c r="E520" s="4"/>
      <c r="F520" s="91"/>
      <c r="G520" s="91"/>
      <c r="H520" s="4"/>
      <c r="I520" s="98"/>
      <c r="J520" s="2"/>
      <c r="K520" s="1"/>
      <c r="L520" s="1"/>
      <c r="M520" s="1"/>
      <c r="N520" s="1"/>
      <c r="O520" s="1"/>
      <c r="P520" s="1"/>
      <c r="Q520" s="1"/>
      <c r="R520" s="1"/>
      <c r="S520" s="1"/>
      <c r="T520" s="1"/>
      <c r="U520" s="1"/>
      <c r="V520" s="1"/>
      <c r="W520" s="1"/>
      <c r="X520" s="1"/>
    </row>
    <row r="521">
      <c r="A521" s="2"/>
      <c r="B521" s="2"/>
      <c r="C521" s="88"/>
      <c r="D521" s="89"/>
      <c r="E521" s="4"/>
      <c r="F521" s="91"/>
      <c r="G521" s="91"/>
      <c r="H521" s="4"/>
      <c r="I521" s="98"/>
      <c r="J521" s="2"/>
      <c r="K521" s="1"/>
      <c r="L521" s="1"/>
      <c r="M521" s="1"/>
      <c r="N521" s="1"/>
      <c r="O521" s="1"/>
      <c r="P521" s="1"/>
      <c r="Q521" s="1"/>
      <c r="R521" s="1"/>
      <c r="S521" s="1"/>
      <c r="T521" s="1"/>
      <c r="U521" s="1"/>
      <c r="V521" s="1"/>
      <c r="W521" s="1"/>
      <c r="X521" s="1"/>
    </row>
    <row r="522">
      <c r="A522" s="2"/>
      <c r="B522" s="2"/>
      <c r="C522" s="88"/>
      <c r="D522" s="89"/>
      <c r="E522" s="4"/>
      <c r="F522" s="91"/>
      <c r="G522" s="91"/>
      <c r="H522" s="4"/>
      <c r="I522" s="98"/>
      <c r="J522" s="2"/>
      <c r="K522" s="1"/>
      <c r="L522" s="1"/>
      <c r="M522" s="1"/>
      <c r="N522" s="1"/>
      <c r="O522" s="1"/>
      <c r="P522" s="1"/>
      <c r="Q522" s="1"/>
      <c r="R522" s="1"/>
      <c r="S522" s="1"/>
      <c r="T522" s="1"/>
      <c r="U522" s="1"/>
      <c r="V522" s="1"/>
      <c r="W522" s="1"/>
      <c r="X522" s="1"/>
    </row>
    <row r="523">
      <c r="A523" s="2"/>
      <c r="B523" s="2"/>
      <c r="C523" s="88"/>
      <c r="D523" s="89"/>
      <c r="E523" s="4"/>
      <c r="F523" s="91"/>
      <c r="G523" s="91"/>
      <c r="H523" s="4"/>
      <c r="I523" s="98"/>
      <c r="J523" s="2"/>
      <c r="K523" s="1"/>
      <c r="L523" s="1"/>
      <c r="M523" s="1"/>
      <c r="N523" s="1"/>
      <c r="O523" s="1"/>
      <c r="P523" s="1"/>
      <c r="Q523" s="1"/>
      <c r="R523" s="1"/>
      <c r="S523" s="1"/>
      <c r="T523" s="1"/>
      <c r="U523" s="1"/>
      <c r="V523" s="1"/>
      <c r="W523" s="1"/>
      <c r="X523" s="1"/>
    </row>
    <row r="524">
      <c r="A524" s="2"/>
      <c r="B524" s="2"/>
      <c r="C524" s="88"/>
      <c r="D524" s="89"/>
      <c r="E524" s="4"/>
      <c r="F524" s="91"/>
      <c r="G524" s="91"/>
      <c r="H524" s="4"/>
      <c r="I524" s="98"/>
      <c r="J524" s="2"/>
      <c r="K524" s="1"/>
      <c r="L524" s="1"/>
      <c r="M524" s="1"/>
      <c r="N524" s="1"/>
      <c r="O524" s="1"/>
      <c r="P524" s="1"/>
      <c r="Q524" s="1"/>
      <c r="R524" s="1"/>
      <c r="S524" s="1"/>
      <c r="T524" s="1"/>
      <c r="U524" s="1"/>
      <c r="V524" s="1"/>
      <c r="W524" s="1"/>
      <c r="X524" s="1"/>
    </row>
    <row r="525">
      <c r="A525" s="2"/>
      <c r="B525" s="2"/>
      <c r="C525" s="88"/>
      <c r="D525" s="89"/>
      <c r="E525" s="4"/>
      <c r="F525" s="91"/>
      <c r="G525" s="91"/>
      <c r="H525" s="4"/>
      <c r="I525" s="98"/>
      <c r="J525" s="2"/>
      <c r="K525" s="1"/>
      <c r="L525" s="1"/>
      <c r="M525" s="1"/>
      <c r="N525" s="1"/>
      <c r="O525" s="1"/>
      <c r="P525" s="1"/>
      <c r="Q525" s="1"/>
      <c r="R525" s="1"/>
      <c r="S525" s="1"/>
      <c r="T525" s="1"/>
      <c r="U525" s="1"/>
      <c r="V525" s="1"/>
      <c r="W525" s="1"/>
      <c r="X525" s="1"/>
    </row>
    <row r="526">
      <c r="A526" s="2"/>
      <c r="B526" s="2"/>
      <c r="C526" s="88"/>
      <c r="D526" s="89"/>
      <c r="E526" s="4"/>
      <c r="F526" s="91"/>
      <c r="G526" s="91"/>
      <c r="H526" s="4"/>
      <c r="I526" s="98"/>
      <c r="J526" s="2"/>
      <c r="K526" s="1"/>
      <c r="L526" s="1"/>
      <c r="M526" s="1"/>
      <c r="N526" s="1"/>
      <c r="O526" s="1"/>
      <c r="P526" s="1"/>
      <c r="Q526" s="1"/>
      <c r="R526" s="1"/>
      <c r="S526" s="1"/>
      <c r="T526" s="1"/>
      <c r="U526" s="1"/>
      <c r="V526" s="1"/>
      <c r="W526" s="1"/>
      <c r="X526" s="1"/>
    </row>
    <row r="527">
      <c r="A527" s="2"/>
      <c r="B527" s="2"/>
      <c r="C527" s="88"/>
      <c r="D527" s="89"/>
      <c r="E527" s="4"/>
      <c r="F527" s="91"/>
      <c r="G527" s="91"/>
      <c r="H527" s="4"/>
      <c r="I527" s="98"/>
      <c r="J527" s="2"/>
      <c r="K527" s="1"/>
      <c r="L527" s="1"/>
      <c r="M527" s="1"/>
      <c r="N527" s="1"/>
      <c r="O527" s="1"/>
      <c r="P527" s="1"/>
      <c r="Q527" s="1"/>
      <c r="R527" s="1"/>
      <c r="S527" s="1"/>
      <c r="T527" s="1"/>
      <c r="U527" s="1"/>
      <c r="V527" s="1"/>
      <c r="W527" s="1"/>
      <c r="X527" s="1"/>
    </row>
    <row r="528">
      <c r="A528" s="2"/>
      <c r="B528" s="2"/>
      <c r="C528" s="88"/>
      <c r="D528" s="89"/>
      <c r="E528" s="4"/>
      <c r="F528" s="91"/>
      <c r="G528" s="91"/>
      <c r="H528" s="4"/>
      <c r="I528" s="98"/>
      <c r="J528" s="2"/>
      <c r="K528" s="1"/>
      <c r="L528" s="1"/>
      <c r="M528" s="1"/>
      <c r="N528" s="1"/>
      <c r="O528" s="1"/>
      <c r="P528" s="1"/>
      <c r="Q528" s="1"/>
      <c r="R528" s="1"/>
      <c r="S528" s="1"/>
      <c r="T528" s="1"/>
      <c r="U528" s="1"/>
      <c r="V528" s="1"/>
      <c r="W528" s="1"/>
      <c r="X528" s="1"/>
    </row>
    <row r="529">
      <c r="A529" s="2"/>
      <c r="B529" s="2"/>
      <c r="C529" s="88"/>
      <c r="D529" s="89"/>
      <c r="E529" s="4"/>
      <c r="F529" s="91"/>
      <c r="G529" s="91"/>
      <c r="H529" s="4"/>
      <c r="I529" s="98"/>
      <c r="J529" s="2"/>
      <c r="K529" s="1"/>
      <c r="L529" s="1"/>
      <c r="M529" s="1"/>
      <c r="N529" s="1"/>
      <c r="O529" s="1"/>
      <c r="P529" s="1"/>
      <c r="Q529" s="1"/>
      <c r="R529" s="1"/>
      <c r="S529" s="1"/>
      <c r="T529" s="1"/>
      <c r="U529" s="1"/>
      <c r="V529" s="1"/>
      <c r="W529" s="1"/>
      <c r="X529" s="1"/>
    </row>
    <row r="530">
      <c r="A530" s="2"/>
      <c r="B530" s="2"/>
      <c r="C530" s="88"/>
      <c r="D530" s="89"/>
      <c r="E530" s="4"/>
      <c r="F530" s="91"/>
      <c r="G530" s="91"/>
      <c r="H530" s="4"/>
      <c r="I530" s="98"/>
      <c r="J530" s="2"/>
      <c r="K530" s="1"/>
      <c r="L530" s="1"/>
      <c r="M530" s="1"/>
      <c r="N530" s="1"/>
      <c r="O530" s="1"/>
      <c r="P530" s="1"/>
      <c r="Q530" s="1"/>
      <c r="R530" s="1"/>
      <c r="S530" s="1"/>
      <c r="T530" s="1"/>
      <c r="U530" s="1"/>
      <c r="V530" s="1"/>
      <c r="W530" s="1"/>
      <c r="X530" s="1"/>
    </row>
    <row r="531">
      <c r="A531" s="2"/>
      <c r="B531" s="2"/>
      <c r="C531" s="88"/>
      <c r="D531" s="89"/>
      <c r="E531" s="4"/>
      <c r="F531" s="91"/>
      <c r="G531" s="91"/>
      <c r="H531" s="4"/>
      <c r="I531" s="98"/>
      <c r="J531" s="2"/>
      <c r="K531" s="1"/>
      <c r="L531" s="1"/>
      <c r="M531" s="1"/>
      <c r="N531" s="1"/>
      <c r="O531" s="1"/>
      <c r="P531" s="1"/>
      <c r="Q531" s="1"/>
      <c r="R531" s="1"/>
      <c r="S531" s="1"/>
      <c r="T531" s="1"/>
      <c r="U531" s="1"/>
      <c r="V531" s="1"/>
      <c r="W531" s="1"/>
      <c r="X531" s="1"/>
    </row>
    <row r="532">
      <c r="A532" s="2"/>
      <c r="B532" s="2"/>
      <c r="C532" s="88"/>
      <c r="D532" s="89"/>
      <c r="E532" s="4"/>
      <c r="F532" s="91"/>
      <c r="G532" s="91"/>
      <c r="H532" s="4"/>
      <c r="I532" s="98"/>
      <c r="J532" s="2"/>
      <c r="K532" s="1"/>
      <c r="L532" s="1"/>
      <c r="M532" s="1"/>
      <c r="N532" s="1"/>
      <c r="O532" s="1"/>
      <c r="P532" s="1"/>
      <c r="Q532" s="1"/>
      <c r="R532" s="1"/>
      <c r="S532" s="1"/>
      <c r="T532" s="1"/>
      <c r="U532" s="1"/>
      <c r="V532" s="1"/>
      <c r="W532" s="1"/>
      <c r="X532" s="1"/>
    </row>
    <row r="533">
      <c r="A533" s="2"/>
      <c r="B533" s="2"/>
      <c r="C533" s="88"/>
      <c r="D533" s="89"/>
      <c r="E533" s="4"/>
      <c r="F533" s="91"/>
      <c r="G533" s="91"/>
      <c r="H533" s="4"/>
      <c r="I533" s="98"/>
      <c r="J533" s="2"/>
      <c r="K533" s="1"/>
      <c r="L533" s="1"/>
      <c r="M533" s="1"/>
      <c r="N533" s="1"/>
      <c r="O533" s="1"/>
      <c r="P533" s="1"/>
      <c r="Q533" s="1"/>
      <c r="R533" s="1"/>
      <c r="S533" s="1"/>
      <c r="T533" s="1"/>
      <c r="U533" s="1"/>
      <c r="V533" s="1"/>
      <c r="W533" s="1"/>
      <c r="X533" s="1"/>
    </row>
    <row r="534">
      <c r="A534" s="2"/>
      <c r="B534" s="2"/>
      <c r="C534" s="88"/>
      <c r="D534" s="89"/>
      <c r="E534" s="4"/>
      <c r="F534" s="91"/>
      <c r="G534" s="91"/>
      <c r="H534" s="4"/>
      <c r="I534" s="98"/>
      <c r="J534" s="2"/>
      <c r="K534" s="1"/>
      <c r="L534" s="1"/>
      <c r="M534" s="1"/>
      <c r="N534" s="1"/>
      <c r="O534" s="1"/>
      <c r="P534" s="1"/>
      <c r="Q534" s="1"/>
      <c r="R534" s="1"/>
      <c r="S534" s="1"/>
      <c r="T534" s="1"/>
      <c r="U534" s="1"/>
      <c r="V534" s="1"/>
      <c r="W534" s="1"/>
      <c r="X534" s="1"/>
    </row>
    <row r="535">
      <c r="A535" s="2"/>
      <c r="B535" s="2"/>
      <c r="C535" s="88"/>
      <c r="D535" s="89"/>
      <c r="E535" s="4"/>
      <c r="F535" s="91"/>
      <c r="G535" s="91"/>
      <c r="H535" s="4"/>
      <c r="I535" s="98"/>
      <c r="J535" s="2"/>
      <c r="K535" s="1"/>
      <c r="L535" s="1"/>
      <c r="M535" s="1"/>
      <c r="N535" s="1"/>
      <c r="O535" s="1"/>
      <c r="P535" s="1"/>
      <c r="Q535" s="1"/>
      <c r="R535" s="1"/>
      <c r="S535" s="1"/>
      <c r="T535" s="1"/>
      <c r="U535" s="1"/>
      <c r="V535" s="1"/>
      <c r="W535" s="1"/>
      <c r="X535" s="1"/>
    </row>
    <row r="536">
      <c r="A536" s="2"/>
      <c r="B536" s="2"/>
      <c r="C536" s="88"/>
      <c r="D536" s="89"/>
      <c r="E536" s="4"/>
      <c r="F536" s="91"/>
      <c r="G536" s="91"/>
      <c r="H536" s="4"/>
      <c r="I536" s="98"/>
      <c r="J536" s="2"/>
      <c r="K536" s="1"/>
      <c r="L536" s="1"/>
      <c r="M536" s="1"/>
      <c r="N536" s="1"/>
      <c r="O536" s="1"/>
      <c r="P536" s="1"/>
      <c r="Q536" s="1"/>
      <c r="R536" s="1"/>
      <c r="S536" s="1"/>
      <c r="T536" s="1"/>
      <c r="U536" s="1"/>
      <c r="V536" s="1"/>
      <c r="W536" s="1"/>
      <c r="X536" s="1"/>
    </row>
    <row r="537">
      <c r="A537" s="2"/>
      <c r="B537" s="2"/>
      <c r="C537" s="88"/>
      <c r="D537" s="89"/>
      <c r="E537" s="4"/>
      <c r="F537" s="91"/>
      <c r="G537" s="91"/>
      <c r="H537" s="4"/>
      <c r="I537" s="98"/>
      <c r="J537" s="2"/>
      <c r="K537" s="1"/>
      <c r="L537" s="1"/>
      <c r="M537" s="1"/>
      <c r="N537" s="1"/>
      <c r="O537" s="1"/>
      <c r="P537" s="1"/>
      <c r="Q537" s="1"/>
      <c r="R537" s="1"/>
      <c r="S537" s="1"/>
      <c r="T537" s="1"/>
      <c r="U537" s="1"/>
      <c r="V537" s="1"/>
      <c r="W537" s="1"/>
      <c r="X537" s="1"/>
    </row>
    <row r="538">
      <c r="A538" s="2"/>
      <c r="B538" s="2"/>
      <c r="C538" s="88"/>
      <c r="D538" s="89"/>
      <c r="E538" s="4"/>
      <c r="F538" s="91"/>
      <c r="G538" s="91"/>
      <c r="H538" s="4"/>
      <c r="I538" s="98"/>
      <c r="J538" s="2"/>
      <c r="K538" s="1"/>
      <c r="L538" s="1"/>
      <c r="M538" s="1"/>
      <c r="N538" s="1"/>
      <c r="O538" s="1"/>
      <c r="P538" s="1"/>
      <c r="Q538" s="1"/>
      <c r="R538" s="1"/>
      <c r="S538" s="1"/>
      <c r="T538" s="1"/>
      <c r="U538" s="1"/>
      <c r="V538" s="1"/>
      <c r="W538" s="1"/>
      <c r="X538" s="1"/>
    </row>
    <row r="539">
      <c r="A539" s="2"/>
      <c r="B539" s="2"/>
      <c r="C539" s="88"/>
      <c r="D539" s="89"/>
      <c r="E539" s="4"/>
      <c r="F539" s="91"/>
      <c r="G539" s="91"/>
      <c r="H539" s="4"/>
      <c r="I539" s="98"/>
      <c r="J539" s="2"/>
      <c r="K539" s="1"/>
      <c r="L539" s="1"/>
      <c r="M539" s="1"/>
      <c r="N539" s="1"/>
      <c r="O539" s="1"/>
      <c r="P539" s="1"/>
      <c r="Q539" s="1"/>
      <c r="R539" s="1"/>
      <c r="S539" s="1"/>
      <c r="T539" s="1"/>
      <c r="U539" s="1"/>
      <c r="V539" s="1"/>
      <c r="W539" s="1"/>
      <c r="X539" s="1"/>
    </row>
    <row r="540">
      <c r="A540" s="2"/>
      <c r="B540" s="2"/>
      <c r="C540" s="88"/>
      <c r="D540" s="89"/>
      <c r="E540" s="4"/>
      <c r="F540" s="91"/>
      <c r="G540" s="91"/>
      <c r="H540" s="4"/>
      <c r="I540" s="98"/>
      <c r="J540" s="2"/>
      <c r="K540" s="1"/>
      <c r="L540" s="1"/>
      <c r="M540" s="1"/>
      <c r="N540" s="1"/>
      <c r="O540" s="1"/>
      <c r="P540" s="1"/>
      <c r="Q540" s="1"/>
      <c r="R540" s="1"/>
      <c r="S540" s="1"/>
      <c r="T540" s="1"/>
      <c r="U540" s="1"/>
      <c r="V540" s="1"/>
      <c r="W540" s="1"/>
      <c r="X540" s="1"/>
    </row>
    <row r="541">
      <c r="A541" s="2"/>
      <c r="B541" s="2"/>
      <c r="C541" s="88"/>
      <c r="D541" s="89"/>
      <c r="E541" s="4"/>
      <c r="F541" s="91"/>
      <c r="G541" s="91"/>
      <c r="H541" s="4"/>
      <c r="I541" s="98"/>
      <c r="J541" s="2"/>
      <c r="K541" s="1"/>
      <c r="L541" s="1"/>
      <c r="M541" s="1"/>
      <c r="N541" s="1"/>
      <c r="O541" s="1"/>
      <c r="P541" s="1"/>
      <c r="Q541" s="1"/>
      <c r="R541" s="1"/>
      <c r="S541" s="1"/>
      <c r="T541" s="1"/>
      <c r="U541" s="1"/>
      <c r="V541" s="1"/>
      <c r="W541" s="1"/>
      <c r="X541" s="1"/>
    </row>
    <row r="542">
      <c r="A542" s="2"/>
      <c r="B542" s="2"/>
      <c r="C542" s="88"/>
      <c r="D542" s="89"/>
      <c r="E542" s="4"/>
      <c r="F542" s="91"/>
      <c r="G542" s="91"/>
      <c r="H542" s="4"/>
      <c r="I542" s="98"/>
      <c r="J542" s="2"/>
      <c r="K542" s="1"/>
      <c r="L542" s="1"/>
      <c r="M542" s="1"/>
      <c r="N542" s="1"/>
      <c r="O542" s="1"/>
      <c r="P542" s="1"/>
      <c r="Q542" s="1"/>
      <c r="R542" s="1"/>
      <c r="S542" s="1"/>
      <c r="T542" s="1"/>
      <c r="U542" s="1"/>
      <c r="V542" s="1"/>
      <c r="W542" s="1"/>
      <c r="X542" s="1"/>
    </row>
    <row r="543">
      <c r="A543" s="2"/>
      <c r="B543" s="2"/>
      <c r="C543" s="88"/>
      <c r="D543" s="89"/>
      <c r="E543" s="4"/>
      <c r="F543" s="91"/>
      <c r="G543" s="91"/>
      <c r="H543" s="4"/>
      <c r="I543" s="98"/>
      <c r="J543" s="2"/>
      <c r="K543" s="1"/>
      <c r="L543" s="1"/>
      <c r="M543" s="1"/>
      <c r="N543" s="1"/>
      <c r="O543" s="1"/>
      <c r="P543" s="1"/>
      <c r="Q543" s="1"/>
      <c r="R543" s="1"/>
      <c r="S543" s="1"/>
      <c r="T543" s="1"/>
      <c r="U543" s="1"/>
      <c r="V543" s="1"/>
      <c r="W543" s="1"/>
      <c r="X543" s="1"/>
    </row>
    <row r="544">
      <c r="A544" s="2"/>
      <c r="B544" s="2"/>
      <c r="C544" s="88"/>
      <c r="D544" s="89"/>
      <c r="E544" s="4"/>
      <c r="F544" s="91"/>
      <c r="G544" s="91"/>
      <c r="H544" s="4"/>
      <c r="I544" s="98"/>
      <c r="J544" s="2"/>
      <c r="K544" s="1"/>
      <c r="L544" s="1"/>
      <c r="M544" s="1"/>
      <c r="N544" s="1"/>
      <c r="O544" s="1"/>
      <c r="P544" s="1"/>
      <c r="Q544" s="1"/>
      <c r="R544" s="1"/>
      <c r="S544" s="1"/>
      <c r="T544" s="1"/>
      <c r="U544" s="1"/>
      <c r="V544" s="1"/>
      <c r="W544" s="1"/>
      <c r="X544" s="1"/>
    </row>
    <row r="545">
      <c r="A545" s="2"/>
      <c r="B545" s="2"/>
      <c r="C545" s="88"/>
      <c r="D545" s="89"/>
      <c r="E545" s="4"/>
      <c r="F545" s="91"/>
      <c r="G545" s="91"/>
      <c r="H545" s="4"/>
      <c r="I545" s="98"/>
      <c r="J545" s="2"/>
      <c r="K545" s="1"/>
      <c r="L545" s="1"/>
      <c r="M545" s="1"/>
      <c r="N545" s="1"/>
      <c r="O545" s="1"/>
      <c r="P545" s="1"/>
      <c r="Q545" s="1"/>
      <c r="R545" s="1"/>
      <c r="S545" s="1"/>
      <c r="T545" s="1"/>
      <c r="U545" s="1"/>
      <c r="V545" s="1"/>
      <c r="W545" s="1"/>
      <c r="X545" s="1"/>
    </row>
    <row r="546">
      <c r="A546" s="2"/>
      <c r="B546" s="2"/>
      <c r="C546" s="88"/>
      <c r="D546" s="89"/>
      <c r="E546" s="4"/>
      <c r="F546" s="91"/>
      <c r="G546" s="91"/>
      <c r="H546" s="4"/>
      <c r="I546" s="98"/>
      <c r="J546" s="2"/>
      <c r="K546" s="1"/>
      <c r="L546" s="1"/>
      <c r="M546" s="1"/>
      <c r="N546" s="1"/>
      <c r="O546" s="1"/>
      <c r="P546" s="1"/>
      <c r="Q546" s="1"/>
      <c r="R546" s="1"/>
      <c r="S546" s="1"/>
      <c r="T546" s="1"/>
      <c r="U546" s="1"/>
      <c r="V546" s="1"/>
      <c r="W546" s="1"/>
      <c r="X546" s="1"/>
    </row>
    <row r="547">
      <c r="A547" s="2"/>
      <c r="B547" s="2"/>
      <c r="C547" s="88"/>
      <c r="D547" s="89"/>
      <c r="E547" s="4"/>
      <c r="F547" s="91"/>
      <c r="G547" s="91"/>
      <c r="H547" s="4"/>
      <c r="I547" s="98"/>
      <c r="J547" s="2"/>
      <c r="K547" s="1"/>
      <c r="L547" s="1"/>
      <c r="M547" s="1"/>
      <c r="N547" s="1"/>
      <c r="O547" s="1"/>
      <c r="P547" s="1"/>
      <c r="Q547" s="1"/>
      <c r="R547" s="1"/>
      <c r="S547" s="1"/>
      <c r="T547" s="1"/>
      <c r="U547" s="1"/>
      <c r="V547" s="1"/>
      <c r="W547" s="1"/>
      <c r="X547" s="1"/>
    </row>
    <row r="548">
      <c r="A548" s="2"/>
      <c r="B548" s="2"/>
      <c r="C548" s="88"/>
      <c r="D548" s="89"/>
      <c r="E548" s="4"/>
      <c r="F548" s="91"/>
      <c r="G548" s="91"/>
      <c r="H548" s="4"/>
      <c r="I548" s="98"/>
      <c r="J548" s="2"/>
      <c r="K548" s="1"/>
      <c r="L548" s="1"/>
      <c r="M548" s="1"/>
      <c r="N548" s="1"/>
      <c r="O548" s="1"/>
      <c r="P548" s="1"/>
      <c r="Q548" s="1"/>
      <c r="R548" s="1"/>
      <c r="S548" s="1"/>
      <c r="T548" s="1"/>
      <c r="U548" s="1"/>
      <c r="V548" s="1"/>
      <c r="W548" s="1"/>
      <c r="X548" s="1"/>
    </row>
    <row r="549">
      <c r="A549" s="2"/>
      <c r="B549" s="2"/>
      <c r="C549" s="88"/>
      <c r="D549" s="89"/>
      <c r="E549" s="4"/>
      <c r="F549" s="91"/>
      <c r="G549" s="91"/>
      <c r="H549" s="4"/>
      <c r="I549" s="98"/>
      <c r="J549" s="2"/>
      <c r="K549" s="1"/>
      <c r="L549" s="1"/>
      <c r="M549" s="1"/>
      <c r="N549" s="1"/>
      <c r="O549" s="1"/>
      <c r="P549" s="1"/>
      <c r="Q549" s="1"/>
      <c r="R549" s="1"/>
      <c r="S549" s="1"/>
      <c r="T549" s="1"/>
      <c r="U549" s="1"/>
      <c r="V549" s="1"/>
      <c r="W549" s="1"/>
      <c r="X549" s="1"/>
    </row>
    <row r="550">
      <c r="A550" s="2"/>
      <c r="B550" s="2"/>
      <c r="C550" s="88"/>
      <c r="D550" s="89"/>
      <c r="E550" s="4"/>
      <c r="F550" s="91"/>
      <c r="G550" s="91"/>
      <c r="H550" s="4"/>
      <c r="I550" s="98"/>
      <c r="J550" s="2"/>
      <c r="K550" s="1"/>
      <c r="L550" s="1"/>
      <c r="M550" s="1"/>
      <c r="N550" s="1"/>
      <c r="O550" s="1"/>
      <c r="P550" s="1"/>
      <c r="Q550" s="1"/>
      <c r="R550" s="1"/>
      <c r="S550" s="1"/>
      <c r="T550" s="1"/>
      <c r="U550" s="1"/>
      <c r="V550" s="1"/>
      <c r="W550" s="1"/>
      <c r="X550" s="1"/>
    </row>
    <row r="551">
      <c r="A551" s="2"/>
      <c r="B551" s="2"/>
      <c r="C551" s="88"/>
      <c r="D551" s="89"/>
      <c r="E551" s="4"/>
      <c r="F551" s="91"/>
      <c r="G551" s="91"/>
      <c r="H551" s="4"/>
      <c r="I551" s="98"/>
      <c r="J551" s="2"/>
      <c r="K551" s="1"/>
      <c r="L551" s="1"/>
      <c r="M551" s="1"/>
      <c r="N551" s="1"/>
      <c r="O551" s="1"/>
      <c r="P551" s="1"/>
      <c r="Q551" s="1"/>
      <c r="R551" s="1"/>
      <c r="S551" s="1"/>
      <c r="T551" s="1"/>
      <c r="U551" s="1"/>
      <c r="V551" s="1"/>
      <c r="W551" s="1"/>
      <c r="X551" s="1"/>
    </row>
    <row r="552">
      <c r="A552" s="2"/>
      <c r="B552" s="2"/>
      <c r="C552" s="88"/>
      <c r="D552" s="89"/>
      <c r="E552" s="4"/>
      <c r="F552" s="91"/>
      <c r="G552" s="91"/>
      <c r="H552" s="4"/>
      <c r="I552" s="98"/>
      <c r="J552" s="2"/>
      <c r="K552" s="1"/>
      <c r="L552" s="1"/>
      <c r="M552" s="1"/>
      <c r="N552" s="1"/>
      <c r="O552" s="1"/>
      <c r="P552" s="1"/>
      <c r="Q552" s="1"/>
      <c r="R552" s="1"/>
      <c r="S552" s="1"/>
      <c r="T552" s="1"/>
      <c r="U552" s="1"/>
      <c r="V552" s="1"/>
      <c r="W552" s="1"/>
      <c r="X552" s="1"/>
    </row>
    <row r="553">
      <c r="A553" s="2"/>
      <c r="B553" s="2"/>
      <c r="C553" s="88"/>
      <c r="D553" s="89"/>
      <c r="E553" s="4"/>
      <c r="F553" s="91"/>
      <c r="G553" s="91"/>
      <c r="H553" s="4"/>
      <c r="I553" s="98"/>
      <c r="J553" s="2"/>
      <c r="K553" s="1"/>
      <c r="L553" s="1"/>
      <c r="M553" s="1"/>
      <c r="N553" s="1"/>
      <c r="O553" s="1"/>
      <c r="P553" s="1"/>
      <c r="Q553" s="1"/>
      <c r="R553" s="1"/>
      <c r="S553" s="1"/>
      <c r="T553" s="1"/>
      <c r="U553" s="1"/>
      <c r="V553" s="1"/>
      <c r="W553" s="1"/>
      <c r="X553" s="1"/>
    </row>
    <row r="554">
      <c r="A554" s="2"/>
      <c r="B554" s="2"/>
      <c r="C554" s="88"/>
      <c r="D554" s="89"/>
      <c r="E554" s="4"/>
      <c r="F554" s="91"/>
      <c r="G554" s="91"/>
      <c r="H554" s="4"/>
      <c r="I554" s="98"/>
      <c r="J554" s="2"/>
      <c r="K554" s="1"/>
      <c r="L554" s="1"/>
      <c r="M554" s="1"/>
      <c r="N554" s="1"/>
      <c r="O554" s="1"/>
      <c r="P554" s="1"/>
      <c r="Q554" s="1"/>
      <c r="R554" s="1"/>
      <c r="S554" s="1"/>
      <c r="T554" s="1"/>
      <c r="U554" s="1"/>
      <c r="V554" s="1"/>
      <c r="W554" s="1"/>
      <c r="X554" s="1"/>
    </row>
    <row r="555">
      <c r="A555" s="2"/>
      <c r="B555" s="2"/>
      <c r="C555" s="88"/>
      <c r="D555" s="89"/>
      <c r="E555" s="4"/>
      <c r="F555" s="91"/>
      <c r="G555" s="91"/>
      <c r="H555" s="4"/>
      <c r="I555" s="98"/>
      <c r="J555" s="2"/>
      <c r="K555" s="1"/>
      <c r="L555" s="1"/>
      <c r="M555" s="1"/>
      <c r="N555" s="1"/>
      <c r="O555" s="1"/>
      <c r="P555" s="1"/>
      <c r="Q555" s="1"/>
      <c r="R555" s="1"/>
      <c r="S555" s="1"/>
      <c r="T555" s="1"/>
      <c r="U555" s="1"/>
      <c r="V555" s="1"/>
      <c r="W555" s="1"/>
      <c r="X555" s="1"/>
    </row>
    <row r="556">
      <c r="A556" s="2"/>
      <c r="B556" s="2"/>
      <c r="C556" s="88"/>
      <c r="D556" s="89"/>
      <c r="E556" s="4"/>
      <c r="F556" s="91"/>
      <c r="G556" s="91"/>
      <c r="H556" s="4"/>
      <c r="I556" s="98"/>
      <c r="J556" s="2"/>
      <c r="K556" s="1"/>
      <c r="L556" s="1"/>
      <c r="M556" s="1"/>
      <c r="N556" s="1"/>
      <c r="O556" s="1"/>
      <c r="P556" s="1"/>
      <c r="Q556" s="1"/>
      <c r="R556" s="1"/>
      <c r="S556" s="1"/>
      <c r="T556" s="1"/>
      <c r="U556" s="1"/>
      <c r="V556" s="1"/>
      <c r="W556" s="1"/>
      <c r="X556" s="1"/>
    </row>
    <row r="557">
      <c r="A557" s="2"/>
      <c r="B557" s="2"/>
      <c r="C557" s="88"/>
      <c r="D557" s="89"/>
      <c r="E557" s="4"/>
      <c r="F557" s="91"/>
      <c r="G557" s="91"/>
      <c r="H557" s="4"/>
      <c r="I557" s="98"/>
      <c r="J557" s="2"/>
      <c r="K557" s="1"/>
      <c r="L557" s="1"/>
      <c r="M557" s="1"/>
      <c r="N557" s="1"/>
      <c r="O557" s="1"/>
      <c r="P557" s="1"/>
      <c r="Q557" s="1"/>
      <c r="R557" s="1"/>
      <c r="S557" s="1"/>
      <c r="T557" s="1"/>
      <c r="U557" s="1"/>
      <c r="V557" s="1"/>
      <c r="W557" s="1"/>
      <c r="X557" s="1"/>
    </row>
    <row r="558">
      <c r="A558" s="2"/>
      <c r="B558" s="2"/>
      <c r="C558" s="88"/>
      <c r="D558" s="89"/>
      <c r="E558" s="4"/>
      <c r="F558" s="91"/>
      <c r="G558" s="91"/>
      <c r="H558" s="4"/>
      <c r="I558" s="98"/>
      <c r="J558" s="2"/>
      <c r="K558" s="1"/>
      <c r="L558" s="1"/>
      <c r="M558" s="1"/>
      <c r="N558" s="1"/>
      <c r="O558" s="1"/>
      <c r="P558" s="1"/>
      <c r="Q558" s="1"/>
      <c r="R558" s="1"/>
      <c r="S558" s="1"/>
      <c r="T558" s="1"/>
      <c r="U558" s="1"/>
      <c r="V558" s="1"/>
      <c r="W558" s="1"/>
      <c r="X558" s="1"/>
    </row>
    <row r="559">
      <c r="A559" s="2"/>
      <c r="B559" s="2"/>
      <c r="C559" s="88"/>
      <c r="D559" s="89"/>
      <c r="E559" s="4"/>
      <c r="F559" s="91"/>
      <c r="G559" s="91"/>
      <c r="H559" s="4"/>
      <c r="I559" s="98"/>
      <c r="J559" s="2"/>
      <c r="K559" s="1"/>
      <c r="L559" s="1"/>
      <c r="M559" s="1"/>
      <c r="N559" s="1"/>
      <c r="O559" s="1"/>
      <c r="P559" s="1"/>
      <c r="Q559" s="1"/>
      <c r="R559" s="1"/>
      <c r="S559" s="1"/>
      <c r="T559" s="1"/>
      <c r="U559" s="1"/>
      <c r="V559" s="1"/>
      <c r="W559" s="1"/>
      <c r="X559" s="1"/>
    </row>
    <row r="560">
      <c r="A560" s="2"/>
      <c r="B560" s="2"/>
      <c r="C560" s="88"/>
      <c r="D560" s="89"/>
      <c r="E560" s="4"/>
      <c r="F560" s="91"/>
      <c r="G560" s="91"/>
      <c r="H560" s="4"/>
      <c r="I560" s="98"/>
      <c r="J560" s="2"/>
      <c r="K560" s="1"/>
      <c r="L560" s="1"/>
      <c r="M560" s="1"/>
      <c r="N560" s="1"/>
      <c r="O560" s="1"/>
      <c r="P560" s="1"/>
      <c r="Q560" s="1"/>
      <c r="R560" s="1"/>
      <c r="S560" s="1"/>
      <c r="T560" s="1"/>
      <c r="U560" s="1"/>
      <c r="V560" s="1"/>
      <c r="W560" s="1"/>
      <c r="X560" s="1"/>
    </row>
    <row r="561">
      <c r="A561" s="2"/>
      <c r="B561" s="2"/>
      <c r="C561" s="88"/>
      <c r="D561" s="89"/>
      <c r="E561" s="4"/>
      <c r="F561" s="91"/>
      <c r="G561" s="91"/>
      <c r="H561" s="4"/>
      <c r="I561" s="98"/>
      <c r="J561" s="2"/>
      <c r="K561" s="1"/>
      <c r="L561" s="1"/>
      <c r="M561" s="1"/>
      <c r="N561" s="1"/>
      <c r="O561" s="1"/>
      <c r="P561" s="1"/>
      <c r="Q561" s="1"/>
      <c r="R561" s="1"/>
      <c r="S561" s="1"/>
      <c r="T561" s="1"/>
      <c r="U561" s="1"/>
      <c r="V561" s="1"/>
      <c r="W561" s="1"/>
      <c r="X561" s="1"/>
    </row>
    <row r="562">
      <c r="A562" s="2"/>
      <c r="B562" s="2"/>
      <c r="C562" s="88"/>
      <c r="D562" s="89"/>
      <c r="E562" s="4"/>
      <c r="F562" s="91"/>
      <c r="G562" s="91"/>
      <c r="H562" s="4"/>
      <c r="I562" s="98"/>
      <c r="J562" s="2"/>
      <c r="K562" s="1"/>
      <c r="L562" s="1"/>
      <c r="M562" s="1"/>
      <c r="N562" s="1"/>
      <c r="O562" s="1"/>
      <c r="P562" s="1"/>
      <c r="Q562" s="1"/>
      <c r="R562" s="1"/>
      <c r="S562" s="1"/>
      <c r="T562" s="1"/>
      <c r="U562" s="1"/>
      <c r="V562" s="1"/>
      <c r="W562" s="1"/>
      <c r="X562" s="1"/>
    </row>
    <row r="563">
      <c r="A563" s="2"/>
      <c r="B563" s="2"/>
      <c r="C563" s="88"/>
      <c r="D563" s="89"/>
      <c r="E563" s="4"/>
      <c r="F563" s="91"/>
      <c r="G563" s="91"/>
      <c r="H563" s="4"/>
      <c r="I563" s="98"/>
      <c r="J563" s="2"/>
      <c r="K563" s="1"/>
      <c r="L563" s="1"/>
      <c r="M563" s="1"/>
      <c r="N563" s="1"/>
      <c r="O563" s="1"/>
      <c r="P563" s="1"/>
      <c r="Q563" s="1"/>
      <c r="R563" s="1"/>
      <c r="S563" s="1"/>
      <c r="T563" s="1"/>
      <c r="U563" s="1"/>
      <c r="V563" s="1"/>
      <c r="W563" s="1"/>
      <c r="X563" s="1"/>
    </row>
    <row r="564">
      <c r="A564" s="2"/>
      <c r="B564" s="2"/>
      <c r="C564" s="88"/>
      <c r="D564" s="89"/>
      <c r="E564" s="4"/>
      <c r="F564" s="91"/>
      <c r="G564" s="91"/>
      <c r="H564" s="4"/>
      <c r="I564" s="98"/>
      <c r="J564" s="2"/>
      <c r="K564" s="1"/>
      <c r="L564" s="1"/>
      <c r="M564" s="1"/>
      <c r="N564" s="1"/>
      <c r="O564" s="1"/>
      <c r="P564" s="1"/>
      <c r="Q564" s="1"/>
      <c r="R564" s="1"/>
      <c r="S564" s="1"/>
      <c r="T564" s="1"/>
      <c r="U564" s="1"/>
      <c r="V564" s="1"/>
      <c r="W564" s="1"/>
      <c r="X564" s="1"/>
    </row>
    <row r="565">
      <c r="A565" s="2"/>
      <c r="B565" s="2"/>
      <c r="C565" s="88"/>
      <c r="D565" s="89"/>
      <c r="E565" s="4"/>
      <c r="F565" s="91"/>
      <c r="G565" s="91"/>
      <c r="H565" s="4"/>
      <c r="I565" s="98"/>
      <c r="J565" s="2"/>
      <c r="K565" s="1"/>
      <c r="L565" s="1"/>
      <c r="M565" s="1"/>
      <c r="N565" s="1"/>
      <c r="O565" s="1"/>
      <c r="P565" s="1"/>
      <c r="Q565" s="1"/>
      <c r="R565" s="1"/>
      <c r="S565" s="1"/>
      <c r="T565" s="1"/>
      <c r="U565" s="1"/>
      <c r="V565" s="1"/>
      <c r="W565" s="1"/>
      <c r="X565" s="1"/>
    </row>
    <row r="566">
      <c r="A566" s="2"/>
      <c r="B566" s="2"/>
      <c r="C566" s="88"/>
      <c r="D566" s="89"/>
      <c r="E566" s="4"/>
      <c r="F566" s="91"/>
      <c r="G566" s="91"/>
      <c r="H566" s="4"/>
      <c r="I566" s="98"/>
      <c r="J566" s="2"/>
      <c r="K566" s="1"/>
      <c r="L566" s="1"/>
      <c r="M566" s="1"/>
      <c r="N566" s="1"/>
      <c r="O566" s="1"/>
      <c r="P566" s="1"/>
      <c r="Q566" s="1"/>
      <c r="R566" s="1"/>
      <c r="S566" s="1"/>
      <c r="T566" s="1"/>
      <c r="U566" s="1"/>
      <c r="V566" s="1"/>
      <c r="W566" s="1"/>
      <c r="X566" s="1"/>
    </row>
    <row r="567">
      <c r="A567" s="2"/>
      <c r="B567" s="2"/>
      <c r="C567" s="88"/>
      <c r="D567" s="89"/>
      <c r="E567" s="4"/>
      <c r="F567" s="91"/>
      <c r="G567" s="91"/>
      <c r="H567" s="4"/>
      <c r="I567" s="98"/>
      <c r="J567" s="2"/>
      <c r="K567" s="1"/>
      <c r="L567" s="1"/>
      <c r="M567" s="1"/>
      <c r="N567" s="1"/>
      <c r="O567" s="1"/>
      <c r="P567" s="1"/>
      <c r="Q567" s="1"/>
      <c r="R567" s="1"/>
      <c r="S567" s="1"/>
      <c r="T567" s="1"/>
      <c r="U567" s="1"/>
      <c r="V567" s="1"/>
      <c r="W567" s="1"/>
      <c r="X567" s="1"/>
    </row>
    <row r="568">
      <c r="A568" s="2"/>
      <c r="B568" s="2"/>
      <c r="C568" s="88"/>
      <c r="D568" s="89"/>
      <c r="E568" s="4"/>
      <c r="F568" s="91"/>
      <c r="G568" s="91"/>
      <c r="H568" s="4"/>
      <c r="I568" s="98"/>
      <c r="J568" s="2"/>
      <c r="K568" s="1"/>
      <c r="L568" s="1"/>
      <c r="M568" s="1"/>
      <c r="N568" s="1"/>
      <c r="O568" s="1"/>
      <c r="P568" s="1"/>
      <c r="Q568" s="1"/>
      <c r="R568" s="1"/>
      <c r="S568" s="1"/>
      <c r="T568" s="1"/>
      <c r="U568" s="1"/>
      <c r="V568" s="1"/>
      <c r="W568" s="1"/>
      <c r="X568" s="1"/>
    </row>
    <row r="569">
      <c r="A569" s="2"/>
      <c r="B569" s="2"/>
      <c r="C569" s="88"/>
      <c r="D569" s="89"/>
      <c r="E569" s="4"/>
      <c r="F569" s="91"/>
      <c r="G569" s="91"/>
      <c r="H569" s="4"/>
      <c r="I569" s="98"/>
      <c r="J569" s="2"/>
      <c r="K569" s="1"/>
      <c r="L569" s="1"/>
      <c r="M569" s="1"/>
      <c r="N569" s="1"/>
      <c r="O569" s="1"/>
      <c r="P569" s="1"/>
      <c r="Q569" s="1"/>
      <c r="R569" s="1"/>
      <c r="S569" s="1"/>
      <c r="T569" s="1"/>
      <c r="U569" s="1"/>
      <c r="V569" s="1"/>
      <c r="W569" s="1"/>
      <c r="X569" s="1"/>
    </row>
    <row r="570">
      <c r="A570" s="2"/>
      <c r="B570" s="2"/>
      <c r="C570" s="88"/>
      <c r="D570" s="89"/>
      <c r="E570" s="4"/>
      <c r="F570" s="91"/>
      <c r="G570" s="91"/>
      <c r="H570" s="4"/>
      <c r="I570" s="98"/>
      <c r="J570" s="2"/>
      <c r="K570" s="1"/>
      <c r="L570" s="1"/>
      <c r="M570" s="1"/>
      <c r="N570" s="1"/>
      <c r="O570" s="1"/>
      <c r="P570" s="1"/>
      <c r="Q570" s="1"/>
      <c r="R570" s="1"/>
      <c r="S570" s="1"/>
      <c r="T570" s="1"/>
      <c r="U570" s="1"/>
      <c r="V570" s="1"/>
      <c r="W570" s="1"/>
      <c r="X570" s="1"/>
    </row>
    <row r="571">
      <c r="A571" s="2"/>
      <c r="B571" s="2"/>
      <c r="C571" s="88"/>
      <c r="D571" s="89"/>
      <c r="E571" s="4"/>
      <c r="F571" s="91"/>
      <c r="G571" s="91"/>
      <c r="H571" s="4"/>
      <c r="I571" s="98"/>
      <c r="J571" s="2"/>
      <c r="K571" s="1"/>
      <c r="L571" s="1"/>
      <c r="M571" s="1"/>
      <c r="N571" s="1"/>
      <c r="O571" s="1"/>
      <c r="P571" s="1"/>
      <c r="Q571" s="1"/>
      <c r="R571" s="1"/>
      <c r="S571" s="1"/>
      <c r="T571" s="1"/>
      <c r="U571" s="1"/>
      <c r="V571" s="1"/>
      <c r="W571" s="1"/>
      <c r="X571" s="1"/>
    </row>
    <row r="572">
      <c r="A572" s="2"/>
      <c r="B572" s="2"/>
      <c r="C572" s="88"/>
      <c r="D572" s="89"/>
      <c r="E572" s="4"/>
      <c r="F572" s="91"/>
      <c r="G572" s="91"/>
      <c r="H572" s="4"/>
      <c r="I572" s="98"/>
      <c r="J572" s="2"/>
      <c r="K572" s="1"/>
      <c r="L572" s="1"/>
      <c r="M572" s="1"/>
      <c r="N572" s="1"/>
      <c r="O572" s="1"/>
      <c r="P572" s="1"/>
      <c r="Q572" s="1"/>
      <c r="R572" s="1"/>
      <c r="S572" s="1"/>
      <c r="T572" s="1"/>
      <c r="U572" s="1"/>
      <c r="V572" s="1"/>
      <c r="W572" s="1"/>
      <c r="X572" s="1"/>
    </row>
    <row r="573">
      <c r="A573" s="2"/>
      <c r="B573" s="2"/>
      <c r="C573" s="88"/>
      <c r="D573" s="89"/>
      <c r="E573" s="4"/>
      <c r="F573" s="91"/>
      <c r="G573" s="91"/>
      <c r="H573" s="4"/>
      <c r="I573" s="98"/>
      <c r="J573" s="2"/>
      <c r="K573" s="1"/>
      <c r="L573" s="1"/>
      <c r="M573" s="1"/>
      <c r="N573" s="1"/>
      <c r="O573" s="1"/>
      <c r="P573" s="1"/>
      <c r="Q573" s="1"/>
      <c r="R573" s="1"/>
      <c r="S573" s="1"/>
      <c r="T573" s="1"/>
      <c r="U573" s="1"/>
      <c r="V573" s="1"/>
      <c r="W573" s="1"/>
      <c r="X573" s="1"/>
    </row>
    <row r="574">
      <c r="A574" s="2"/>
      <c r="B574" s="2"/>
      <c r="C574" s="88"/>
      <c r="D574" s="89"/>
      <c r="E574" s="4"/>
      <c r="F574" s="91"/>
      <c r="G574" s="91"/>
      <c r="H574" s="4"/>
      <c r="I574" s="98"/>
      <c r="J574" s="2"/>
      <c r="K574" s="1"/>
      <c r="L574" s="1"/>
      <c r="M574" s="1"/>
      <c r="N574" s="1"/>
      <c r="O574" s="1"/>
      <c r="P574" s="1"/>
      <c r="Q574" s="1"/>
      <c r="R574" s="1"/>
      <c r="S574" s="1"/>
      <c r="T574" s="1"/>
      <c r="U574" s="1"/>
      <c r="V574" s="1"/>
      <c r="W574" s="1"/>
      <c r="X574" s="1"/>
    </row>
    <row r="575">
      <c r="A575" s="2"/>
      <c r="B575" s="2"/>
      <c r="C575" s="88"/>
      <c r="D575" s="89"/>
      <c r="E575" s="4"/>
      <c r="F575" s="91"/>
      <c r="G575" s="91"/>
      <c r="H575" s="4"/>
      <c r="I575" s="98"/>
      <c r="J575" s="2"/>
      <c r="K575" s="1"/>
      <c r="L575" s="1"/>
      <c r="M575" s="1"/>
      <c r="N575" s="1"/>
      <c r="O575" s="1"/>
      <c r="P575" s="1"/>
      <c r="Q575" s="1"/>
      <c r="R575" s="1"/>
      <c r="S575" s="1"/>
      <c r="T575" s="1"/>
      <c r="U575" s="1"/>
      <c r="V575" s="1"/>
      <c r="W575" s="1"/>
      <c r="X575" s="1"/>
    </row>
    <row r="576">
      <c r="A576" s="2"/>
      <c r="B576" s="2"/>
      <c r="C576" s="88"/>
      <c r="D576" s="89"/>
      <c r="E576" s="4"/>
      <c r="F576" s="91"/>
      <c r="G576" s="91"/>
      <c r="H576" s="4"/>
      <c r="I576" s="98"/>
      <c r="J576" s="2"/>
      <c r="K576" s="1"/>
      <c r="L576" s="1"/>
      <c r="M576" s="1"/>
      <c r="N576" s="1"/>
      <c r="O576" s="1"/>
      <c r="P576" s="1"/>
      <c r="Q576" s="1"/>
      <c r="R576" s="1"/>
      <c r="S576" s="1"/>
      <c r="T576" s="1"/>
      <c r="U576" s="1"/>
      <c r="V576" s="1"/>
      <c r="W576" s="1"/>
      <c r="X576" s="1"/>
    </row>
    <row r="577">
      <c r="A577" s="2"/>
      <c r="B577" s="2"/>
      <c r="C577" s="88"/>
      <c r="D577" s="89"/>
      <c r="E577" s="4"/>
      <c r="F577" s="91"/>
      <c r="G577" s="91"/>
      <c r="H577" s="4"/>
      <c r="I577" s="98"/>
      <c r="J577" s="2"/>
      <c r="K577" s="1"/>
      <c r="L577" s="1"/>
      <c r="M577" s="1"/>
      <c r="N577" s="1"/>
      <c r="O577" s="1"/>
      <c r="P577" s="1"/>
      <c r="Q577" s="1"/>
      <c r="R577" s="1"/>
      <c r="S577" s="1"/>
      <c r="T577" s="1"/>
      <c r="U577" s="1"/>
      <c r="V577" s="1"/>
      <c r="W577" s="1"/>
      <c r="X577" s="1"/>
    </row>
    <row r="578">
      <c r="A578" s="2"/>
      <c r="B578" s="2"/>
      <c r="C578" s="88"/>
      <c r="D578" s="89"/>
      <c r="E578" s="4"/>
      <c r="F578" s="91"/>
      <c r="G578" s="91"/>
      <c r="H578" s="4"/>
      <c r="I578" s="98"/>
      <c r="J578" s="2"/>
      <c r="K578" s="1"/>
      <c r="L578" s="1"/>
      <c r="M578" s="1"/>
      <c r="N578" s="1"/>
      <c r="O578" s="1"/>
      <c r="P578" s="1"/>
      <c r="Q578" s="1"/>
      <c r="R578" s="1"/>
      <c r="S578" s="1"/>
      <c r="T578" s="1"/>
      <c r="U578" s="1"/>
      <c r="V578" s="1"/>
      <c r="W578" s="1"/>
      <c r="X578" s="1"/>
    </row>
    <row r="579">
      <c r="A579" s="2"/>
      <c r="B579" s="2"/>
      <c r="C579" s="88"/>
      <c r="D579" s="89"/>
      <c r="E579" s="4"/>
      <c r="F579" s="91"/>
      <c r="G579" s="91"/>
      <c r="H579" s="4"/>
      <c r="I579" s="98"/>
      <c r="J579" s="2"/>
      <c r="K579" s="1"/>
      <c r="L579" s="1"/>
      <c r="M579" s="1"/>
      <c r="N579" s="1"/>
      <c r="O579" s="1"/>
      <c r="P579" s="1"/>
      <c r="Q579" s="1"/>
      <c r="R579" s="1"/>
      <c r="S579" s="1"/>
      <c r="T579" s="1"/>
      <c r="U579" s="1"/>
      <c r="V579" s="1"/>
      <c r="W579" s="1"/>
      <c r="X579" s="1"/>
    </row>
    <row r="580">
      <c r="A580" s="2"/>
      <c r="B580" s="2"/>
      <c r="C580" s="88"/>
      <c r="D580" s="89"/>
      <c r="E580" s="4"/>
      <c r="F580" s="91"/>
      <c r="G580" s="91"/>
      <c r="H580" s="4"/>
      <c r="I580" s="98"/>
      <c r="J580" s="2"/>
      <c r="K580" s="1"/>
      <c r="L580" s="1"/>
      <c r="M580" s="1"/>
      <c r="N580" s="1"/>
      <c r="O580" s="1"/>
      <c r="P580" s="1"/>
      <c r="Q580" s="1"/>
      <c r="R580" s="1"/>
      <c r="S580" s="1"/>
      <c r="T580" s="1"/>
      <c r="U580" s="1"/>
      <c r="V580" s="1"/>
      <c r="W580" s="1"/>
      <c r="X580" s="1"/>
    </row>
    <row r="581">
      <c r="A581" s="2"/>
      <c r="B581" s="2"/>
      <c r="C581" s="88"/>
      <c r="D581" s="89"/>
      <c r="E581" s="4"/>
      <c r="F581" s="91"/>
      <c r="G581" s="91"/>
      <c r="H581" s="4"/>
      <c r="I581" s="98"/>
      <c r="J581" s="2"/>
      <c r="K581" s="1"/>
      <c r="L581" s="1"/>
      <c r="M581" s="1"/>
      <c r="N581" s="1"/>
      <c r="O581" s="1"/>
      <c r="P581" s="1"/>
      <c r="Q581" s="1"/>
      <c r="R581" s="1"/>
      <c r="S581" s="1"/>
      <c r="T581" s="1"/>
      <c r="U581" s="1"/>
      <c r="V581" s="1"/>
      <c r="W581" s="1"/>
      <c r="X581" s="1"/>
    </row>
    <row r="582">
      <c r="A582" s="2"/>
      <c r="B582" s="2"/>
      <c r="C582" s="88"/>
      <c r="D582" s="89"/>
      <c r="E582" s="4"/>
      <c r="F582" s="91"/>
      <c r="G582" s="91"/>
      <c r="H582" s="4"/>
      <c r="I582" s="98"/>
      <c r="J582" s="2"/>
      <c r="K582" s="1"/>
      <c r="L582" s="1"/>
      <c r="M582" s="1"/>
      <c r="N582" s="1"/>
      <c r="O582" s="1"/>
      <c r="P582" s="1"/>
      <c r="Q582" s="1"/>
      <c r="R582" s="1"/>
      <c r="S582" s="1"/>
      <c r="T582" s="1"/>
      <c r="U582" s="1"/>
      <c r="V582" s="1"/>
      <c r="W582" s="1"/>
      <c r="X582" s="1"/>
    </row>
    <row r="583">
      <c r="A583" s="2"/>
      <c r="B583" s="2"/>
      <c r="C583" s="88"/>
      <c r="D583" s="89"/>
      <c r="E583" s="4"/>
      <c r="F583" s="91"/>
      <c r="G583" s="91"/>
      <c r="H583" s="4"/>
      <c r="I583" s="98"/>
      <c r="J583" s="2"/>
      <c r="K583" s="1"/>
      <c r="L583" s="1"/>
      <c r="M583" s="1"/>
      <c r="N583" s="1"/>
      <c r="O583" s="1"/>
      <c r="P583" s="1"/>
      <c r="Q583" s="1"/>
      <c r="R583" s="1"/>
      <c r="S583" s="1"/>
      <c r="T583" s="1"/>
      <c r="U583" s="1"/>
      <c r="V583" s="1"/>
      <c r="W583" s="1"/>
      <c r="X583" s="1"/>
    </row>
    <row r="584">
      <c r="A584" s="2"/>
      <c r="B584" s="2"/>
      <c r="C584" s="88"/>
      <c r="D584" s="89"/>
      <c r="E584" s="4"/>
      <c r="F584" s="91"/>
      <c r="G584" s="91"/>
      <c r="H584" s="4"/>
      <c r="I584" s="98"/>
      <c r="J584" s="2"/>
      <c r="K584" s="1"/>
      <c r="L584" s="1"/>
      <c r="M584" s="1"/>
      <c r="N584" s="1"/>
      <c r="O584" s="1"/>
      <c r="P584" s="1"/>
      <c r="Q584" s="1"/>
      <c r="R584" s="1"/>
      <c r="S584" s="1"/>
      <c r="T584" s="1"/>
      <c r="U584" s="1"/>
      <c r="V584" s="1"/>
      <c r="W584" s="1"/>
      <c r="X584" s="1"/>
    </row>
    <row r="585">
      <c r="A585" s="2"/>
      <c r="B585" s="2"/>
      <c r="C585" s="88"/>
      <c r="D585" s="89"/>
      <c r="E585" s="4"/>
      <c r="F585" s="91"/>
      <c r="G585" s="91"/>
      <c r="H585" s="4"/>
      <c r="I585" s="98"/>
      <c r="J585" s="2"/>
      <c r="K585" s="1"/>
      <c r="L585" s="1"/>
      <c r="M585" s="1"/>
      <c r="N585" s="1"/>
      <c r="O585" s="1"/>
      <c r="P585" s="1"/>
      <c r="Q585" s="1"/>
      <c r="R585" s="1"/>
      <c r="S585" s="1"/>
      <c r="T585" s="1"/>
      <c r="U585" s="1"/>
      <c r="V585" s="1"/>
      <c r="W585" s="1"/>
      <c r="X585" s="1"/>
    </row>
    <row r="586">
      <c r="A586" s="2"/>
      <c r="B586" s="2"/>
      <c r="C586" s="88"/>
      <c r="D586" s="89"/>
      <c r="E586" s="4"/>
      <c r="F586" s="91"/>
      <c r="G586" s="91"/>
      <c r="H586" s="4"/>
      <c r="I586" s="98"/>
      <c r="J586" s="2"/>
      <c r="K586" s="1"/>
      <c r="L586" s="1"/>
      <c r="M586" s="1"/>
      <c r="N586" s="1"/>
      <c r="O586" s="1"/>
      <c r="P586" s="1"/>
      <c r="Q586" s="1"/>
      <c r="R586" s="1"/>
      <c r="S586" s="1"/>
      <c r="T586" s="1"/>
      <c r="U586" s="1"/>
      <c r="V586" s="1"/>
      <c r="W586" s="1"/>
      <c r="X586" s="1"/>
    </row>
    <row r="587">
      <c r="A587" s="2"/>
      <c r="B587" s="2"/>
      <c r="C587" s="88"/>
      <c r="D587" s="89"/>
      <c r="E587" s="4"/>
      <c r="F587" s="91"/>
      <c r="G587" s="91"/>
      <c r="H587" s="4"/>
      <c r="I587" s="98"/>
      <c r="J587" s="2"/>
      <c r="K587" s="1"/>
      <c r="L587" s="1"/>
      <c r="M587" s="1"/>
      <c r="N587" s="1"/>
      <c r="O587" s="1"/>
      <c r="P587" s="1"/>
      <c r="Q587" s="1"/>
      <c r="R587" s="1"/>
      <c r="S587" s="1"/>
      <c r="T587" s="1"/>
      <c r="U587" s="1"/>
      <c r="V587" s="1"/>
      <c r="W587" s="1"/>
      <c r="X587" s="1"/>
    </row>
    <row r="588">
      <c r="A588" s="2"/>
      <c r="B588" s="2"/>
      <c r="C588" s="88"/>
      <c r="D588" s="89"/>
      <c r="E588" s="4"/>
      <c r="F588" s="91"/>
      <c r="G588" s="91"/>
      <c r="H588" s="4"/>
      <c r="I588" s="98"/>
      <c r="J588" s="2"/>
      <c r="K588" s="1"/>
      <c r="L588" s="1"/>
      <c r="M588" s="1"/>
      <c r="N588" s="1"/>
      <c r="O588" s="1"/>
      <c r="P588" s="1"/>
      <c r="Q588" s="1"/>
      <c r="R588" s="1"/>
      <c r="S588" s="1"/>
      <c r="T588" s="1"/>
      <c r="U588" s="1"/>
      <c r="V588" s="1"/>
      <c r="W588" s="1"/>
      <c r="X588" s="1"/>
    </row>
    <row r="589">
      <c r="A589" s="2"/>
      <c r="B589" s="2"/>
      <c r="C589" s="88"/>
      <c r="D589" s="89"/>
      <c r="E589" s="4"/>
      <c r="F589" s="91"/>
      <c r="G589" s="91"/>
      <c r="H589" s="4"/>
      <c r="I589" s="98"/>
      <c r="J589" s="2"/>
      <c r="K589" s="1"/>
      <c r="L589" s="1"/>
      <c r="M589" s="1"/>
      <c r="N589" s="1"/>
      <c r="O589" s="1"/>
      <c r="P589" s="1"/>
      <c r="Q589" s="1"/>
      <c r="R589" s="1"/>
      <c r="S589" s="1"/>
      <c r="T589" s="1"/>
      <c r="U589" s="1"/>
      <c r="V589" s="1"/>
      <c r="W589" s="1"/>
      <c r="X589" s="1"/>
    </row>
    <row r="590">
      <c r="A590" s="2"/>
      <c r="B590" s="2"/>
      <c r="C590" s="88"/>
      <c r="D590" s="89"/>
      <c r="E590" s="4"/>
      <c r="F590" s="91"/>
      <c r="G590" s="91"/>
      <c r="H590" s="4"/>
      <c r="I590" s="98"/>
      <c r="J590" s="2"/>
      <c r="K590" s="1"/>
      <c r="L590" s="1"/>
      <c r="M590" s="1"/>
      <c r="N590" s="1"/>
      <c r="O590" s="1"/>
      <c r="P590" s="1"/>
      <c r="Q590" s="1"/>
      <c r="R590" s="1"/>
      <c r="S590" s="1"/>
      <c r="T590" s="1"/>
      <c r="U590" s="1"/>
      <c r="V590" s="1"/>
      <c r="W590" s="1"/>
      <c r="X590" s="1"/>
    </row>
    <row r="591">
      <c r="A591" s="2"/>
      <c r="B591" s="2"/>
      <c r="C591" s="88"/>
      <c r="D591" s="89"/>
      <c r="E591" s="4"/>
      <c r="F591" s="91"/>
      <c r="G591" s="91"/>
      <c r="H591" s="4"/>
      <c r="I591" s="98"/>
      <c r="J591" s="2"/>
      <c r="K591" s="1"/>
      <c r="L591" s="1"/>
      <c r="M591" s="1"/>
      <c r="N591" s="1"/>
      <c r="O591" s="1"/>
      <c r="P591" s="1"/>
      <c r="Q591" s="1"/>
      <c r="R591" s="1"/>
      <c r="S591" s="1"/>
      <c r="T591" s="1"/>
      <c r="U591" s="1"/>
      <c r="V591" s="1"/>
      <c r="W591" s="1"/>
      <c r="X591" s="1"/>
    </row>
    <row r="592">
      <c r="A592" s="2"/>
      <c r="B592" s="2"/>
      <c r="C592" s="88"/>
      <c r="D592" s="89"/>
      <c r="E592" s="4"/>
      <c r="F592" s="91"/>
      <c r="G592" s="91"/>
      <c r="H592" s="4"/>
      <c r="I592" s="98"/>
      <c r="J592" s="2"/>
      <c r="K592" s="1"/>
      <c r="L592" s="1"/>
      <c r="M592" s="1"/>
      <c r="N592" s="1"/>
      <c r="O592" s="1"/>
      <c r="P592" s="1"/>
      <c r="Q592" s="1"/>
      <c r="R592" s="1"/>
      <c r="S592" s="1"/>
      <c r="T592" s="1"/>
      <c r="U592" s="1"/>
      <c r="V592" s="1"/>
      <c r="W592" s="1"/>
      <c r="X592" s="1"/>
    </row>
    <row r="593">
      <c r="A593" s="2"/>
      <c r="B593" s="2"/>
      <c r="C593" s="88"/>
      <c r="D593" s="89"/>
      <c r="E593" s="4"/>
      <c r="F593" s="91"/>
      <c r="G593" s="91"/>
      <c r="H593" s="4"/>
      <c r="I593" s="98"/>
      <c r="J593" s="2"/>
      <c r="K593" s="1"/>
      <c r="L593" s="1"/>
      <c r="M593" s="1"/>
      <c r="N593" s="1"/>
      <c r="O593" s="1"/>
      <c r="P593" s="1"/>
      <c r="Q593" s="1"/>
      <c r="R593" s="1"/>
      <c r="S593" s="1"/>
      <c r="T593" s="1"/>
      <c r="U593" s="1"/>
      <c r="V593" s="1"/>
      <c r="W593" s="1"/>
      <c r="X593" s="1"/>
    </row>
    <row r="594">
      <c r="A594" s="2"/>
      <c r="B594" s="2"/>
      <c r="C594" s="88"/>
      <c r="D594" s="89"/>
      <c r="E594" s="4"/>
      <c r="F594" s="91"/>
      <c r="G594" s="91"/>
      <c r="H594" s="4"/>
      <c r="I594" s="98"/>
      <c r="J594" s="2"/>
      <c r="K594" s="1"/>
      <c r="L594" s="1"/>
      <c r="M594" s="1"/>
      <c r="N594" s="1"/>
      <c r="O594" s="1"/>
      <c r="P594" s="1"/>
      <c r="Q594" s="1"/>
      <c r="R594" s="1"/>
      <c r="S594" s="1"/>
      <c r="T594" s="1"/>
      <c r="U594" s="1"/>
      <c r="V594" s="1"/>
      <c r="W594" s="1"/>
      <c r="X594" s="1"/>
    </row>
    <row r="595">
      <c r="A595" s="2"/>
      <c r="B595" s="2"/>
      <c r="C595" s="88"/>
      <c r="D595" s="89"/>
      <c r="E595" s="4"/>
      <c r="F595" s="91"/>
      <c r="G595" s="91"/>
      <c r="H595" s="4"/>
      <c r="I595" s="98"/>
      <c r="J595" s="2"/>
      <c r="K595" s="1"/>
      <c r="L595" s="1"/>
      <c r="M595" s="1"/>
      <c r="N595" s="1"/>
      <c r="O595" s="1"/>
      <c r="P595" s="1"/>
      <c r="Q595" s="1"/>
      <c r="R595" s="1"/>
      <c r="S595" s="1"/>
      <c r="T595" s="1"/>
      <c r="U595" s="1"/>
      <c r="V595" s="1"/>
      <c r="W595" s="1"/>
      <c r="X595" s="1"/>
    </row>
    <row r="596">
      <c r="A596" s="2"/>
      <c r="B596" s="2"/>
      <c r="C596" s="88"/>
      <c r="D596" s="89"/>
      <c r="E596" s="4"/>
      <c r="F596" s="91"/>
      <c r="G596" s="91"/>
      <c r="H596" s="4"/>
      <c r="I596" s="98"/>
      <c r="J596" s="2"/>
      <c r="K596" s="1"/>
      <c r="L596" s="1"/>
      <c r="M596" s="1"/>
      <c r="N596" s="1"/>
      <c r="O596" s="1"/>
      <c r="P596" s="1"/>
      <c r="Q596" s="1"/>
      <c r="R596" s="1"/>
      <c r="S596" s="1"/>
      <c r="T596" s="1"/>
      <c r="U596" s="1"/>
      <c r="V596" s="1"/>
      <c r="W596" s="1"/>
      <c r="X596" s="1"/>
    </row>
    <row r="597">
      <c r="A597" s="2"/>
      <c r="B597" s="2"/>
      <c r="C597" s="88"/>
      <c r="D597" s="89"/>
      <c r="E597" s="4"/>
      <c r="F597" s="91"/>
      <c r="G597" s="91"/>
      <c r="H597" s="4"/>
      <c r="I597" s="98"/>
      <c r="J597" s="2"/>
      <c r="K597" s="1"/>
      <c r="L597" s="1"/>
      <c r="M597" s="1"/>
      <c r="N597" s="1"/>
      <c r="O597" s="1"/>
      <c r="P597" s="1"/>
      <c r="Q597" s="1"/>
      <c r="R597" s="1"/>
      <c r="S597" s="1"/>
      <c r="T597" s="1"/>
      <c r="U597" s="1"/>
      <c r="V597" s="1"/>
      <c r="W597" s="1"/>
      <c r="X597" s="1"/>
    </row>
    <row r="598">
      <c r="A598" s="2"/>
      <c r="B598" s="2"/>
      <c r="C598" s="88"/>
      <c r="D598" s="89"/>
      <c r="E598" s="4"/>
      <c r="F598" s="91"/>
      <c r="G598" s="91"/>
      <c r="H598" s="4"/>
      <c r="I598" s="98"/>
      <c r="J598" s="2"/>
      <c r="K598" s="1"/>
      <c r="L598" s="1"/>
      <c r="M598" s="1"/>
      <c r="N598" s="1"/>
      <c r="O598" s="1"/>
      <c r="P598" s="1"/>
      <c r="Q598" s="1"/>
      <c r="R598" s="1"/>
      <c r="S598" s="1"/>
      <c r="T598" s="1"/>
      <c r="U598" s="1"/>
      <c r="V598" s="1"/>
      <c r="W598" s="1"/>
      <c r="X598" s="1"/>
    </row>
    <row r="599">
      <c r="A599" s="2"/>
      <c r="B599" s="2"/>
      <c r="C599" s="88"/>
      <c r="D599" s="89"/>
      <c r="E599" s="4"/>
      <c r="F599" s="91"/>
      <c r="G599" s="91"/>
      <c r="H599" s="4"/>
      <c r="I599" s="98"/>
      <c r="J599" s="2"/>
      <c r="K599" s="1"/>
      <c r="L599" s="1"/>
      <c r="M599" s="1"/>
      <c r="N599" s="1"/>
      <c r="O599" s="1"/>
      <c r="P599" s="1"/>
      <c r="Q599" s="1"/>
      <c r="R599" s="1"/>
      <c r="S599" s="1"/>
      <c r="T599" s="1"/>
      <c r="U599" s="1"/>
      <c r="V599" s="1"/>
      <c r="W599" s="1"/>
      <c r="X599" s="1"/>
    </row>
    <row r="600">
      <c r="A600" s="2"/>
      <c r="B600" s="2"/>
      <c r="C600" s="88"/>
      <c r="D600" s="89"/>
      <c r="E600" s="4"/>
      <c r="F600" s="91"/>
      <c r="G600" s="91"/>
      <c r="H600" s="4"/>
      <c r="I600" s="98"/>
      <c r="J600" s="2"/>
      <c r="K600" s="1"/>
      <c r="L600" s="1"/>
      <c r="M600" s="1"/>
      <c r="N600" s="1"/>
      <c r="O600" s="1"/>
      <c r="P600" s="1"/>
      <c r="Q600" s="1"/>
      <c r="R600" s="1"/>
      <c r="S600" s="1"/>
      <c r="T600" s="1"/>
      <c r="U600" s="1"/>
      <c r="V600" s="1"/>
      <c r="W600" s="1"/>
      <c r="X600" s="1"/>
    </row>
    <row r="601">
      <c r="A601" s="2"/>
      <c r="B601" s="2"/>
      <c r="C601" s="88"/>
      <c r="D601" s="89"/>
      <c r="E601" s="4"/>
      <c r="F601" s="91"/>
      <c r="G601" s="91"/>
      <c r="H601" s="4"/>
      <c r="I601" s="98"/>
      <c r="J601" s="2"/>
      <c r="K601" s="1"/>
      <c r="L601" s="1"/>
      <c r="M601" s="1"/>
      <c r="N601" s="1"/>
      <c r="O601" s="1"/>
      <c r="P601" s="1"/>
      <c r="Q601" s="1"/>
      <c r="R601" s="1"/>
      <c r="S601" s="1"/>
      <c r="T601" s="1"/>
      <c r="U601" s="1"/>
      <c r="V601" s="1"/>
      <c r="W601" s="1"/>
      <c r="X601" s="1"/>
    </row>
    <row r="602">
      <c r="A602" s="2"/>
      <c r="B602" s="2"/>
      <c r="C602" s="88"/>
      <c r="D602" s="89"/>
      <c r="E602" s="4"/>
      <c r="F602" s="91"/>
      <c r="G602" s="91"/>
      <c r="H602" s="4"/>
      <c r="I602" s="98"/>
      <c r="J602" s="2"/>
      <c r="K602" s="1"/>
      <c r="L602" s="1"/>
      <c r="M602" s="1"/>
      <c r="N602" s="1"/>
      <c r="O602" s="1"/>
      <c r="P602" s="1"/>
      <c r="Q602" s="1"/>
      <c r="R602" s="1"/>
      <c r="S602" s="1"/>
      <c r="T602" s="1"/>
      <c r="U602" s="1"/>
      <c r="V602" s="1"/>
      <c r="W602" s="1"/>
      <c r="X602" s="1"/>
    </row>
    <row r="603">
      <c r="A603" s="2"/>
      <c r="B603" s="2"/>
      <c r="C603" s="88"/>
      <c r="D603" s="89"/>
      <c r="E603" s="4"/>
      <c r="F603" s="91"/>
      <c r="G603" s="91"/>
      <c r="H603" s="4"/>
      <c r="I603" s="98"/>
      <c r="J603" s="2"/>
      <c r="K603" s="1"/>
      <c r="L603" s="1"/>
      <c r="M603" s="1"/>
      <c r="N603" s="1"/>
      <c r="O603" s="1"/>
      <c r="P603" s="1"/>
      <c r="Q603" s="1"/>
      <c r="R603" s="1"/>
      <c r="S603" s="1"/>
      <c r="T603" s="1"/>
      <c r="U603" s="1"/>
      <c r="V603" s="1"/>
      <c r="W603" s="1"/>
      <c r="X603" s="1"/>
    </row>
    <row r="604">
      <c r="A604" s="2"/>
      <c r="B604" s="2"/>
      <c r="C604" s="88"/>
      <c r="D604" s="89"/>
      <c r="E604" s="4"/>
      <c r="F604" s="91"/>
      <c r="G604" s="91"/>
      <c r="H604" s="4"/>
      <c r="I604" s="98"/>
      <c r="J604" s="2"/>
      <c r="K604" s="1"/>
      <c r="L604" s="1"/>
      <c r="M604" s="1"/>
      <c r="N604" s="1"/>
      <c r="O604" s="1"/>
      <c r="P604" s="1"/>
      <c r="Q604" s="1"/>
      <c r="R604" s="1"/>
      <c r="S604" s="1"/>
      <c r="T604" s="1"/>
      <c r="U604" s="1"/>
      <c r="V604" s="1"/>
      <c r="W604" s="1"/>
      <c r="X604" s="1"/>
    </row>
    <row r="605">
      <c r="A605" s="2"/>
      <c r="B605" s="2"/>
      <c r="C605" s="88"/>
      <c r="D605" s="89"/>
      <c r="E605" s="4"/>
      <c r="F605" s="91"/>
      <c r="G605" s="91"/>
      <c r="H605" s="4"/>
      <c r="I605" s="98"/>
      <c r="J605" s="2"/>
      <c r="K605" s="1"/>
      <c r="L605" s="1"/>
      <c r="M605" s="1"/>
      <c r="N605" s="1"/>
      <c r="O605" s="1"/>
      <c r="P605" s="1"/>
      <c r="Q605" s="1"/>
      <c r="R605" s="1"/>
      <c r="S605" s="1"/>
      <c r="T605" s="1"/>
      <c r="U605" s="1"/>
      <c r="V605" s="1"/>
      <c r="W605" s="1"/>
      <c r="X605" s="1"/>
    </row>
    <row r="606">
      <c r="A606" s="2"/>
      <c r="B606" s="2"/>
      <c r="C606" s="88"/>
      <c r="D606" s="89"/>
      <c r="E606" s="4"/>
      <c r="F606" s="91"/>
      <c r="G606" s="91"/>
      <c r="H606" s="4"/>
      <c r="I606" s="98"/>
      <c r="J606" s="2"/>
      <c r="K606" s="1"/>
      <c r="L606" s="1"/>
      <c r="M606" s="1"/>
      <c r="N606" s="1"/>
      <c r="O606" s="1"/>
      <c r="P606" s="1"/>
      <c r="Q606" s="1"/>
      <c r="R606" s="1"/>
      <c r="S606" s="1"/>
      <c r="T606" s="1"/>
      <c r="U606" s="1"/>
      <c r="V606" s="1"/>
      <c r="W606" s="1"/>
      <c r="X606" s="1"/>
    </row>
    <row r="607">
      <c r="A607" s="2"/>
      <c r="B607" s="2"/>
      <c r="C607" s="88"/>
      <c r="D607" s="89"/>
      <c r="E607" s="4"/>
      <c r="F607" s="91"/>
      <c r="G607" s="91"/>
      <c r="H607" s="4"/>
      <c r="I607" s="98"/>
      <c r="J607" s="2"/>
      <c r="K607" s="1"/>
      <c r="L607" s="1"/>
      <c r="M607" s="1"/>
      <c r="N607" s="1"/>
      <c r="O607" s="1"/>
      <c r="P607" s="1"/>
      <c r="Q607" s="1"/>
      <c r="R607" s="1"/>
      <c r="S607" s="1"/>
      <c r="T607" s="1"/>
      <c r="U607" s="1"/>
      <c r="V607" s="1"/>
      <c r="W607" s="1"/>
      <c r="X607" s="1"/>
    </row>
    <row r="608">
      <c r="A608" s="2"/>
      <c r="B608" s="2"/>
      <c r="C608" s="88"/>
      <c r="D608" s="89"/>
      <c r="E608" s="4"/>
      <c r="F608" s="91"/>
      <c r="G608" s="91"/>
      <c r="H608" s="4"/>
      <c r="I608" s="98"/>
      <c r="J608" s="2"/>
      <c r="K608" s="1"/>
      <c r="L608" s="1"/>
      <c r="M608" s="1"/>
      <c r="N608" s="1"/>
      <c r="O608" s="1"/>
      <c r="P608" s="1"/>
      <c r="Q608" s="1"/>
      <c r="R608" s="1"/>
      <c r="S608" s="1"/>
      <c r="T608" s="1"/>
      <c r="U608" s="1"/>
      <c r="V608" s="1"/>
      <c r="W608" s="1"/>
      <c r="X608" s="1"/>
    </row>
    <row r="609">
      <c r="A609" s="2"/>
      <c r="B609" s="2"/>
      <c r="C609" s="88"/>
      <c r="D609" s="89"/>
      <c r="E609" s="4"/>
      <c r="F609" s="91"/>
      <c r="G609" s="91"/>
      <c r="H609" s="4"/>
      <c r="I609" s="98"/>
      <c r="J609" s="2"/>
      <c r="K609" s="1"/>
      <c r="L609" s="1"/>
      <c r="M609" s="1"/>
      <c r="N609" s="1"/>
      <c r="O609" s="1"/>
      <c r="P609" s="1"/>
      <c r="Q609" s="1"/>
      <c r="R609" s="1"/>
      <c r="S609" s="1"/>
      <c r="T609" s="1"/>
      <c r="U609" s="1"/>
      <c r="V609" s="1"/>
      <c r="W609" s="1"/>
      <c r="X609" s="1"/>
    </row>
    <row r="610">
      <c r="A610" s="2"/>
      <c r="B610" s="2"/>
      <c r="C610" s="88"/>
      <c r="D610" s="89"/>
      <c r="E610" s="4"/>
      <c r="F610" s="91"/>
      <c r="G610" s="91"/>
      <c r="H610" s="4"/>
      <c r="I610" s="98"/>
      <c r="J610" s="2"/>
      <c r="K610" s="1"/>
      <c r="L610" s="1"/>
      <c r="M610" s="1"/>
      <c r="N610" s="1"/>
      <c r="O610" s="1"/>
      <c r="P610" s="1"/>
      <c r="Q610" s="1"/>
      <c r="R610" s="1"/>
      <c r="S610" s="1"/>
      <c r="T610" s="1"/>
      <c r="U610" s="1"/>
      <c r="V610" s="1"/>
      <c r="W610" s="1"/>
      <c r="X610" s="1"/>
    </row>
    <row r="611">
      <c r="A611" s="2"/>
      <c r="B611" s="2"/>
      <c r="C611" s="88"/>
      <c r="D611" s="89"/>
      <c r="E611" s="4"/>
      <c r="F611" s="91"/>
      <c r="G611" s="91"/>
      <c r="H611" s="4"/>
      <c r="I611" s="98"/>
      <c r="J611" s="2"/>
      <c r="K611" s="1"/>
      <c r="L611" s="1"/>
      <c r="M611" s="1"/>
      <c r="N611" s="1"/>
      <c r="O611" s="1"/>
      <c r="P611" s="1"/>
      <c r="Q611" s="1"/>
      <c r="R611" s="1"/>
      <c r="S611" s="1"/>
      <c r="T611" s="1"/>
      <c r="U611" s="1"/>
      <c r="V611" s="1"/>
      <c r="W611" s="1"/>
      <c r="X611" s="1"/>
    </row>
    <row r="612">
      <c r="A612" s="2"/>
      <c r="B612" s="2"/>
      <c r="C612" s="88"/>
      <c r="D612" s="89"/>
      <c r="E612" s="4"/>
      <c r="F612" s="91"/>
      <c r="G612" s="91"/>
      <c r="H612" s="4"/>
      <c r="I612" s="98"/>
      <c r="J612" s="2"/>
      <c r="K612" s="1"/>
      <c r="L612" s="1"/>
      <c r="M612" s="1"/>
      <c r="N612" s="1"/>
      <c r="O612" s="1"/>
      <c r="P612" s="1"/>
      <c r="Q612" s="1"/>
      <c r="R612" s="1"/>
      <c r="S612" s="1"/>
      <c r="T612" s="1"/>
      <c r="U612" s="1"/>
      <c r="V612" s="1"/>
      <c r="W612" s="1"/>
      <c r="X612" s="1"/>
    </row>
    <row r="613">
      <c r="A613" s="2"/>
      <c r="B613" s="2"/>
      <c r="C613" s="88"/>
      <c r="D613" s="89"/>
      <c r="E613" s="4"/>
      <c r="F613" s="91"/>
      <c r="G613" s="91"/>
      <c r="H613" s="4"/>
      <c r="I613" s="98"/>
      <c r="J613" s="2"/>
      <c r="K613" s="1"/>
      <c r="L613" s="1"/>
      <c r="M613" s="1"/>
      <c r="N613" s="1"/>
      <c r="O613" s="1"/>
      <c r="P613" s="1"/>
      <c r="Q613" s="1"/>
      <c r="R613" s="1"/>
      <c r="S613" s="1"/>
      <c r="T613" s="1"/>
      <c r="U613" s="1"/>
      <c r="V613" s="1"/>
      <c r="W613" s="1"/>
      <c r="X613" s="1"/>
    </row>
    <row r="614">
      <c r="A614" s="2"/>
      <c r="B614" s="2"/>
      <c r="C614" s="88"/>
      <c r="D614" s="89"/>
      <c r="E614" s="4"/>
      <c r="F614" s="91"/>
      <c r="G614" s="91"/>
      <c r="H614" s="4"/>
      <c r="I614" s="98"/>
      <c r="J614" s="2"/>
      <c r="K614" s="1"/>
      <c r="L614" s="1"/>
      <c r="M614" s="1"/>
      <c r="N614" s="1"/>
      <c r="O614" s="1"/>
      <c r="P614" s="1"/>
      <c r="Q614" s="1"/>
      <c r="R614" s="1"/>
      <c r="S614" s="1"/>
      <c r="T614" s="1"/>
      <c r="U614" s="1"/>
      <c r="V614" s="1"/>
      <c r="W614" s="1"/>
      <c r="X614" s="1"/>
    </row>
    <row r="615">
      <c r="A615" s="2"/>
      <c r="B615" s="2"/>
      <c r="C615" s="88"/>
      <c r="D615" s="89"/>
      <c r="E615" s="4"/>
      <c r="F615" s="91"/>
      <c r="G615" s="91"/>
      <c r="H615" s="4"/>
      <c r="I615" s="98"/>
      <c r="J615" s="2"/>
      <c r="K615" s="1"/>
      <c r="L615" s="1"/>
      <c r="M615" s="1"/>
      <c r="N615" s="1"/>
      <c r="O615" s="1"/>
      <c r="P615" s="1"/>
      <c r="Q615" s="1"/>
      <c r="R615" s="1"/>
      <c r="S615" s="1"/>
      <c r="T615" s="1"/>
      <c r="U615" s="1"/>
      <c r="V615" s="1"/>
      <c r="W615" s="1"/>
      <c r="X615" s="1"/>
    </row>
    <row r="616">
      <c r="A616" s="2"/>
      <c r="B616" s="2"/>
      <c r="C616" s="88"/>
      <c r="D616" s="89"/>
      <c r="E616" s="4"/>
      <c r="F616" s="91"/>
      <c r="G616" s="91"/>
      <c r="H616" s="4"/>
      <c r="I616" s="98"/>
      <c r="J616" s="2"/>
      <c r="K616" s="1"/>
      <c r="L616" s="1"/>
      <c r="M616" s="1"/>
      <c r="N616" s="1"/>
      <c r="O616" s="1"/>
      <c r="P616" s="1"/>
      <c r="Q616" s="1"/>
      <c r="R616" s="1"/>
      <c r="S616" s="1"/>
      <c r="T616" s="1"/>
      <c r="U616" s="1"/>
      <c r="V616" s="1"/>
      <c r="W616" s="1"/>
      <c r="X616" s="1"/>
    </row>
    <row r="617">
      <c r="A617" s="2"/>
      <c r="B617" s="2"/>
      <c r="C617" s="88"/>
      <c r="D617" s="89"/>
      <c r="E617" s="4"/>
      <c r="F617" s="91"/>
      <c r="G617" s="91"/>
      <c r="H617" s="4"/>
      <c r="I617" s="98"/>
      <c r="J617" s="2"/>
      <c r="K617" s="1"/>
      <c r="L617" s="1"/>
      <c r="M617" s="1"/>
      <c r="N617" s="1"/>
      <c r="O617" s="1"/>
      <c r="P617" s="1"/>
      <c r="Q617" s="1"/>
      <c r="R617" s="1"/>
      <c r="S617" s="1"/>
      <c r="T617" s="1"/>
      <c r="U617" s="1"/>
      <c r="V617" s="1"/>
      <c r="W617" s="1"/>
      <c r="X617" s="1"/>
    </row>
    <row r="618">
      <c r="A618" s="2"/>
      <c r="B618" s="2"/>
      <c r="C618" s="88"/>
      <c r="D618" s="89"/>
      <c r="E618" s="4"/>
      <c r="F618" s="91"/>
      <c r="G618" s="91"/>
      <c r="H618" s="4"/>
      <c r="I618" s="98"/>
      <c r="J618" s="2"/>
      <c r="K618" s="1"/>
      <c r="L618" s="1"/>
      <c r="M618" s="1"/>
      <c r="N618" s="1"/>
      <c r="O618" s="1"/>
      <c r="P618" s="1"/>
      <c r="Q618" s="1"/>
      <c r="R618" s="1"/>
      <c r="S618" s="1"/>
      <c r="T618" s="1"/>
      <c r="U618" s="1"/>
      <c r="V618" s="1"/>
      <c r="W618" s="1"/>
      <c r="X618" s="1"/>
    </row>
    <row r="619">
      <c r="A619" s="2"/>
      <c r="B619" s="2"/>
      <c r="C619" s="88"/>
      <c r="D619" s="89"/>
      <c r="E619" s="4"/>
      <c r="F619" s="91"/>
      <c r="G619" s="91"/>
      <c r="H619" s="4"/>
      <c r="I619" s="98"/>
      <c r="J619" s="2"/>
      <c r="K619" s="1"/>
      <c r="L619" s="1"/>
      <c r="M619" s="1"/>
      <c r="N619" s="1"/>
      <c r="O619" s="1"/>
      <c r="P619" s="1"/>
      <c r="Q619" s="1"/>
      <c r="R619" s="1"/>
      <c r="S619" s="1"/>
      <c r="T619" s="1"/>
      <c r="U619" s="1"/>
      <c r="V619" s="1"/>
      <c r="W619" s="1"/>
      <c r="X619" s="1"/>
    </row>
    <row r="620">
      <c r="A620" s="2"/>
      <c r="B620" s="2"/>
      <c r="C620" s="88"/>
      <c r="D620" s="89"/>
      <c r="E620" s="4"/>
      <c r="F620" s="91"/>
      <c r="G620" s="91"/>
      <c r="H620" s="4"/>
      <c r="I620" s="98"/>
      <c r="J620" s="2"/>
      <c r="K620" s="1"/>
      <c r="L620" s="1"/>
      <c r="M620" s="1"/>
      <c r="N620" s="1"/>
      <c r="O620" s="1"/>
      <c r="P620" s="1"/>
      <c r="Q620" s="1"/>
      <c r="R620" s="1"/>
      <c r="S620" s="1"/>
      <c r="T620" s="1"/>
      <c r="U620" s="1"/>
      <c r="V620" s="1"/>
      <c r="W620" s="1"/>
      <c r="X620" s="1"/>
    </row>
    <row r="621">
      <c r="A621" s="2"/>
      <c r="B621" s="2"/>
      <c r="C621" s="88"/>
      <c r="D621" s="89"/>
      <c r="E621" s="4"/>
      <c r="F621" s="91"/>
      <c r="G621" s="91"/>
      <c r="H621" s="4"/>
      <c r="I621" s="98"/>
      <c r="J621" s="2"/>
      <c r="K621" s="1"/>
      <c r="L621" s="1"/>
      <c r="M621" s="1"/>
      <c r="N621" s="1"/>
      <c r="O621" s="1"/>
      <c r="P621" s="1"/>
      <c r="Q621" s="1"/>
      <c r="R621" s="1"/>
      <c r="S621" s="1"/>
      <c r="T621" s="1"/>
      <c r="U621" s="1"/>
      <c r="V621" s="1"/>
      <c r="W621" s="1"/>
      <c r="X621" s="1"/>
    </row>
    <row r="622">
      <c r="A622" s="2"/>
      <c r="B622" s="2"/>
      <c r="C622" s="88"/>
      <c r="D622" s="89"/>
      <c r="E622" s="4"/>
      <c r="F622" s="91"/>
      <c r="G622" s="91"/>
      <c r="H622" s="4"/>
      <c r="I622" s="98"/>
      <c r="J622" s="2"/>
      <c r="K622" s="1"/>
      <c r="L622" s="1"/>
      <c r="M622" s="1"/>
      <c r="N622" s="1"/>
      <c r="O622" s="1"/>
      <c r="P622" s="1"/>
      <c r="Q622" s="1"/>
      <c r="R622" s="1"/>
      <c r="S622" s="1"/>
      <c r="T622" s="1"/>
      <c r="U622" s="1"/>
      <c r="V622" s="1"/>
      <c r="W622" s="1"/>
      <c r="X622" s="1"/>
    </row>
    <row r="623">
      <c r="A623" s="2"/>
      <c r="B623" s="2"/>
      <c r="C623" s="88"/>
      <c r="D623" s="89"/>
      <c r="E623" s="4"/>
      <c r="F623" s="91"/>
      <c r="G623" s="91"/>
      <c r="H623" s="4"/>
      <c r="I623" s="98"/>
      <c r="J623" s="2"/>
      <c r="K623" s="1"/>
      <c r="L623" s="1"/>
      <c r="M623" s="1"/>
      <c r="N623" s="1"/>
      <c r="O623" s="1"/>
      <c r="P623" s="1"/>
      <c r="Q623" s="1"/>
      <c r="R623" s="1"/>
      <c r="S623" s="1"/>
      <c r="T623" s="1"/>
      <c r="U623" s="1"/>
      <c r="V623" s="1"/>
      <c r="W623" s="1"/>
      <c r="X623" s="1"/>
    </row>
    <row r="624">
      <c r="A624" s="2"/>
      <c r="B624" s="2"/>
      <c r="C624" s="88"/>
      <c r="D624" s="89"/>
      <c r="E624" s="4"/>
      <c r="F624" s="91"/>
      <c r="G624" s="91"/>
      <c r="H624" s="4"/>
      <c r="I624" s="98"/>
      <c r="J624" s="2"/>
      <c r="K624" s="1"/>
      <c r="L624" s="1"/>
      <c r="M624" s="1"/>
      <c r="N624" s="1"/>
      <c r="O624" s="1"/>
      <c r="P624" s="1"/>
      <c r="Q624" s="1"/>
      <c r="R624" s="1"/>
      <c r="S624" s="1"/>
      <c r="T624" s="1"/>
      <c r="U624" s="1"/>
      <c r="V624" s="1"/>
      <c r="W624" s="1"/>
      <c r="X624" s="1"/>
    </row>
    <row r="625">
      <c r="A625" s="2"/>
      <c r="B625" s="2"/>
      <c r="C625" s="88"/>
      <c r="D625" s="89"/>
      <c r="E625" s="4"/>
      <c r="F625" s="91"/>
      <c r="G625" s="91"/>
      <c r="H625" s="4"/>
      <c r="I625" s="98"/>
      <c r="J625" s="2"/>
      <c r="K625" s="1"/>
      <c r="L625" s="1"/>
      <c r="M625" s="1"/>
      <c r="N625" s="1"/>
      <c r="O625" s="1"/>
      <c r="P625" s="1"/>
      <c r="Q625" s="1"/>
      <c r="R625" s="1"/>
      <c r="S625" s="1"/>
      <c r="T625" s="1"/>
      <c r="U625" s="1"/>
      <c r="V625" s="1"/>
      <c r="W625" s="1"/>
      <c r="X625" s="1"/>
    </row>
    <row r="626">
      <c r="A626" s="2"/>
      <c r="B626" s="2"/>
      <c r="C626" s="88"/>
      <c r="D626" s="89"/>
      <c r="E626" s="4"/>
      <c r="F626" s="91"/>
      <c r="G626" s="91"/>
      <c r="H626" s="4"/>
      <c r="I626" s="98"/>
      <c r="J626" s="2"/>
      <c r="K626" s="1"/>
      <c r="L626" s="1"/>
      <c r="M626" s="1"/>
      <c r="N626" s="1"/>
      <c r="O626" s="1"/>
      <c r="P626" s="1"/>
      <c r="Q626" s="1"/>
      <c r="R626" s="1"/>
      <c r="S626" s="1"/>
      <c r="T626" s="1"/>
      <c r="U626" s="1"/>
      <c r="V626" s="1"/>
      <c r="W626" s="1"/>
      <c r="X626" s="1"/>
    </row>
    <row r="627">
      <c r="A627" s="2"/>
      <c r="B627" s="2"/>
      <c r="C627" s="88"/>
      <c r="D627" s="89"/>
      <c r="E627" s="4"/>
      <c r="F627" s="91"/>
      <c r="G627" s="91"/>
      <c r="H627" s="4"/>
      <c r="I627" s="98"/>
      <c r="J627" s="2"/>
      <c r="K627" s="1"/>
      <c r="L627" s="1"/>
      <c r="M627" s="1"/>
      <c r="N627" s="1"/>
      <c r="O627" s="1"/>
      <c r="P627" s="1"/>
      <c r="Q627" s="1"/>
      <c r="R627" s="1"/>
      <c r="S627" s="1"/>
      <c r="T627" s="1"/>
      <c r="U627" s="1"/>
      <c r="V627" s="1"/>
      <c r="W627" s="1"/>
      <c r="X627" s="1"/>
    </row>
    <row r="628">
      <c r="A628" s="2"/>
      <c r="B628" s="2"/>
      <c r="C628" s="88"/>
      <c r="D628" s="89"/>
      <c r="E628" s="4"/>
      <c r="F628" s="91"/>
      <c r="G628" s="91"/>
      <c r="H628" s="4"/>
      <c r="I628" s="98"/>
      <c r="J628" s="2"/>
      <c r="K628" s="1"/>
      <c r="L628" s="1"/>
      <c r="M628" s="1"/>
      <c r="N628" s="1"/>
      <c r="O628" s="1"/>
      <c r="P628" s="1"/>
      <c r="Q628" s="1"/>
      <c r="R628" s="1"/>
      <c r="S628" s="1"/>
      <c r="T628" s="1"/>
      <c r="U628" s="1"/>
      <c r="V628" s="1"/>
      <c r="W628" s="1"/>
      <c r="X628" s="1"/>
    </row>
    <row r="629">
      <c r="A629" s="2"/>
      <c r="B629" s="2"/>
      <c r="C629" s="88"/>
      <c r="D629" s="89"/>
      <c r="E629" s="4"/>
      <c r="F629" s="91"/>
      <c r="G629" s="91"/>
      <c r="H629" s="4"/>
      <c r="I629" s="98"/>
      <c r="J629" s="2"/>
      <c r="K629" s="1"/>
      <c r="L629" s="1"/>
      <c r="M629" s="1"/>
      <c r="N629" s="1"/>
      <c r="O629" s="1"/>
      <c r="P629" s="1"/>
      <c r="Q629" s="1"/>
      <c r="R629" s="1"/>
      <c r="S629" s="1"/>
      <c r="T629" s="1"/>
      <c r="U629" s="1"/>
      <c r="V629" s="1"/>
      <c r="W629" s="1"/>
      <c r="X629" s="1"/>
    </row>
    <row r="630">
      <c r="A630" s="2"/>
      <c r="B630" s="2"/>
      <c r="C630" s="88"/>
      <c r="D630" s="89"/>
      <c r="E630" s="4"/>
      <c r="F630" s="91"/>
      <c r="G630" s="91"/>
      <c r="H630" s="4"/>
      <c r="I630" s="98"/>
      <c r="J630" s="2"/>
      <c r="K630" s="1"/>
      <c r="L630" s="1"/>
      <c r="M630" s="1"/>
      <c r="N630" s="1"/>
      <c r="O630" s="1"/>
      <c r="P630" s="1"/>
      <c r="Q630" s="1"/>
      <c r="R630" s="1"/>
      <c r="S630" s="1"/>
      <c r="T630" s="1"/>
      <c r="U630" s="1"/>
      <c r="V630" s="1"/>
      <c r="W630" s="1"/>
      <c r="X630" s="1"/>
    </row>
    <row r="631">
      <c r="A631" s="2"/>
      <c r="B631" s="2"/>
      <c r="C631" s="88"/>
      <c r="D631" s="89"/>
      <c r="E631" s="4"/>
      <c r="F631" s="91"/>
      <c r="G631" s="91"/>
      <c r="H631" s="4"/>
      <c r="I631" s="98"/>
      <c r="J631" s="2"/>
      <c r="K631" s="1"/>
      <c r="L631" s="1"/>
      <c r="M631" s="1"/>
      <c r="N631" s="1"/>
      <c r="O631" s="1"/>
      <c r="P631" s="1"/>
      <c r="Q631" s="1"/>
      <c r="R631" s="1"/>
      <c r="S631" s="1"/>
      <c r="T631" s="1"/>
      <c r="U631" s="1"/>
      <c r="V631" s="1"/>
      <c r="W631" s="1"/>
      <c r="X631" s="1"/>
    </row>
    <row r="632">
      <c r="A632" s="2"/>
      <c r="B632" s="2"/>
      <c r="C632" s="88"/>
      <c r="D632" s="89"/>
      <c r="E632" s="4"/>
      <c r="F632" s="91"/>
      <c r="G632" s="91"/>
      <c r="H632" s="4"/>
      <c r="I632" s="98"/>
      <c r="J632" s="2"/>
      <c r="K632" s="1"/>
      <c r="L632" s="1"/>
      <c r="M632" s="1"/>
      <c r="N632" s="1"/>
      <c r="O632" s="1"/>
      <c r="P632" s="1"/>
      <c r="Q632" s="1"/>
      <c r="R632" s="1"/>
      <c r="S632" s="1"/>
      <c r="T632" s="1"/>
      <c r="U632" s="1"/>
      <c r="V632" s="1"/>
      <c r="W632" s="1"/>
      <c r="X632" s="1"/>
    </row>
    <row r="633">
      <c r="A633" s="2"/>
      <c r="B633" s="2"/>
      <c r="C633" s="88"/>
      <c r="D633" s="89"/>
      <c r="E633" s="4"/>
      <c r="F633" s="91"/>
      <c r="G633" s="91"/>
      <c r="H633" s="4"/>
      <c r="I633" s="98"/>
      <c r="J633" s="2"/>
      <c r="K633" s="1"/>
      <c r="L633" s="1"/>
      <c r="M633" s="1"/>
      <c r="N633" s="1"/>
      <c r="O633" s="1"/>
      <c r="P633" s="1"/>
      <c r="Q633" s="1"/>
      <c r="R633" s="1"/>
      <c r="S633" s="1"/>
      <c r="T633" s="1"/>
      <c r="U633" s="1"/>
      <c r="V633" s="1"/>
      <c r="W633" s="1"/>
      <c r="X633" s="1"/>
    </row>
    <row r="634">
      <c r="A634" s="2"/>
      <c r="B634" s="2"/>
      <c r="C634" s="88"/>
      <c r="D634" s="89"/>
      <c r="E634" s="4"/>
      <c r="F634" s="91"/>
      <c r="G634" s="91"/>
      <c r="H634" s="4"/>
      <c r="I634" s="98"/>
      <c r="J634" s="2"/>
      <c r="K634" s="1"/>
      <c r="L634" s="1"/>
      <c r="M634" s="1"/>
      <c r="N634" s="1"/>
      <c r="O634" s="1"/>
      <c r="P634" s="1"/>
      <c r="Q634" s="1"/>
      <c r="R634" s="1"/>
      <c r="S634" s="1"/>
      <c r="T634" s="1"/>
      <c r="U634" s="1"/>
      <c r="V634" s="1"/>
      <c r="W634" s="1"/>
      <c r="X634" s="1"/>
    </row>
    <row r="635">
      <c r="A635" s="2"/>
      <c r="B635" s="2"/>
      <c r="C635" s="88"/>
      <c r="D635" s="89"/>
      <c r="E635" s="4"/>
      <c r="F635" s="91"/>
      <c r="G635" s="91"/>
      <c r="H635" s="4"/>
      <c r="I635" s="98"/>
      <c r="J635" s="2"/>
      <c r="K635" s="1"/>
      <c r="L635" s="1"/>
      <c r="M635" s="1"/>
      <c r="N635" s="1"/>
      <c r="O635" s="1"/>
      <c r="P635" s="1"/>
      <c r="Q635" s="1"/>
      <c r="R635" s="1"/>
      <c r="S635" s="1"/>
      <c r="T635" s="1"/>
      <c r="U635" s="1"/>
      <c r="V635" s="1"/>
      <c r="W635" s="1"/>
      <c r="X635" s="1"/>
    </row>
    <row r="636">
      <c r="A636" s="2"/>
      <c r="B636" s="2"/>
      <c r="C636" s="88"/>
      <c r="D636" s="89"/>
      <c r="E636" s="4"/>
      <c r="F636" s="91"/>
      <c r="G636" s="91"/>
      <c r="H636" s="4"/>
      <c r="I636" s="98"/>
      <c r="J636" s="2"/>
      <c r="K636" s="1"/>
      <c r="L636" s="1"/>
      <c r="M636" s="1"/>
      <c r="N636" s="1"/>
      <c r="O636" s="1"/>
      <c r="P636" s="1"/>
      <c r="Q636" s="1"/>
      <c r="R636" s="1"/>
      <c r="S636" s="1"/>
      <c r="T636" s="1"/>
      <c r="U636" s="1"/>
      <c r="V636" s="1"/>
      <c r="W636" s="1"/>
      <c r="X636" s="1"/>
    </row>
    <row r="637">
      <c r="A637" s="2"/>
      <c r="B637" s="2"/>
      <c r="C637" s="88"/>
      <c r="D637" s="89"/>
      <c r="E637" s="4"/>
      <c r="F637" s="91"/>
      <c r="G637" s="91"/>
      <c r="H637" s="4"/>
      <c r="I637" s="98"/>
      <c r="J637" s="2"/>
      <c r="K637" s="1"/>
      <c r="L637" s="1"/>
      <c r="M637" s="1"/>
      <c r="N637" s="1"/>
      <c r="O637" s="1"/>
      <c r="P637" s="1"/>
      <c r="Q637" s="1"/>
      <c r="R637" s="1"/>
      <c r="S637" s="1"/>
      <c r="T637" s="1"/>
      <c r="U637" s="1"/>
      <c r="V637" s="1"/>
      <c r="W637" s="1"/>
      <c r="X637" s="1"/>
    </row>
    <row r="638">
      <c r="A638" s="2"/>
      <c r="B638" s="2"/>
      <c r="C638" s="88"/>
      <c r="D638" s="89"/>
      <c r="E638" s="4"/>
      <c r="F638" s="91"/>
      <c r="G638" s="91"/>
      <c r="H638" s="4"/>
      <c r="I638" s="98"/>
      <c r="J638" s="2"/>
      <c r="K638" s="1"/>
      <c r="L638" s="1"/>
      <c r="M638" s="1"/>
      <c r="N638" s="1"/>
      <c r="O638" s="1"/>
      <c r="P638" s="1"/>
      <c r="Q638" s="1"/>
      <c r="R638" s="1"/>
      <c r="S638" s="1"/>
      <c r="T638" s="1"/>
      <c r="U638" s="1"/>
      <c r="V638" s="1"/>
      <c r="W638" s="1"/>
      <c r="X638" s="1"/>
    </row>
    <row r="639">
      <c r="A639" s="2"/>
      <c r="B639" s="2"/>
      <c r="C639" s="88"/>
      <c r="D639" s="89"/>
      <c r="E639" s="4"/>
      <c r="F639" s="91"/>
      <c r="G639" s="91"/>
      <c r="H639" s="4"/>
      <c r="I639" s="98"/>
      <c r="J639" s="2"/>
      <c r="K639" s="1"/>
      <c r="L639" s="1"/>
      <c r="M639" s="1"/>
      <c r="N639" s="1"/>
      <c r="O639" s="1"/>
      <c r="P639" s="1"/>
      <c r="Q639" s="1"/>
      <c r="R639" s="1"/>
      <c r="S639" s="1"/>
      <c r="T639" s="1"/>
      <c r="U639" s="1"/>
      <c r="V639" s="1"/>
      <c r="W639" s="1"/>
      <c r="X639" s="1"/>
    </row>
    <row r="640">
      <c r="A640" s="2"/>
      <c r="B640" s="2"/>
      <c r="C640" s="88"/>
      <c r="D640" s="89"/>
      <c r="E640" s="4"/>
      <c r="F640" s="91"/>
      <c r="G640" s="91"/>
      <c r="H640" s="4"/>
      <c r="I640" s="98"/>
      <c r="J640" s="2"/>
      <c r="K640" s="1"/>
      <c r="L640" s="1"/>
      <c r="M640" s="1"/>
      <c r="N640" s="1"/>
      <c r="O640" s="1"/>
      <c r="P640" s="1"/>
      <c r="Q640" s="1"/>
      <c r="R640" s="1"/>
      <c r="S640" s="1"/>
      <c r="T640" s="1"/>
      <c r="U640" s="1"/>
      <c r="V640" s="1"/>
      <c r="W640" s="1"/>
      <c r="X640" s="1"/>
    </row>
    <row r="641">
      <c r="A641" s="2"/>
      <c r="B641" s="2"/>
      <c r="C641" s="88"/>
      <c r="D641" s="89"/>
      <c r="E641" s="4"/>
      <c r="F641" s="91"/>
      <c r="G641" s="91"/>
      <c r="H641" s="4"/>
      <c r="I641" s="98"/>
      <c r="J641" s="2"/>
      <c r="K641" s="1"/>
      <c r="L641" s="1"/>
      <c r="M641" s="1"/>
      <c r="N641" s="1"/>
      <c r="O641" s="1"/>
      <c r="P641" s="1"/>
      <c r="Q641" s="1"/>
      <c r="R641" s="1"/>
      <c r="S641" s="1"/>
      <c r="T641" s="1"/>
      <c r="U641" s="1"/>
      <c r="V641" s="1"/>
      <c r="W641" s="1"/>
      <c r="X641" s="1"/>
    </row>
    <row r="642">
      <c r="A642" s="2"/>
      <c r="B642" s="2"/>
      <c r="C642" s="88"/>
      <c r="D642" s="89"/>
      <c r="E642" s="4"/>
      <c r="F642" s="91"/>
      <c r="G642" s="91"/>
      <c r="H642" s="4"/>
      <c r="I642" s="98"/>
      <c r="J642" s="2"/>
      <c r="K642" s="1"/>
      <c r="L642" s="1"/>
      <c r="M642" s="1"/>
      <c r="N642" s="1"/>
      <c r="O642" s="1"/>
      <c r="P642" s="1"/>
      <c r="Q642" s="1"/>
      <c r="R642" s="1"/>
      <c r="S642" s="1"/>
      <c r="T642" s="1"/>
      <c r="U642" s="1"/>
      <c r="V642" s="1"/>
      <c r="W642" s="1"/>
      <c r="X642" s="1"/>
    </row>
    <row r="643">
      <c r="A643" s="2"/>
      <c r="B643" s="2"/>
      <c r="C643" s="88"/>
      <c r="D643" s="89"/>
      <c r="E643" s="4"/>
      <c r="F643" s="91"/>
      <c r="G643" s="91"/>
      <c r="H643" s="4"/>
      <c r="I643" s="98"/>
      <c r="J643" s="2"/>
      <c r="K643" s="1"/>
      <c r="L643" s="1"/>
      <c r="M643" s="1"/>
      <c r="N643" s="1"/>
      <c r="O643" s="1"/>
      <c r="P643" s="1"/>
      <c r="Q643" s="1"/>
      <c r="R643" s="1"/>
      <c r="S643" s="1"/>
      <c r="T643" s="1"/>
      <c r="U643" s="1"/>
      <c r="V643" s="1"/>
      <c r="W643" s="1"/>
      <c r="X643" s="1"/>
    </row>
    <row r="644">
      <c r="A644" s="2"/>
      <c r="B644" s="2"/>
      <c r="C644" s="88"/>
      <c r="D644" s="89"/>
      <c r="E644" s="4"/>
      <c r="F644" s="91"/>
      <c r="G644" s="91"/>
      <c r="H644" s="4"/>
      <c r="I644" s="98"/>
      <c r="J644" s="2"/>
      <c r="K644" s="1"/>
      <c r="L644" s="1"/>
      <c r="M644" s="1"/>
      <c r="N644" s="1"/>
      <c r="O644" s="1"/>
      <c r="P644" s="1"/>
      <c r="Q644" s="1"/>
      <c r="R644" s="1"/>
      <c r="S644" s="1"/>
      <c r="T644" s="1"/>
      <c r="U644" s="1"/>
      <c r="V644" s="1"/>
      <c r="W644" s="1"/>
      <c r="X644" s="1"/>
    </row>
    <row r="645">
      <c r="A645" s="2"/>
      <c r="B645" s="2"/>
      <c r="C645" s="88"/>
      <c r="D645" s="89"/>
      <c r="E645" s="4"/>
      <c r="F645" s="91"/>
      <c r="G645" s="91"/>
      <c r="H645" s="4"/>
      <c r="I645" s="98"/>
      <c r="J645" s="2"/>
      <c r="K645" s="1"/>
      <c r="L645" s="1"/>
      <c r="M645" s="1"/>
      <c r="N645" s="1"/>
      <c r="O645" s="1"/>
      <c r="P645" s="1"/>
      <c r="Q645" s="1"/>
      <c r="R645" s="1"/>
      <c r="S645" s="1"/>
      <c r="T645" s="1"/>
      <c r="U645" s="1"/>
      <c r="V645" s="1"/>
      <c r="W645" s="1"/>
      <c r="X645" s="1"/>
    </row>
    <row r="646">
      <c r="A646" s="2"/>
      <c r="B646" s="2"/>
      <c r="C646" s="88"/>
      <c r="D646" s="89"/>
      <c r="E646" s="4"/>
      <c r="F646" s="91"/>
      <c r="G646" s="91"/>
      <c r="H646" s="4"/>
      <c r="I646" s="98"/>
      <c r="J646" s="2"/>
      <c r="K646" s="1"/>
      <c r="L646" s="1"/>
      <c r="M646" s="1"/>
      <c r="N646" s="1"/>
      <c r="O646" s="1"/>
      <c r="P646" s="1"/>
      <c r="Q646" s="1"/>
      <c r="R646" s="1"/>
      <c r="S646" s="1"/>
      <c r="T646" s="1"/>
      <c r="U646" s="1"/>
      <c r="V646" s="1"/>
      <c r="W646" s="1"/>
      <c r="X646" s="1"/>
    </row>
    <row r="647">
      <c r="A647" s="2"/>
      <c r="B647" s="2"/>
      <c r="C647" s="88"/>
      <c r="D647" s="89"/>
      <c r="E647" s="4"/>
      <c r="F647" s="91"/>
      <c r="G647" s="91"/>
      <c r="H647" s="4"/>
      <c r="I647" s="98"/>
      <c r="J647" s="2"/>
      <c r="K647" s="1"/>
      <c r="L647" s="1"/>
      <c r="M647" s="1"/>
      <c r="N647" s="1"/>
      <c r="O647" s="1"/>
      <c r="P647" s="1"/>
      <c r="Q647" s="1"/>
      <c r="R647" s="1"/>
      <c r="S647" s="1"/>
      <c r="T647" s="1"/>
      <c r="U647" s="1"/>
      <c r="V647" s="1"/>
      <c r="W647" s="1"/>
      <c r="X647" s="1"/>
    </row>
    <row r="648">
      <c r="A648" s="2"/>
      <c r="B648" s="2"/>
      <c r="C648" s="88"/>
      <c r="D648" s="89"/>
      <c r="E648" s="4"/>
      <c r="F648" s="91"/>
      <c r="G648" s="91"/>
      <c r="H648" s="4"/>
      <c r="I648" s="98"/>
      <c r="J648" s="2"/>
      <c r="K648" s="1"/>
      <c r="L648" s="1"/>
      <c r="M648" s="1"/>
      <c r="N648" s="1"/>
      <c r="O648" s="1"/>
      <c r="P648" s="1"/>
      <c r="Q648" s="1"/>
      <c r="R648" s="1"/>
      <c r="S648" s="1"/>
      <c r="T648" s="1"/>
      <c r="U648" s="1"/>
      <c r="V648" s="1"/>
      <c r="W648" s="1"/>
      <c r="X648" s="1"/>
    </row>
    <row r="649">
      <c r="A649" s="2"/>
      <c r="B649" s="2"/>
      <c r="C649" s="88"/>
      <c r="D649" s="89"/>
      <c r="E649" s="4"/>
      <c r="F649" s="91"/>
      <c r="G649" s="91"/>
      <c r="H649" s="4"/>
      <c r="I649" s="98"/>
      <c r="J649" s="2"/>
      <c r="K649" s="1"/>
      <c r="L649" s="1"/>
      <c r="M649" s="1"/>
      <c r="N649" s="1"/>
      <c r="O649" s="1"/>
      <c r="P649" s="1"/>
      <c r="Q649" s="1"/>
      <c r="R649" s="1"/>
      <c r="S649" s="1"/>
      <c r="T649" s="1"/>
      <c r="U649" s="1"/>
      <c r="V649" s="1"/>
      <c r="W649" s="1"/>
      <c r="X649" s="1"/>
    </row>
    <row r="650">
      <c r="A650" s="2"/>
      <c r="B650" s="2"/>
      <c r="C650" s="88"/>
      <c r="D650" s="89"/>
      <c r="E650" s="4"/>
      <c r="F650" s="91"/>
      <c r="G650" s="91"/>
      <c r="H650" s="4"/>
      <c r="I650" s="98"/>
      <c r="J650" s="2"/>
      <c r="K650" s="1"/>
      <c r="L650" s="1"/>
      <c r="M650" s="1"/>
      <c r="N650" s="1"/>
      <c r="O650" s="1"/>
      <c r="P650" s="1"/>
      <c r="Q650" s="1"/>
      <c r="R650" s="1"/>
      <c r="S650" s="1"/>
      <c r="T650" s="1"/>
      <c r="U650" s="1"/>
      <c r="V650" s="1"/>
      <c r="W650" s="1"/>
      <c r="X650" s="1"/>
    </row>
    <row r="651">
      <c r="A651" s="2"/>
      <c r="B651" s="2"/>
      <c r="C651" s="88"/>
      <c r="D651" s="89"/>
      <c r="E651" s="4"/>
      <c r="F651" s="91"/>
      <c r="G651" s="91"/>
      <c r="H651" s="4"/>
      <c r="I651" s="98"/>
      <c r="J651" s="2"/>
      <c r="K651" s="1"/>
      <c r="L651" s="1"/>
      <c r="M651" s="1"/>
      <c r="N651" s="1"/>
      <c r="O651" s="1"/>
      <c r="P651" s="1"/>
      <c r="Q651" s="1"/>
      <c r="R651" s="1"/>
      <c r="S651" s="1"/>
      <c r="T651" s="1"/>
      <c r="U651" s="1"/>
      <c r="V651" s="1"/>
      <c r="W651" s="1"/>
      <c r="X651" s="1"/>
    </row>
    <row r="652">
      <c r="A652" s="2"/>
      <c r="B652" s="2"/>
      <c r="C652" s="88"/>
      <c r="D652" s="89"/>
      <c r="E652" s="4"/>
      <c r="F652" s="91"/>
      <c r="G652" s="91"/>
      <c r="H652" s="4"/>
      <c r="I652" s="98"/>
      <c r="J652" s="2"/>
      <c r="K652" s="1"/>
      <c r="L652" s="1"/>
      <c r="M652" s="1"/>
      <c r="N652" s="1"/>
      <c r="O652" s="1"/>
      <c r="P652" s="1"/>
      <c r="Q652" s="1"/>
      <c r="R652" s="1"/>
      <c r="S652" s="1"/>
      <c r="T652" s="1"/>
      <c r="U652" s="1"/>
      <c r="V652" s="1"/>
      <c r="W652" s="1"/>
      <c r="X652" s="1"/>
    </row>
    <row r="653">
      <c r="A653" s="2"/>
      <c r="B653" s="2"/>
      <c r="C653" s="88"/>
      <c r="D653" s="89"/>
      <c r="E653" s="4"/>
      <c r="F653" s="91"/>
      <c r="G653" s="91"/>
      <c r="H653" s="4"/>
      <c r="I653" s="98"/>
      <c r="J653" s="2"/>
      <c r="K653" s="1"/>
      <c r="L653" s="1"/>
      <c r="M653" s="1"/>
      <c r="N653" s="1"/>
      <c r="O653" s="1"/>
      <c r="P653" s="1"/>
      <c r="Q653" s="1"/>
      <c r="R653" s="1"/>
      <c r="S653" s="1"/>
      <c r="T653" s="1"/>
      <c r="U653" s="1"/>
      <c r="V653" s="1"/>
      <c r="W653" s="1"/>
      <c r="X653" s="1"/>
    </row>
    <row r="654">
      <c r="A654" s="2"/>
      <c r="B654" s="2"/>
      <c r="C654" s="88"/>
      <c r="D654" s="89"/>
      <c r="E654" s="4"/>
      <c r="F654" s="91"/>
      <c r="G654" s="91"/>
      <c r="H654" s="4"/>
      <c r="I654" s="98"/>
      <c r="J654" s="2"/>
      <c r="K654" s="1"/>
      <c r="L654" s="1"/>
      <c r="M654" s="1"/>
      <c r="N654" s="1"/>
      <c r="O654" s="1"/>
      <c r="P654" s="1"/>
      <c r="Q654" s="1"/>
      <c r="R654" s="1"/>
      <c r="S654" s="1"/>
      <c r="T654" s="1"/>
      <c r="U654" s="1"/>
      <c r="V654" s="1"/>
      <c r="W654" s="1"/>
      <c r="X654" s="1"/>
    </row>
    <row r="655">
      <c r="A655" s="2"/>
      <c r="B655" s="2"/>
      <c r="C655" s="88"/>
      <c r="D655" s="89"/>
      <c r="E655" s="4"/>
      <c r="F655" s="91"/>
      <c r="G655" s="91"/>
      <c r="H655" s="4"/>
      <c r="I655" s="98"/>
      <c r="J655" s="2"/>
      <c r="K655" s="1"/>
      <c r="L655" s="1"/>
      <c r="M655" s="1"/>
      <c r="N655" s="1"/>
      <c r="O655" s="1"/>
      <c r="P655" s="1"/>
      <c r="Q655" s="1"/>
      <c r="R655" s="1"/>
      <c r="S655" s="1"/>
      <c r="T655" s="1"/>
      <c r="U655" s="1"/>
      <c r="V655" s="1"/>
      <c r="W655" s="1"/>
      <c r="X655" s="1"/>
    </row>
    <row r="656">
      <c r="A656" s="2"/>
      <c r="B656" s="2"/>
      <c r="C656" s="88"/>
      <c r="D656" s="89"/>
      <c r="E656" s="4"/>
      <c r="F656" s="91"/>
      <c r="G656" s="91"/>
      <c r="H656" s="4"/>
      <c r="I656" s="98"/>
      <c r="J656" s="2"/>
      <c r="K656" s="1"/>
      <c r="L656" s="1"/>
      <c r="M656" s="1"/>
      <c r="N656" s="1"/>
      <c r="O656" s="1"/>
      <c r="P656" s="1"/>
      <c r="Q656" s="1"/>
      <c r="R656" s="1"/>
      <c r="S656" s="1"/>
      <c r="T656" s="1"/>
      <c r="U656" s="1"/>
      <c r="V656" s="1"/>
      <c r="W656" s="1"/>
      <c r="X656" s="1"/>
    </row>
    <row r="657">
      <c r="A657" s="2"/>
      <c r="B657" s="2"/>
      <c r="C657" s="88"/>
      <c r="D657" s="89"/>
      <c r="E657" s="4"/>
      <c r="F657" s="91"/>
      <c r="G657" s="91"/>
      <c r="H657" s="4"/>
      <c r="I657" s="98"/>
      <c r="J657" s="2"/>
      <c r="K657" s="1"/>
      <c r="L657" s="1"/>
      <c r="M657" s="1"/>
      <c r="N657" s="1"/>
      <c r="O657" s="1"/>
      <c r="P657" s="1"/>
      <c r="Q657" s="1"/>
      <c r="R657" s="1"/>
      <c r="S657" s="1"/>
      <c r="T657" s="1"/>
      <c r="U657" s="1"/>
      <c r="V657" s="1"/>
      <c r="W657" s="1"/>
      <c r="X657" s="1"/>
    </row>
    <row r="658">
      <c r="A658" s="2"/>
      <c r="B658" s="2"/>
      <c r="C658" s="88"/>
      <c r="D658" s="89"/>
      <c r="E658" s="4"/>
      <c r="F658" s="91"/>
      <c r="G658" s="91"/>
      <c r="H658" s="4"/>
      <c r="I658" s="98"/>
      <c r="J658" s="2"/>
      <c r="K658" s="1"/>
      <c r="L658" s="1"/>
      <c r="M658" s="1"/>
      <c r="N658" s="1"/>
      <c r="O658" s="1"/>
      <c r="P658" s="1"/>
      <c r="Q658" s="1"/>
      <c r="R658" s="1"/>
      <c r="S658" s="1"/>
      <c r="T658" s="1"/>
      <c r="U658" s="1"/>
      <c r="V658" s="1"/>
      <c r="W658" s="1"/>
      <c r="X658" s="1"/>
    </row>
    <row r="659">
      <c r="A659" s="2"/>
      <c r="B659" s="2"/>
      <c r="C659" s="88"/>
      <c r="D659" s="89"/>
      <c r="E659" s="4"/>
      <c r="F659" s="91"/>
      <c r="G659" s="91"/>
      <c r="H659" s="4"/>
      <c r="I659" s="98"/>
      <c r="J659" s="2"/>
      <c r="K659" s="1"/>
      <c r="L659" s="1"/>
      <c r="M659" s="1"/>
      <c r="N659" s="1"/>
      <c r="O659" s="1"/>
      <c r="P659" s="1"/>
      <c r="Q659" s="1"/>
      <c r="R659" s="1"/>
      <c r="S659" s="1"/>
      <c r="T659" s="1"/>
      <c r="U659" s="1"/>
      <c r="V659" s="1"/>
      <c r="W659" s="1"/>
      <c r="X659" s="1"/>
    </row>
    <row r="660">
      <c r="A660" s="2"/>
      <c r="B660" s="2"/>
      <c r="C660" s="88"/>
      <c r="D660" s="89"/>
      <c r="E660" s="4"/>
      <c r="F660" s="91"/>
      <c r="G660" s="91"/>
      <c r="H660" s="4"/>
      <c r="I660" s="98"/>
      <c r="J660" s="2"/>
      <c r="K660" s="1"/>
      <c r="L660" s="1"/>
      <c r="M660" s="1"/>
      <c r="N660" s="1"/>
      <c r="O660" s="1"/>
      <c r="P660" s="1"/>
      <c r="Q660" s="1"/>
      <c r="R660" s="1"/>
      <c r="S660" s="1"/>
      <c r="T660" s="1"/>
      <c r="U660" s="1"/>
      <c r="V660" s="1"/>
      <c r="W660" s="1"/>
      <c r="X660" s="1"/>
    </row>
    <row r="661">
      <c r="A661" s="2"/>
      <c r="B661" s="2"/>
      <c r="C661" s="88"/>
      <c r="D661" s="89"/>
      <c r="E661" s="4"/>
      <c r="F661" s="91"/>
      <c r="G661" s="91"/>
      <c r="H661" s="4"/>
      <c r="I661" s="98"/>
      <c r="J661" s="2"/>
      <c r="K661" s="1"/>
      <c r="L661" s="1"/>
      <c r="M661" s="1"/>
      <c r="N661" s="1"/>
      <c r="O661" s="1"/>
      <c r="P661" s="1"/>
      <c r="Q661" s="1"/>
      <c r="R661" s="1"/>
      <c r="S661" s="1"/>
      <c r="T661" s="1"/>
      <c r="U661" s="1"/>
      <c r="V661" s="1"/>
      <c r="W661" s="1"/>
      <c r="X661" s="1"/>
    </row>
    <row r="662">
      <c r="A662" s="2"/>
      <c r="B662" s="2"/>
      <c r="C662" s="88"/>
      <c r="D662" s="89"/>
      <c r="E662" s="4"/>
      <c r="F662" s="91"/>
      <c r="G662" s="91"/>
      <c r="H662" s="4"/>
      <c r="I662" s="98"/>
      <c r="J662" s="2"/>
      <c r="K662" s="1"/>
      <c r="L662" s="1"/>
      <c r="M662" s="1"/>
      <c r="N662" s="1"/>
      <c r="O662" s="1"/>
      <c r="P662" s="1"/>
      <c r="Q662" s="1"/>
      <c r="R662" s="1"/>
      <c r="S662" s="1"/>
      <c r="T662" s="1"/>
      <c r="U662" s="1"/>
      <c r="V662" s="1"/>
      <c r="W662" s="1"/>
      <c r="X662" s="1"/>
    </row>
    <row r="663">
      <c r="A663" s="2"/>
      <c r="B663" s="2"/>
      <c r="C663" s="88"/>
      <c r="D663" s="89"/>
      <c r="E663" s="4"/>
      <c r="F663" s="91"/>
      <c r="G663" s="91"/>
      <c r="H663" s="4"/>
      <c r="I663" s="98"/>
      <c r="J663" s="2"/>
      <c r="K663" s="1"/>
      <c r="L663" s="1"/>
      <c r="M663" s="1"/>
      <c r="N663" s="1"/>
      <c r="O663" s="1"/>
      <c r="P663" s="1"/>
      <c r="Q663" s="1"/>
      <c r="R663" s="1"/>
      <c r="S663" s="1"/>
      <c r="T663" s="1"/>
      <c r="U663" s="1"/>
      <c r="V663" s="1"/>
      <c r="W663" s="1"/>
      <c r="X663" s="1"/>
    </row>
    <row r="664">
      <c r="A664" s="2"/>
      <c r="B664" s="2"/>
      <c r="C664" s="88"/>
      <c r="D664" s="89"/>
      <c r="E664" s="4"/>
      <c r="F664" s="91"/>
      <c r="G664" s="91"/>
      <c r="H664" s="4"/>
      <c r="I664" s="98"/>
      <c r="J664" s="2"/>
      <c r="K664" s="1"/>
      <c r="L664" s="1"/>
      <c r="M664" s="1"/>
      <c r="N664" s="1"/>
      <c r="O664" s="1"/>
      <c r="P664" s="1"/>
      <c r="Q664" s="1"/>
      <c r="R664" s="1"/>
      <c r="S664" s="1"/>
      <c r="T664" s="1"/>
      <c r="U664" s="1"/>
      <c r="V664" s="1"/>
      <c r="W664" s="1"/>
      <c r="X664" s="1"/>
    </row>
    <row r="665">
      <c r="A665" s="2"/>
      <c r="B665" s="2"/>
      <c r="C665" s="88"/>
      <c r="D665" s="89"/>
      <c r="E665" s="4"/>
      <c r="F665" s="91"/>
      <c r="G665" s="91"/>
      <c r="H665" s="4"/>
      <c r="I665" s="98"/>
      <c r="J665" s="2"/>
      <c r="K665" s="1"/>
      <c r="L665" s="1"/>
      <c r="M665" s="1"/>
      <c r="N665" s="1"/>
      <c r="O665" s="1"/>
      <c r="P665" s="1"/>
      <c r="Q665" s="1"/>
      <c r="R665" s="1"/>
      <c r="S665" s="1"/>
      <c r="T665" s="1"/>
      <c r="U665" s="1"/>
      <c r="V665" s="1"/>
      <c r="W665" s="1"/>
      <c r="X665" s="1"/>
    </row>
    <row r="666">
      <c r="A666" s="2"/>
      <c r="B666" s="2"/>
      <c r="C666" s="88"/>
      <c r="D666" s="89"/>
      <c r="E666" s="4"/>
      <c r="F666" s="91"/>
      <c r="G666" s="91"/>
      <c r="H666" s="4"/>
      <c r="I666" s="98"/>
      <c r="J666" s="2"/>
      <c r="K666" s="1"/>
      <c r="L666" s="1"/>
      <c r="M666" s="1"/>
      <c r="N666" s="1"/>
      <c r="O666" s="1"/>
      <c r="P666" s="1"/>
      <c r="Q666" s="1"/>
      <c r="R666" s="1"/>
      <c r="S666" s="1"/>
      <c r="T666" s="1"/>
      <c r="U666" s="1"/>
      <c r="V666" s="1"/>
      <c r="W666" s="1"/>
      <c r="X666" s="1"/>
    </row>
    <row r="667">
      <c r="A667" s="2"/>
      <c r="B667" s="2"/>
      <c r="C667" s="88"/>
      <c r="D667" s="89"/>
      <c r="E667" s="4"/>
      <c r="F667" s="91"/>
      <c r="G667" s="91"/>
      <c r="H667" s="4"/>
      <c r="I667" s="98"/>
      <c r="J667" s="2"/>
      <c r="K667" s="1"/>
      <c r="L667" s="1"/>
      <c r="M667" s="1"/>
      <c r="N667" s="1"/>
      <c r="O667" s="1"/>
      <c r="P667" s="1"/>
      <c r="Q667" s="1"/>
      <c r="R667" s="1"/>
      <c r="S667" s="1"/>
      <c r="T667" s="1"/>
      <c r="U667" s="1"/>
      <c r="V667" s="1"/>
      <c r="W667" s="1"/>
      <c r="X667" s="1"/>
    </row>
    <row r="668">
      <c r="A668" s="2"/>
      <c r="B668" s="2"/>
      <c r="C668" s="88"/>
      <c r="D668" s="89"/>
      <c r="E668" s="4"/>
      <c r="F668" s="91"/>
      <c r="G668" s="91"/>
      <c r="H668" s="4"/>
      <c r="I668" s="98"/>
      <c r="J668" s="2"/>
      <c r="K668" s="1"/>
      <c r="L668" s="1"/>
      <c r="M668" s="1"/>
      <c r="N668" s="1"/>
      <c r="O668" s="1"/>
      <c r="P668" s="1"/>
      <c r="Q668" s="1"/>
      <c r="R668" s="1"/>
      <c r="S668" s="1"/>
      <c r="T668" s="1"/>
      <c r="U668" s="1"/>
      <c r="V668" s="1"/>
      <c r="W668" s="1"/>
      <c r="X668" s="1"/>
    </row>
    <row r="669">
      <c r="A669" s="2"/>
      <c r="B669" s="2"/>
      <c r="C669" s="88"/>
      <c r="D669" s="89"/>
      <c r="E669" s="4"/>
      <c r="F669" s="91"/>
      <c r="G669" s="91"/>
      <c r="H669" s="4"/>
      <c r="I669" s="98"/>
      <c r="J669" s="2"/>
      <c r="K669" s="1"/>
      <c r="L669" s="1"/>
      <c r="M669" s="1"/>
      <c r="N669" s="1"/>
      <c r="O669" s="1"/>
      <c r="P669" s="1"/>
      <c r="Q669" s="1"/>
      <c r="R669" s="1"/>
      <c r="S669" s="1"/>
      <c r="T669" s="1"/>
      <c r="U669" s="1"/>
      <c r="V669" s="1"/>
      <c r="W669" s="1"/>
      <c r="X669" s="1"/>
    </row>
    <row r="670">
      <c r="A670" s="2"/>
      <c r="B670" s="2"/>
      <c r="C670" s="88"/>
      <c r="D670" s="89"/>
      <c r="E670" s="4"/>
      <c r="F670" s="91"/>
      <c r="G670" s="91"/>
      <c r="H670" s="4"/>
      <c r="I670" s="98"/>
      <c r="J670" s="2"/>
      <c r="K670" s="1"/>
      <c r="L670" s="1"/>
      <c r="M670" s="1"/>
      <c r="N670" s="1"/>
      <c r="O670" s="1"/>
      <c r="P670" s="1"/>
      <c r="Q670" s="1"/>
      <c r="R670" s="1"/>
      <c r="S670" s="1"/>
      <c r="T670" s="1"/>
      <c r="U670" s="1"/>
      <c r="V670" s="1"/>
      <c r="W670" s="1"/>
      <c r="X670" s="1"/>
    </row>
    <row r="671">
      <c r="A671" s="2"/>
      <c r="B671" s="2"/>
      <c r="C671" s="88"/>
      <c r="D671" s="89"/>
      <c r="E671" s="4"/>
      <c r="F671" s="91"/>
      <c r="G671" s="91"/>
      <c r="H671" s="4"/>
      <c r="I671" s="98"/>
      <c r="J671" s="2"/>
      <c r="K671" s="1"/>
      <c r="L671" s="1"/>
      <c r="M671" s="1"/>
      <c r="N671" s="1"/>
      <c r="O671" s="1"/>
      <c r="P671" s="1"/>
      <c r="Q671" s="1"/>
      <c r="R671" s="1"/>
      <c r="S671" s="1"/>
      <c r="T671" s="1"/>
      <c r="U671" s="1"/>
      <c r="V671" s="1"/>
      <c r="W671" s="1"/>
      <c r="X671" s="1"/>
    </row>
    <row r="672">
      <c r="A672" s="2"/>
      <c r="B672" s="2"/>
      <c r="C672" s="88"/>
      <c r="D672" s="89"/>
      <c r="E672" s="4"/>
      <c r="F672" s="91"/>
      <c r="G672" s="91"/>
      <c r="H672" s="4"/>
      <c r="I672" s="98"/>
      <c r="J672" s="2"/>
      <c r="K672" s="1"/>
      <c r="L672" s="1"/>
      <c r="M672" s="1"/>
      <c r="N672" s="1"/>
      <c r="O672" s="1"/>
      <c r="P672" s="1"/>
      <c r="Q672" s="1"/>
      <c r="R672" s="1"/>
      <c r="S672" s="1"/>
      <c r="T672" s="1"/>
      <c r="U672" s="1"/>
      <c r="V672" s="1"/>
      <c r="W672" s="1"/>
      <c r="X672" s="1"/>
    </row>
    <row r="673">
      <c r="A673" s="2"/>
      <c r="B673" s="2"/>
      <c r="C673" s="88"/>
      <c r="D673" s="89"/>
      <c r="E673" s="4"/>
      <c r="F673" s="91"/>
      <c r="G673" s="91"/>
      <c r="H673" s="4"/>
      <c r="I673" s="98"/>
      <c r="J673" s="2"/>
      <c r="K673" s="1"/>
      <c r="L673" s="1"/>
      <c r="M673" s="1"/>
      <c r="N673" s="1"/>
      <c r="O673" s="1"/>
      <c r="P673" s="1"/>
      <c r="Q673" s="1"/>
      <c r="R673" s="1"/>
      <c r="S673" s="1"/>
      <c r="T673" s="1"/>
      <c r="U673" s="1"/>
      <c r="V673" s="1"/>
      <c r="W673" s="1"/>
      <c r="X673" s="1"/>
    </row>
    <row r="674">
      <c r="A674" s="2"/>
      <c r="B674" s="2"/>
      <c r="C674" s="88"/>
      <c r="D674" s="89"/>
      <c r="E674" s="4"/>
      <c r="F674" s="91"/>
      <c r="G674" s="91"/>
      <c r="H674" s="4"/>
      <c r="I674" s="98"/>
      <c r="J674" s="2"/>
      <c r="K674" s="1"/>
      <c r="L674" s="1"/>
      <c r="M674" s="1"/>
      <c r="N674" s="1"/>
      <c r="O674" s="1"/>
      <c r="P674" s="1"/>
      <c r="Q674" s="1"/>
      <c r="R674" s="1"/>
      <c r="S674" s="1"/>
      <c r="T674" s="1"/>
      <c r="U674" s="1"/>
      <c r="V674" s="1"/>
      <c r="W674" s="1"/>
      <c r="X674" s="1"/>
    </row>
    <row r="675">
      <c r="A675" s="2"/>
      <c r="B675" s="2"/>
      <c r="C675" s="88"/>
      <c r="D675" s="89"/>
      <c r="E675" s="4"/>
      <c r="F675" s="91"/>
      <c r="G675" s="91"/>
      <c r="H675" s="4"/>
      <c r="I675" s="98"/>
      <c r="J675" s="2"/>
      <c r="K675" s="1"/>
      <c r="L675" s="1"/>
      <c r="M675" s="1"/>
      <c r="N675" s="1"/>
      <c r="O675" s="1"/>
      <c r="P675" s="1"/>
      <c r="Q675" s="1"/>
      <c r="R675" s="1"/>
      <c r="S675" s="1"/>
      <c r="T675" s="1"/>
      <c r="U675" s="1"/>
      <c r="V675" s="1"/>
      <c r="W675" s="1"/>
      <c r="X675" s="1"/>
    </row>
    <row r="676">
      <c r="A676" s="2"/>
      <c r="B676" s="2"/>
      <c r="C676" s="88"/>
      <c r="D676" s="89"/>
      <c r="E676" s="4"/>
      <c r="F676" s="91"/>
      <c r="G676" s="91"/>
      <c r="H676" s="4"/>
      <c r="I676" s="98"/>
      <c r="J676" s="2"/>
      <c r="K676" s="1"/>
      <c r="L676" s="1"/>
      <c r="M676" s="1"/>
      <c r="N676" s="1"/>
      <c r="O676" s="1"/>
      <c r="P676" s="1"/>
      <c r="Q676" s="1"/>
      <c r="R676" s="1"/>
      <c r="S676" s="1"/>
      <c r="T676" s="1"/>
      <c r="U676" s="1"/>
      <c r="V676" s="1"/>
      <c r="W676" s="1"/>
      <c r="X676" s="1"/>
    </row>
    <row r="677">
      <c r="A677" s="2"/>
      <c r="B677" s="2"/>
      <c r="C677" s="88"/>
      <c r="D677" s="89"/>
      <c r="E677" s="4"/>
      <c r="F677" s="91"/>
      <c r="G677" s="91"/>
      <c r="H677" s="4"/>
      <c r="I677" s="98"/>
      <c r="J677" s="2"/>
      <c r="K677" s="1"/>
      <c r="L677" s="1"/>
      <c r="M677" s="1"/>
      <c r="N677" s="1"/>
      <c r="O677" s="1"/>
      <c r="P677" s="1"/>
      <c r="Q677" s="1"/>
      <c r="R677" s="1"/>
      <c r="S677" s="1"/>
      <c r="T677" s="1"/>
      <c r="U677" s="1"/>
      <c r="V677" s="1"/>
      <c r="W677" s="1"/>
      <c r="X677" s="1"/>
    </row>
    <row r="678">
      <c r="A678" s="2"/>
      <c r="B678" s="2"/>
      <c r="C678" s="88"/>
      <c r="D678" s="89"/>
      <c r="E678" s="4"/>
      <c r="F678" s="91"/>
      <c r="G678" s="91"/>
      <c r="H678" s="4"/>
      <c r="I678" s="98"/>
      <c r="J678" s="2"/>
      <c r="K678" s="1"/>
      <c r="L678" s="1"/>
      <c r="M678" s="1"/>
      <c r="N678" s="1"/>
      <c r="O678" s="1"/>
      <c r="P678" s="1"/>
      <c r="Q678" s="1"/>
      <c r="R678" s="1"/>
      <c r="S678" s="1"/>
      <c r="T678" s="1"/>
      <c r="U678" s="1"/>
      <c r="V678" s="1"/>
      <c r="W678" s="1"/>
      <c r="X678" s="1"/>
    </row>
    <row r="679">
      <c r="A679" s="2"/>
      <c r="B679" s="2"/>
      <c r="C679" s="88"/>
      <c r="D679" s="89"/>
      <c r="E679" s="4"/>
      <c r="F679" s="91"/>
      <c r="G679" s="91"/>
      <c r="H679" s="4"/>
      <c r="I679" s="98"/>
      <c r="J679" s="2"/>
      <c r="K679" s="1"/>
      <c r="L679" s="1"/>
      <c r="M679" s="1"/>
      <c r="N679" s="1"/>
      <c r="O679" s="1"/>
      <c r="P679" s="1"/>
      <c r="Q679" s="1"/>
      <c r="R679" s="1"/>
      <c r="S679" s="1"/>
      <c r="T679" s="1"/>
      <c r="U679" s="1"/>
      <c r="V679" s="1"/>
      <c r="W679" s="1"/>
      <c r="X679" s="1"/>
    </row>
    <row r="680">
      <c r="A680" s="2"/>
      <c r="B680" s="2"/>
      <c r="C680" s="88"/>
      <c r="D680" s="89"/>
      <c r="E680" s="4"/>
      <c r="F680" s="91"/>
      <c r="G680" s="91"/>
      <c r="H680" s="4"/>
      <c r="I680" s="98"/>
      <c r="J680" s="2"/>
      <c r="K680" s="1"/>
      <c r="L680" s="1"/>
      <c r="M680" s="1"/>
      <c r="N680" s="1"/>
      <c r="O680" s="1"/>
      <c r="P680" s="1"/>
      <c r="Q680" s="1"/>
      <c r="R680" s="1"/>
      <c r="S680" s="1"/>
      <c r="T680" s="1"/>
      <c r="U680" s="1"/>
      <c r="V680" s="1"/>
      <c r="W680" s="1"/>
      <c r="X680" s="1"/>
    </row>
    <row r="681">
      <c r="A681" s="2"/>
      <c r="B681" s="2"/>
      <c r="C681" s="88"/>
      <c r="D681" s="89"/>
      <c r="E681" s="4"/>
      <c r="F681" s="91"/>
      <c r="G681" s="91"/>
      <c r="H681" s="4"/>
      <c r="I681" s="98"/>
      <c r="J681" s="2"/>
      <c r="K681" s="1"/>
      <c r="L681" s="1"/>
      <c r="M681" s="1"/>
      <c r="N681" s="1"/>
      <c r="O681" s="1"/>
      <c r="P681" s="1"/>
      <c r="Q681" s="1"/>
      <c r="R681" s="1"/>
      <c r="S681" s="1"/>
      <c r="T681" s="1"/>
      <c r="U681" s="1"/>
      <c r="V681" s="1"/>
      <c r="W681" s="1"/>
      <c r="X681" s="1"/>
    </row>
    <row r="682">
      <c r="A682" s="2"/>
      <c r="B682" s="2"/>
      <c r="C682" s="88"/>
      <c r="D682" s="89"/>
      <c r="E682" s="4"/>
      <c r="F682" s="91"/>
      <c r="G682" s="91"/>
      <c r="H682" s="4"/>
      <c r="I682" s="98"/>
      <c r="J682" s="2"/>
      <c r="K682" s="1"/>
      <c r="L682" s="1"/>
      <c r="M682" s="1"/>
      <c r="N682" s="1"/>
      <c r="O682" s="1"/>
      <c r="P682" s="1"/>
      <c r="Q682" s="1"/>
      <c r="R682" s="1"/>
      <c r="S682" s="1"/>
      <c r="T682" s="1"/>
      <c r="U682" s="1"/>
      <c r="V682" s="1"/>
      <c r="W682" s="1"/>
      <c r="X682" s="1"/>
    </row>
    <row r="683">
      <c r="A683" s="2"/>
      <c r="B683" s="2"/>
      <c r="C683" s="88"/>
      <c r="D683" s="89"/>
      <c r="E683" s="4"/>
      <c r="F683" s="91"/>
      <c r="G683" s="91"/>
      <c r="H683" s="4"/>
      <c r="I683" s="98"/>
      <c r="J683" s="2"/>
      <c r="K683" s="1"/>
      <c r="L683" s="1"/>
      <c r="M683" s="1"/>
      <c r="N683" s="1"/>
      <c r="O683" s="1"/>
      <c r="P683" s="1"/>
      <c r="Q683" s="1"/>
      <c r="R683" s="1"/>
      <c r="S683" s="1"/>
      <c r="T683" s="1"/>
      <c r="U683" s="1"/>
      <c r="V683" s="1"/>
      <c r="W683" s="1"/>
      <c r="X683" s="1"/>
    </row>
    <row r="684">
      <c r="A684" s="2"/>
      <c r="B684" s="2"/>
      <c r="C684" s="88"/>
      <c r="D684" s="89"/>
      <c r="E684" s="4"/>
      <c r="F684" s="91"/>
      <c r="G684" s="91"/>
      <c r="H684" s="4"/>
      <c r="I684" s="98"/>
      <c r="J684" s="2"/>
      <c r="K684" s="1"/>
      <c r="L684" s="1"/>
      <c r="M684" s="1"/>
      <c r="N684" s="1"/>
      <c r="O684" s="1"/>
      <c r="P684" s="1"/>
      <c r="Q684" s="1"/>
      <c r="R684" s="1"/>
      <c r="S684" s="1"/>
      <c r="T684" s="1"/>
      <c r="U684" s="1"/>
      <c r="V684" s="1"/>
      <c r="W684" s="1"/>
      <c r="X684" s="1"/>
    </row>
    <row r="685">
      <c r="A685" s="2"/>
      <c r="B685" s="2"/>
      <c r="C685" s="88"/>
      <c r="D685" s="89"/>
      <c r="E685" s="4"/>
      <c r="F685" s="91"/>
      <c r="G685" s="91"/>
      <c r="H685" s="4"/>
      <c r="I685" s="98"/>
      <c r="J685" s="2"/>
      <c r="K685" s="1"/>
      <c r="L685" s="1"/>
      <c r="M685" s="1"/>
      <c r="N685" s="1"/>
      <c r="O685" s="1"/>
      <c r="P685" s="1"/>
      <c r="Q685" s="1"/>
      <c r="R685" s="1"/>
      <c r="S685" s="1"/>
      <c r="T685" s="1"/>
      <c r="U685" s="1"/>
      <c r="V685" s="1"/>
      <c r="W685" s="1"/>
      <c r="X685" s="1"/>
    </row>
    <row r="686">
      <c r="A686" s="2"/>
      <c r="B686" s="2"/>
      <c r="C686" s="88"/>
      <c r="D686" s="89"/>
      <c r="E686" s="4"/>
      <c r="F686" s="91"/>
      <c r="G686" s="91"/>
      <c r="H686" s="4"/>
      <c r="I686" s="98"/>
      <c r="J686" s="2"/>
      <c r="K686" s="1"/>
      <c r="L686" s="1"/>
      <c r="M686" s="1"/>
      <c r="N686" s="1"/>
      <c r="O686" s="1"/>
      <c r="P686" s="1"/>
      <c r="Q686" s="1"/>
      <c r="R686" s="1"/>
      <c r="S686" s="1"/>
      <c r="T686" s="1"/>
      <c r="U686" s="1"/>
      <c r="V686" s="1"/>
      <c r="W686" s="1"/>
      <c r="X686" s="1"/>
    </row>
    <row r="687">
      <c r="A687" s="2"/>
      <c r="B687" s="2"/>
      <c r="C687" s="88"/>
      <c r="D687" s="89"/>
      <c r="E687" s="4"/>
      <c r="F687" s="91"/>
      <c r="G687" s="91"/>
      <c r="H687" s="4"/>
      <c r="I687" s="98"/>
      <c r="J687" s="2"/>
      <c r="K687" s="1"/>
      <c r="L687" s="1"/>
      <c r="M687" s="1"/>
      <c r="N687" s="1"/>
      <c r="O687" s="1"/>
      <c r="P687" s="1"/>
      <c r="Q687" s="1"/>
      <c r="R687" s="1"/>
      <c r="S687" s="1"/>
      <c r="T687" s="1"/>
      <c r="U687" s="1"/>
      <c r="V687" s="1"/>
      <c r="W687" s="1"/>
      <c r="X687" s="1"/>
    </row>
    <row r="688">
      <c r="A688" s="2"/>
      <c r="B688" s="2"/>
      <c r="C688" s="88"/>
      <c r="D688" s="89"/>
      <c r="E688" s="4"/>
      <c r="F688" s="91"/>
      <c r="G688" s="91"/>
      <c r="H688" s="4"/>
      <c r="I688" s="98"/>
      <c r="J688" s="2"/>
      <c r="K688" s="1"/>
      <c r="L688" s="1"/>
      <c r="M688" s="1"/>
      <c r="N688" s="1"/>
      <c r="O688" s="1"/>
      <c r="P688" s="1"/>
      <c r="Q688" s="1"/>
      <c r="R688" s="1"/>
      <c r="S688" s="1"/>
      <c r="T688" s="1"/>
      <c r="U688" s="1"/>
      <c r="V688" s="1"/>
      <c r="W688" s="1"/>
      <c r="X688" s="1"/>
    </row>
    <row r="689">
      <c r="A689" s="2"/>
      <c r="B689" s="2"/>
      <c r="C689" s="88"/>
      <c r="D689" s="89"/>
      <c r="E689" s="4"/>
      <c r="F689" s="91"/>
      <c r="G689" s="91"/>
      <c r="H689" s="4"/>
      <c r="I689" s="98"/>
      <c r="J689" s="2"/>
      <c r="K689" s="1"/>
      <c r="L689" s="1"/>
      <c r="M689" s="1"/>
      <c r="N689" s="1"/>
      <c r="O689" s="1"/>
      <c r="P689" s="1"/>
      <c r="Q689" s="1"/>
      <c r="R689" s="1"/>
      <c r="S689" s="1"/>
      <c r="T689" s="1"/>
      <c r="U689" s="1"/>
      <c r="V689" s="1"/>
      <c r="W689" s="1"/>
      <c r="X689" s="1"/>
    </row>
    <row r="690">
      <c r="A690" s="2"/>
      <c r="B690" s="2"/>
      <c r="C690" s="88"/>
      <c r="D690" s="89"/>
      <c r="E690" s="4"/>
      <c r="F690" s="91"/>
      <c r="G690" s="91"/>
      <c r="H690" s="4"/>
      <c r="I690" s="98"/>
      <c r="J690" s="2"/>
      <c r="K690" s="1"/>
      <c r="L690" s="1"/>
      <c r="M690" s="1"/>
      <c r="N690" s="1"/>
      <c r="O690" s="1"/>
      <c r="P690" s="1"/>
      <c r="Q690" s="1"/>
      <c r="R690" s="1"/>
      <c r="S690" s="1"/>
      <c r="T690" s="1"/>
      <c r="U690" s="1"/>
      <c r="V690" s="1"/>
      <c r="W690" s="1"/>
      <c r="X690" s="1"/>
    </row>
    <row r="691">
      <c r="A691" s="2"/>
      <c r="B691" s="2"/>
      <c r="C691" s="88"/>
      <c r="D691" s="89"/>
      <c r="E691" s="4"/>
      <c r="F691" s="91"/>
      <c r="G691" s="91"/>
      <c r="H691" s="4"/>
      <c r="I691" s="98"/>
      <c r="J691" s="2"/>
      <c r="K691" s="1"/>
      <c r="L691" s="1"/>
      <c r="M691" s="1"/>
      <c r="N691" s="1"/>
      <c r="O691" s="1"/>
      <c r="P691" s="1"/>
      <c r="Q691" s="1"/>
      <c r="R691" s="1"/>
      <c r="S691" s="1"/>
      <c r="T691" s="1"/>
      <c r="U691" s="1"/>
      <c r="V691" s="1"/>
      <c r="W691" s="1"/>
      <c r="X691" s="1"/>
    </row>
    <row r="692">
      <c r="A692" s="2"/>
      <c r="B692" s="2"/>
      <c r="C692" s="88"/>
      <c r="D692" s="89"/>
      <c r="E692" s="4"/>
      <c r="F692" s="91"/>
      <c r="G692" s="91"/>
      <c r="H692" s="4"/>
      <c r="I692" s="98"/>
      <c r="J692" s="2"/>
      <c r="K692" s="1"/>
      <c r="L692" s="1"/>
      <c r="M692" s="1"/>
      <c r="N692" s="1"/>
      <c r="O692" s="1"/>
      <c r="P692" s="1"/>
      <c r="Q692" s="1"/>
      <c r="R692" s="1"/>
      <c r="S692" s="1"/>
      <c r="T692" s="1"/>
      <c r="U692" s="1"/>
      <c r="V692" s="1"/>
      <c r="W692" s="1"/>
      <c r="X692" s="1"/>
    </row>
    <row r="693">
      <c r="A693" s="2"/>
      <c r="B693" s="2"/>
      <c r="C693" s="88"/>
      <c r="D693" s="89"/>
      <c r="E693" s="4"/>
      <c r="F693" s="91"/>
      <c r="G693" s="91"/>
      <c r="H693" s="4"/>
      <c r="I693" s="98"/>
      <c r="J693" s="2"/>
      <c r="K693" s="1"/>
      <c r="L693" s="1"/>
      <c r="M693" s="1"/>
      <c r="N693" s="1"/>
      <c r="O693" s="1"/>
      <c r="P693" s="1"/>
      <c r="Q693" s="1"/>
      <c r="R693" s="1"/>
      <c r="S693" s="1"/>
      <c r="T693" s="1"/>
      <c r="U693" s="1"/>
      <c r="V693" s="1"/>
      <c r="W693" s="1"/>
      <c r="X693" s="1"/>
    </row>
    <row r="694">
      <c r="A694" s="2"/>
      <c r="B694" s="2"/>
      <c r="C694" s="88"/>
      <c r="D694" s="89"/>
      <c r="E694" s="4"/>
      <c r="F694" s="91"/>
      <c r="G694" s="91"/>
      <c r="H694" s="4"/>
      <c r="I694" s="98"/>
      <c r="J694" s="2"/>
      <c r="K694" s="1"/>
      <c r="L694" s="1"/>
      <c r="M694" s="1"/>
      <c r="N694" s="1"/>
      <c r="O694" s="1"/>
      <c r="P694" s="1"/>
      <c r="Q694" s="1"/>
      <c r="R694" s="1"/>
      <c r="S694" s="1"/>
      <c r="T694" s="1"/>
      <c r="U694" s="1"/>
      <c r="V694" s="1"/>
      <c r="W694" s="1"/>
      <c r="X694" s="1"/>
    </row>
    <row r="695">
      <c r="A695" s="2"/>
      <c r="B695" s="2"/>
      <c r="C695" s="88"/>
      <c r="D695" s="89"/>
      <c r="E695" s="4"/>
      <c r="F695" s="91"/>
      <c r="G695" s="91"/>
      <c r="H695" s="4"/>
      <c r="I695" s="98"/>
      <c r="J695" s="2"/>
      <c r="K695" s="1"/>
      <c r="L695" s="1"/>
      <c r="M695" s="1"/>
      <c r="N695" s="1"/>
      <c r="O695" s="1"/>
      <c r="P695" s="1"/>
      <c r="Q695" s="1"/>
      <c r="R695" s="1"/>
      <c r="S695" s="1"/>
      <c r="T695" s="1"/>
      <c r="U695" s="1"/>
      <c r="V695" s="1"/>
      <c r="W695" s="1"/>
      <c r="X695" s="1"/>
    </row>
    <row r="696">
      <c r="A696" s="2"/>
      <c r="B696" s="2"/>
      <c r="C696" s="88"/>
      <c r="D696" s="89"/>
      <c r="E696" s="4"/>
      <c r="F696" s="91"/>
      <c r="G696" s="91"/>
      <c r="H696" s="4"/>
      <c r="I696" s="98"/>
      <c r="J696" s="2"/>
      <c r="K696" s="1"/>
      <c r="L696" s="1"/>
      <c r="M696" s="1"/>
      <c r="N696" s="1"/>
      <c r="O696" s="1"/>
      <c r="P696" s="1"/>
      <c r="Q696" s="1"/>
      <c r="R696" s="1"/>
      <c r="S696" s="1"/>
      <c r="T696" s="1"/>
      <c r="U696" s="1"/>
      <c r="V696" s="1"/>
      <c r="W696" s="1"/>
      <c r="X696" s="1"/>
    </row>
    <row r="697">
      <c r="A697" s="2"/>
      <c r="B697" s="2"/>
      <c r="C697" s="88"/>
      <c r="D697" s="89"/>
      <c r="E697" s="4"/>
      <c r="F697" s="91"/>
      <c r="G697" s="91"/>
      <c r="H697" s="4"/>
      <c r="I697" s="98"/>
      <c r="J697" s="2"/>
      <c r="K697" s="1"/>
      <c r="L697" s="1"/>
      <c r="M697" s="1"/>
      <c r="N697" s="1"/>
      <c r="O697" s="1"/>
      <c r="P697" s="1"/>
      <c r="Q697" s="1"/>
      <c r="R697" s="1"/>
      <c r="S697" s="1"/>
      <c r="T697" s="1"/>
      <c r="U697" s="1"/>
      <c r="V697" s="1"/>
      <c r="W697" s="1"/>
      <c r="X697" s="1"/>
    </row>
    <row r="698">
      <c r="A698" s="2"/>
      <c r="B698" s="2"/>
      <c r="C698" s="88"/>
      <c r="D698" s="89"/>
      <c r="E698" s="4"/>
      <c r="F698" s="91"/>
      <c r="G698" s="91"/>
      <c r="H698" s="4"/>
      <c r="I698" s="98"/>
      <c r="J698" s="2"/>
      <c r="K698" s="1"/>
      <c r="L698" s="1"/>
      <c r="M698" s="1"/>
      <c r="N698" s="1"/>
      <c r="O698" s="1"/>
      <c r="P698" s="1"/>
      <c r="Q698" s="1"/>
      <c r="R698" s="1"/>
      <c r="S698" s="1"/>
      <c r="T698" s="1"/>
      <c r="U698" s="1"/>
      <c r="V698" s="1"/>
      <c r="W698" s="1"/>
      <c r="X698" s="1"/>
    </row>
    <row r="699">
      <c r="A699" s="2"/>
      <c r="B699" s="2"/>
      <c r="C699" s="88"/>
      <c r="D699" s="89"/>
      <c r="E699" s="4"/>
      <c r="F699" s="91"/>
      <c r="G699" s="91"/>
      <c r="H699" s="4"/>
      <c r="I699" s="98"/>
      <c r="J699" s="2"/>
      <c r="K699" s="1"/>
      <c r="L699" s="1"/>
      <c r="M699" s="1"/>
      <c r="N699" s="1"/>
      <c r="O699" s="1"/>
      <c r="P699" s="1"/>
      <c r="Q699" s="1"/>
      <c r="R699" s="1"/>
      <c r="S699" s="1"/>
      <c r="T699" s="1"/>
      <c r="U699" s="1"/>
      <c r="V699" s="1"/>
      <c r="W699" s="1"/>
      <c r="X699" s="1"/>
    </row>
    <row r="700">
      <c r="A700" s="2"/>
      <c r="B700" s="2"/>
      <c r="C700" s="88"/>
      <c r="D700" s="89"/>
      <c r="E700" s="4"/>
      <c r="F700" s="91"/>
      <c r="G700" s="91"/>
      <c r="H700" s="4"/>
      <c r="I700" s="98"/>
      <c r="J700" s="2"/>
      <c r="K700" s="1"/>
      <c r="L700" s="1"/>
      <c r="M700" s="1"/>
      <c r="N700" s="1"/>
      <c r="O700" s="1"/>
      <c r="P700" s="1"/>
      <c r="Q700" s="1"/>
      <c r="R700" s="1"/>
      <c r="S700" s="1"/>
      <c r="T700" s="1"/>
      <c r="U700" s="1"/>
      <c r="V700" s="1"/>
      <c r="W700" s="1"/>
      <c r="X700" s="1"/>
    </row>
    <row r="701">
      <c r="A701" s="2"/>
      <c r="B701" s="2"/>
      <c r="C701" s="88"/>
      <c r="D701" s="89"/>
      <c r="E701" s="4"/>
      <c r="F701" s="91"/>
      <c r="G701" s="91"/>
      <c r="H701" s="4"/>
      <c r="I701" s="98"/>
      <c r="J701" s="2"/>
      <c r="K701" s="1"/>
      <c r="L701" s="1"/>
      <c r="M701" s="1"/>
      <c r="N701" s="1"/>
      <c r="O701" s="1"/>
      <c r="P701" s="1"/>
      <c r="Q701" s="1"/>
      <c r="R701" s="1"/>
      <c r="S701" s="1"/>
      <c r="T701" s="1"/>
      <c r="U701" s="1"/>
      <c r="V701" s="1"/>
      <c r="W701" s="1"/>
      <c r="X701" s="1"/>
    </row>
    <row r="702">
      <c r="A702" s="2"/>
      <c r="B702" s="2"/>
      <c r="C702" s="88"/>
      <c r="D702" s="89"/>
      <c r="E702" s="4"/>
      <c r="F702" s="91"/>
      <c r="G702" s="91"/>
      <c r="H702" s="4"/>
      <c r="I702" s="98"/>
      <c r="J702" s="2"/>
      <c r="K702" s="1"/>
      <c r="L702" s="1"/>
      <c r="M702" s="1"/>
      <c r="N702" s="1"/>
      <c r="O702" s="1"/>
      <c r="P702" s="1"/>
      <c r="Q702" s="1"/>
      <c r="R702" s="1"/>
      <c r="S702" s="1"/>
      <c r="T702" s="1"/>
      <c r="U702" s="1"/>
      <c r="V702" s="1"/>
      <c r="W702" s="1"/>
      <c r="X702" s="1"/>
    </row>
    <row r="703">
      <c r="A703" s="2"/>
      <c r="B703" s="2"/>
      <c r="C703" s="88"/>
      <c r="D703" s="89"/>
      <c r="E703" s="4"/>
      <c r="F703" s="91"/>
      <c r="G703" s="91"/>
      <c r="H703" s="4"/>
      <c r="I703" s="98"/>
      <c r="J703" s="2"/>
      <c r="K703" s="1"/>
      <c r="L703" s="1"/>
      <c r="M703" s="1"/>
      <c r="N703" s="1"/>
      <c r="O703" s="1"/>
      <c r="P703" s="1"/>
      <c r="Q703" s="1"/>
      <c r="R703" s="1"/>
      <c r="S703" s="1"/>
      <c r="T703" s="1"/>
      <c r="U703" s="1"/>
      <c r="V703" s="1"/>
      <c r="W703" s="1"/>
      <c r="X703" s="1"/>
    </row>
    <row r="704">
      <c r="A704" s="2"/>
      <c r="B704" s="2"/>
      <c r="C704" s="88"/>
      <c r="D704" s="89"/>
      <c r="E704" s="4"/>
      <c r="F704" s="91"/>
      <c r="G704" s="91"/>
      <c r="H704" s="4"/>
      <c r="I704" s="98"/>
      <c r="J704" s="2"/>
      <c r="K704" s="1"/>
      <c r="L704" s="1"/>
      <c r="M704" s="1"/>
      <c r="N704" s="1"/>
      <c r="O704" s="1"/>
      <c r="P704" s="1"/>
      <c r="Q704" s="1"/>
      <c r="R704" s="1"/>
      <c r="S704" s="1"/>
      <c r="T704" s="1"/>
      <c r="U704" s="1"/>
      <c r="V704" s="1"/>
      <c r="W704" s="1"/>
      <c r="X704" s="1"/>
    </row>
    <row r="705">
      <c r="A705" s="2"/>
      <c r="B705" s="2"/>
      <c r="C705" s="88"/>
      <c r="D705" s="89"/>
      <c r="E705" s="4"/>
      <c r="F705" s="91"/>
      <c r="G705" s="91"/>
      <c r="H705" s="4"/>
      <c r="I705" s="98"/>
      <c r="J705" s="2"/>
      <c r="K705" s="1"/>
      <c r="L705" s="1"/>
      <c r="M705" s="1"/>
      <c r="N705" s="1"/>
      <c r="O705" s="1"/>
      <c r="P705" s="1"/>
      <c r="Q705" s="1"/>
      <c r="R705" s="1"/>
      <c r="S705" s="1"/>
      <c r="T705" s="1"/>
      <c r="U705" s="1"/>
      <c r="V705" s="1"/>
      <c r="W705" s="1"/>
      <c r="X705" s="1"/>
    </row>
    <row r="706">
      <c r="A706" s="2"/>
      <c r="B706" s="2"/>
      <c r="C706" s="88"/>
      <c r="D706" s="89"/>
      <c r="E706" s="4"/>
      <c r="F706" s="91"/>
      <c r="G706" s="91"/>
      <c r="H706" s="4"/>
      <c r="I706" s="98"/>
      <c r="J706" s="2"/>
      <c r="K706" s="1"/>
      <c r="L706" s="1"/>
      <c r="M706" s="1"/>
      <c r="N706" s="1"/>
      <c r="O706" s="1"/>
      <c r="P706" s="1"/>
      <c r="Q706" s="1"/>
      <c r="R706" s="1"/>
      <c r="S706" s="1"/>
      <c r="T706" s="1"/>
      <c r="U706" s="1"/>
      <c r="V706" s="1"/>
      <c r="W706" s="1"/>
      <c r="X706" s="1"/>
    </row>
    <row r="707">
      <c r="A707" s="2"/>
      <c r="B707" s="2"/>
      <c r="C707" s="88"/>
      <c r="D707" s="89"/>
      <c r="E707" s="4"/>
      <c r="F707" s="91"/>
      <c r="G707" s="91"/>
      <c r="H707" s="4"/>
      <c r="I707" s="98"/>
      <c r="J707" s="2"/>
      <c r="K707" s="1"/>
      <c r="L707" s="1"/>
      <c r="M707" s="1"/>
      <c r="N707" s="1"/>
      <c r="O707" s="1"/>
      <c r="P707" s="1"/>
      <c r="Q707" s="1"/>
      <c r="R707" s="1"/>
      <c r="S707" s="1"/>
      <c r="T707" s="1"/>
      <c r="U707" s="1"/>
      <c r="V707" s="1"/>
      <c r="W707" s="1"/>
      <c r="X707" s="1"/>
    </row>
    <row r="708">
      <c r="A708" s="2"/>
      <c r="B708" s="2"/>
      <c r="C708" s="88"/>
      <c r="D708" s="89"/>
      <c r="E708" s="4"/>
      <c r="F708" s="91"/>
      <c r="G708" s="91"/>
      <c r="H708" s="4"/>
      <c r="I708" s="98"/>
      <c r="J708" s="2"/>
      <c r="K708" s="1"/>
      <c r="L708" s="1"/>
      <c r="M708" s="1"/>
      <c r="N708" s="1"/>
      <c r="O708" s="1"/>
      <c r="P708" s="1"/>
      <c r="Q708" s="1"/>
      <c r="R708" s="1"/>
      <c r="S708" s="1"/>
      <c r="T708" s="1"/>
      <c r="U708" s="1"/>
      <c r="V708" s="1"/>
      <c r="W708" s="1"/>
      <c r="X708" s="1"/>
    </row>
    <row r="709">
      <c r="A709" s="2"/>
      <c r="B709" s="2"/>
      <c r="C709" s="88"/>
      <c r="D709" s="89"/>
      <c r="E709" s="4"/>
      <c r="F709" s="91"/>
      <c r="G709" s="91"/>
      <c r="H709" s="4"/>
      <c r="I709" s="98"/>
      <c r="J709" s="2"/>
      <c r="K709" s="1"/>
      <c r="L709" s="1"/>
      <c r="M709" s="1"/>
      <c r="N709" s="1"/>
      <c r="O709" s="1"/>
      <c r="P709" s="1"/>
      <c r="Q709" s="1"/>
      <c r="R709" s="1"/>
      <c r="S709" s="1"/>
      <c r="T709" s="1"/>
      <c r="U709" s="1"/>
      <c r="V709" s="1"/>
      <c r="W709" s="1"/>
      <c r="X709" s="1"/>
    </row>
    <row r="710">
      <c r="A710" s="2"/>
      <c r="B710" s="2"/>
      <c r="C710" s="88"/>
      <c r="D710" s="89"/>
      <c r="E710" s="4"/>
      <c r="F710" s="91"/>
      <c r="G710" s="91"/>
      <c r="H710" s="4"/>
      <c r="I710" s="98"/>
      <c r="J710" s="2"/>
      <c r="K710" s="1"/>
      <c r="L710" s="1"/>
      <c r="M710" s="1"/>
      <c r="N710" s="1"/>
      <c r="O710" s="1"/>
      <c r="P710" s="1"/>
      <c r="Q710" s="1"/>
      <c r="R710" s="1"/>
      <c r="S710" s="1"/>
      <c r="T710" s="1"/>
      <c r="U710" s="1"/>
      <c r="V710" s="1"/>
      <c r="W710" s="1"/>
      <c r="X710" s="1"/>
    </row>
    <row r="711">
      <c r="A711" s="2"/>
      <c r="B711" s="2"/>
      <c r="C711" s="88"/>
      <c r="D711" s="89"/>
      <c r="E711" s="4"/>
      <c r="F711" s="91"/>
      <c r="G711" s="91"/>
      <c r="H711" s="4"/>
      <c r="I711" s="98"/>
      <c r="J711" s="2"/>
      <c r="K711" s="1"/>
      <c r="L711" s="1"/>
      <c r="M711" s="1"/>
      <c r="N711" s="1"/>
      <c r="O711" s="1"/>
      <c r="P711" s="1"/>
      <c r="Q711" s="1"/>
      <c r="R711" s="1"/>
      <c r="S711" s="1"/>
      <c r="T711" s="1"/>
      <c r="U711" s="1"/>
      <c r="V711" s="1"/>
      <c r="W711" s="1"/>
      <c r="X711" s="1"/>
    </row>
    <row r="712">
      <c r="A712" s="2"/>
      <c r="B712" s="2"/>
      <c r="C712" s="88"/>
      <c r="D712" s="89"/>
      <c r="E712" s="4"/>
      <c r="F712" s="91"/>
      <c r="G712" s="91"/>
      <c r="H712" s="4"/>
      <c r="I712" s="98"/>
      <c r="J712" s="2"/>
      <c r="K712" s="1"/>
      <c r="L712" s="1"/>
      <c r="M712" s="1"/>
      <c r="N712" s="1"/>
      <c r="O712" s="1"/>
      <c r="P712" s="1"/>
      <c r="Q712" s="1"/>
      <c r="R712" s="1"/>
      <c r="S712" s="1"/>
      <c r="T712" s="1"/>
      <c r="U712" s="1"/>
      <c r="V712" s="1"/>
      <c r="W712" s="1"/>
      <c r="X712" s="1"/>
    </row>
    <row r="713">
      <c r="A713" s="2"/>
      <c r="B713" s="2"/>
      <c r="C713" s="88"/>
      <c r="D713" s="89"/>
      <c r="E713" s="4"/>
      <c r="F713" s="91"/>
      <c r="G713" s="91"/>
      <c r="H713" s="4"/>
      <c r="I713" s="98"/>
      <c r="J713" s="2"/>
      <c r="K713" s="1"/>
      <c r="L713" s="1"/>
      <c r="M713" s="1"/>
      <c r="N713" s="1"/>
      <c r="O713" s="1"/>
      <c r="P713" s="1"/>
      <c r="Q713" s="1"/>
      <c r="R713" s="1"/>
      <c r="S713" s="1"/>
      <c r="T713" s="1"/>
      <c r="U713" s="1"/>
      <c r="V713" s="1"/>
      <c r="W713" s="1"/>
      <c r="X713" s="1"/>
    </row>
    <row r="714">
      <c r="A714" s="2"/>
      <c r="B714" s="2"/>
      <c r="C714" s="88"/>
      <c r="D714" s="89"/>
      <c r="E714" s="4"/>
      <c r="F714" s="91"/>
      <c r="G714" s="91"/>
      <c r="H714" s="4"/>
      <c r="I714" s="98"/>
      <c r="J714" s="2"/>
      <c r="K714" s="1"/>
      <c r="L714" s="1"/>
      <c r="M714" s="1"/>
      <c r="N714" s="1"/>
      <c r="O714" s="1"/>
      <c r="P714" s="1"/>
      <c r="Q714" s="1"/>
      <c r="R714" s="1"/>
      <c r="S714" s="1"/>
      <c r="T714" s="1"/>
      <c r="U714" s="1"/>
      <c r="V714" s="1"/>
      <c r="W714" s="1"/>
      <c r="X714" s="1"/>
    </row>
    <row r="715">
      <c r="A715" s="2"/>
      <c r="B715" s="2"/>
      <c r="C715" s="88"/>
      <c r="D715" s="89"/>
      <c r="E715" s="4"/>
      <c r="F715" s="91"/>
      <c r="G715" s="91"/>
      <c r="H715" s="4"/>
      <c r="I715" s="98"/>
      <c r="J715" s="2"/>
      <c r="K715" s="1"/>
      <c r="L715" s="1"/>
      <c r="M715" s="1"/>
      <c r="N715" s="1"/>
      <c r="O715" s="1"/>
      <c r="P715" s="1"/>
      <c r="Q715" s="1"/>
      <c r="R715" s="1"/>
      <c r="S715" s="1"/>
      <c r="T715" s="1"/>
      <c r="U715" s="1"/>
      <c r="V715" s="1"/>
      <c r="W715" s="1"/>
      <c r="X715" s="1"/>
    </row>
    <row r="716">
      <c r="A716" s="2"/>
      <c r="B716" s="2"/>
      <c r="C716" s="88"/>
      <c r="D716" s="89"/>
      <c r="E716" s="4"/>
      <c r="F716" s="91"/>
      <c r="G716" s="91"/>
      <c r="H716" s="4"/>
      <c r="I716" s="98"/>
      <c r="J716" s="2"/>
      <c r="K716" s="1"/>
      <c r="L716" s="1"/>
      <c r="M716" s="1"/>
      <c r="N716" s="1"/>
      <c r="O716" s="1"/>
      <c r="P716" s="1"/>
      <c r="Q716" s="1"/>
      <c r="R716" s="1"/>
      <c r="S716" s="1"/>
      <c r="T716" s="1"/>
      <c r="U716" s="1"/>
      <c r="V716" s="1"/>
      <c r="W716" s="1"/>
      <c r="X716" s="1"/>
    </row>
    <row r="717">
      <c r="A717" s="2"/>
      <c r="B717" s="2"/>
      <c r="C717" s="88"/>
      <c r="D717" s="89"/>
      <c r="E717" s="4"/>
      <c r="F717" s="91"/>
      <c r="G717" s="91"/>
      <c r="H717" s="4"/>
      <c r="I717" s="98"/>
      <c r="J717" s="2"/>
      <c r="K717" s="1"/>
      <c r="L717" s="1"/>
      <c r="M717" s="1"/>
      <c r="N717" s="1"/>
      <c r="O717" s="1"/>
      <c r="P717" s="1"/>
      <c r="Q717" s="1"/>
      <c r="R717" s="1"/>
      <c r="S717" s="1"/>
      <c r="T717" s="1"/>
      <c r="U717" s="1"/>
      <c r="V717" s="1"/>
      <c r="W717" s="1"/>
      <c r="X717" s="1"/>
    </row>
    <row r="718">
      <c r="A718" s="2"/>
      <c r="B718" s="2"/>
      <c r="C718" s="88"/>
      <c r="D718" s="89"/>
      <c r="E718" s="4"/>
      <c r="F718" s="91"/>
      <c r="G718" s="91"/>
      <c r="H718" s="4"/>
      <c r="I718" s="98"/>
      <c r="J718" s="2"/>
      <c r="K718" s="1"/>
      <c r="L718" s="1"/>
      <c r="M718" s="1"/>
      <c r="N718" s="1"/>
      <c r="O718" s="1"/>
      <c r="P718" s="1"/>
      <c r="Q718" s="1"/>
      <c r="R718" s="1"/>
      <c r="S718" s="1"/>
      <c r="T718" s="1"/>
      <c r="U718" s="1"/>
      <c r="V718" s="1"/>
      <c r="W718" s="1"/>
      <c r="X718" s="1"/>
    </row>
    <row r="719">
      <c r="A719" s="2"/>
      <c r="B719" s="2"/>
      <c r="C719" s="88"/>
      <c r="D719" s="89"/>
      <c r="E719" s="4"/>
      <c r="F719" s="91"/>
      <c r="G719" s="91"/>
      <c r="H719" s="4"/>
      <c r="I719" s="98"/>
      <c r="J719" s="2"/>
      <c r="K719" s="1"/>
      <c r="L719" s="1"/>
      <c r="M719" s="1"/>
      <c r="N719" s="1"/>
      <c r="O719" s="1"/>
      <c r="P719" s="1"/>
      <c r="Q719" s="1"/>
      <c r="R719" s="1"/>
      <c r="S719" s="1"/>
      <c r="T719" s="1"/>
      <c r="U719" s="1"/>
      <c r="V719" s="1"/>
      <c r="W719" s="1"/>
      <c r="X719" s="1"/>
    </row>
    <row r="720">
      <c r="A720" s="2"/>
      <c r="B720" s="2"/>
      <c r="C720" s="88"/>
      <c r="D720" s="89"/>
      <c r="E720" s="4"/>
      <c r="F720" s="91"/>
      <c r="G720" s="91"/>
      <c r="H720" s="4"/>
      <c r="I720" s="98"/>
      <c r="J720" s="2"/>
      <c r="K720" s="1"/>
      <c r="L720" s="1"/>
      <c r="M720" s="1"/>
      <c r="N720" s="1"/>
      <c r="O720" s="1"/>
      <c r="P720" s="1"/>
      <c r="Q720" s="1"/>
      <c r="R720" s="1"/>
      <c r="S720" s="1"/>
      <c r="T720" s="1"/>
      <c r="U720" s="1"/>
      <c r="V720" s="1"/>
      <c r="W720" s="1"/>
      <c r="X720" s="1"/>
    </row>
    <row r="721">
      <c r="A721" s="2"/>
      <c r="B721" s="2"/>
      <c r="C721" s="88"/>
      <c r="D721" s="89"/>
      <c r="E721" s="4"/>
      <c r="F721" s="91"/>
      <c r="G721" s="91"/>
      <c r="H721" s="4"/>
      <c r="I721" s="98"/>
      <c r="J721" s="2"/>
      <c r="K721" s="1"/>
      <c r="L721" s="1"/>
      <c r="M721" s="1"/>
      <c r="N721" s="1"/>
      <c r="O721" s="1"/>
      <c r="P721" s="1"/>
      <c r="Q721" s="1"/>
      <c r="R721" s="1"/>
      <c r="S721" s="1"/>
      <c r="T721" s="1"/>
      <c r="U721" s="1"/>
      <c r="V721" s="1"/>
      <c r="W721" s="1"/>
      <c r="X721" s="1"/>
    </row>
    <row r="722">
      <c r="A722" s="2"/>
      <c r="B722" s="2"/>
      <c r="C722" s="88"/>
      <c r="D722" s="89"/>
      <c r="E722" s="4"/>
      <c r="F722" s="91"/>
      <c r="G722" s="91"/>
      <c r="H722" s="4"/>
      <c r="I722" s="98"/>
      <c r="J722" s="2"/>
      <c r="K722" s="1"/>
      <c r="L722" s="1"/>
      <c r="M722" s="1"/>
      <c r="N722" s="1"/>
      <c r="O722" s="1"/>
      <c r="P722" s="1"/>
      <c r="Q722" s="1"/>
      <c r="R722" s="1"/>
      <c r="S722" s="1"/>
      <c r="T722" s="1"/>
      <c r="U722" s="1"/>
      <c r="V722" s="1"/>
      <c r="W722" s="1"/>
      <c r="X722" s="1"/>
    </row>
    <row r="723">
      <c r="A723" s="2"/>
      <c r="B723" s="2"/>
      <c r="C723" s="88"/>
      <c r="D723" s="89"/>
      <c r="E723" s="4"/>
      <c r="F723" s="91"/>
      <c r="G723" s="91"/>
      <c r="H723" s="4"/>
      <c r="I723" s="98"/>
      <c r="J723" s="2"/>
      <c r="K723" s="1"/>
      <c r="L723" s="1"/>
      <c r="M723" s="1"/>
      <c r="N723" s="1"/>
      <c r="O723" s="1"/>
      <c r="P723" s="1"/>
      <c r="Q723" s="1"/>
      <c r="R723" s="1"/>
      <c r="S723" s="1"/>
      <c r="T723" s="1"/>
      <c r="U723" s="1"/>
      <c r="V723" s="1"/>
      <c r="W723" s="1"/>
      <c r="X723" s="1"/>
    </row>
    <row r="724">
      <c r="A724" s="2"/>
      <c r="B724" s="2"/>
      <c r="C724" s="88"/>
      <c r="D724" s="89"/>
      <c r="E724" s="4"/>
      <c r="F724" s="91"/>
      <c r="G724" s="91"/>
      <c r="H724" s="4"/>
      <c r="I724" s="98"/>
      <c r="J724" s="2"/>
      <c r="K724" s="1"/>
      <c r="L724" s="1"/>
      <c r="M724" s="1"/>
      <c r="N724" s="1"/>
      <c r="O724" s="1"/>
      <c r="P724" s="1"/>
      <c r="Q724" s="1"/>
      <c r="R724" s="1"/>
      <c r="S724" s="1"/>
      <c r="T724" s="1"/>
      <c r="U724" s="1"/>
      <c r="V724" s="1"/>
      <c r="W724" s="1"/>
      <c r="X724" s="1"/>
    </row>
    <row r="725">
      <c r="A725" s="2"/>
      <c r="B725" s="2"/>
      <c r="C725" s="88"/>
      <c r="D725" s="89"/>
      <c r="E725" s="4"/>
      <c r="F725" s="91"/>
      <c r="G725" s="91"/>
      <c r="H725" s="4"/>
      <c r="I725" s="98"/>
      <c r="J725" s="2"/>
      <c r="K725" s="1"/>
      <c r="L725" s="1"/>
      <c r="M725" s="1"/>
      <c r="N725" s="1"/>
      <c r="O725" s="1"/>
      <c r="P725" s="1"/>
      <c r="Q725" s="1"/>
      <c r="R725" s="1"/>
      <c r="S725" s="1"/>
      <c r="T725" s="1"/>
      <c r="U725" s="1"/>
      <c r="V725" s="1"/>
      <c r="W725" s="1"/>
      <c r="X725" s="1"/>
    </row>
    <row r="726">
      <c r="A726" s="2"/>
      <c r="B726" s="2"/>
      <c r="C726" s="88"/>
      <c r="D726" s="89"/>
      <c r="E726" s="4"/>
      <c r="F726" s="91"/>
      <c r="G726" s="91"/>
      <c r="H726" s="4"/>
      <c r="I726" s="98"/>
      <c r="J726" s="2"/>
      <c r="K726" s="1"/>
      <c r="L726" s="1"/>
      <c r="M726" s="1"/>
      <c r="N726" s="1"/>
      <c r="O726" s="1"/>
      <c r="P726" s="1"/>
      <c r="Q726" s="1"/>
      <c r="R726" s="1"/>
      <c r="S726" s="1"/>
      <c r="T726" s="1"/>
      <c r="U726" s="1"/>
      <c r="V726" s="1"/>
      <c r="W726" s="1"/>
      <c r="X726" s="1"/>
    </row>
    <row r="727">
      <c r="A727" s="2"/>
      <c r="B727" s="2"/>
      <c r="C727" s="88"/>
      <c r="D727" s="89"/>
      <c r="E727" s="4"/>
      <c r="F727" s="91"/>
      <c r="G727" s="91"/>
      <c r="H727" s="4"/>
      <c r="I727" s="98"/>
      <c r="J727" s="2"/>
      <c r="K727" s="1"/>
      <c r="L727" s="1"/>
      <c r="M727" s="1"/>
      <c r="N727" s="1"/>
      <c r="O727" s="1"/>
      <c r="P727" s="1"/>
      <c r="Q727" s="1"/>
      <c r="R727" s="1"/>
      <c r="S727" s="1"/>
      <c r="T727" s="1"/>
      <c r="U727" s="1"/>
      <c r="V727" s="1"/>
      <c r="W727" s="1"/>
      <c r="X727" s="1"/>
    </row>
    <row r="728">
      <c r="A728" s="2"/>
      <c r="B728" s="2"/>
      <c r="C728" s="88"/>
      <c r="D728" s="89"/>
      <c r="E728" s="4"/>
      <c r="F728" s="91"/>
      <c r="G728" s="91"/>
      <c r="H728" s="4"/>
      <c r="I728" s="98"/>
      <c r="J728" s="2"/>
      <c r="K728" s="1"/>
      <c r="L728" s="1"/>
      <c r="M728" s="1"/>
      <c r="N728" s="1"/>
      <c r="O728" s="1"/>
      <c r="P728" s="1"/>
      <c r="Q728" s="1"/>
      <c r="R728" s="1"/>
      <c r="S728" s="1"/>
      <c r="T728" s="1"/>
      <c r="U728" s="1"/>
      <c r="V728" s="1"/>
      <c r="W728" s="1"/>
      <c r="X728" s="1"/>
    </row>
    <row r="729">
      <c r="A729" s="2"/>
      <c r="B729" s="2"/>
      <c r="C729" s="88"/>
      <c r="D729" s="89"/>
      <c r="E729" s="4"/>
      <c r="F729" s="91"/>
      <c r="G729" s="91"/>
      <c r="H729" s="4"/>
      <c r="I729" s="98"/>
      <c r="J729" s="2"/>
      <c r="K729" s="1"/>
      <c r="L729" s="1"/>
      <c r="M729" s="1"/>
      <c r="N729" s="1"/>
      <c r="O729" s="1"/>
      <c r="P729" s="1"/>
      <c r="Q729" s="1"/>
      <c r="R729" s="1"/>
      <c r="S729" s="1"/>
      <c r="T729" s="1"/>
      <c r="U729" s="1"/>
      <c r="V729" s="1"/>
      <c r="W729" s="1"/>
      <c r="X729" s="1"/>
    </row>
    <row r="730">
      <c r="A730" s="2"/>
      <c r="B730" s="2"/>
      <c r="C730" s="88"/>
      <c r="D730" s="89"/>
      <c r="E730" s="4"/>
      <c r="F730" s="91"/>
      <c r="G730" s="91"/>
      <c r="H730" s="4"/>
      <c r="I730" s="98"/>
      <c r="J730" s="2"/>
      <c r="K730" s="1"/>
      <c r="L730" s="1"/>
      <c r="M730" s="1"/>
      <c r="N730" s="1"/>
      <c r="O730" s="1"/>
      <c r="P730" s="1"/>
      <c r="Q730" s="1"/>
      <c r="R730" s="1"/>
      <c r="S730" s="1"/>
      <c r="T730" s="1"/>
      <c r="U730" s="1"/>
      <c r="V730" s="1"/>
      <c r="W730" s="1"/>
      <c r="X730" s="1"/>
    </row>
    <row r="731">
      <c r="A731" s="2"/>
      <c r="B731" s="2"/>
      <c r="C731" s="88"/>
      <c r="D731" s="89"/>
      <c r="E731" s="4"/>
      <c r="F731" s="91"/>
      <c r="G731" s="91"/>
      <c r="H731" s="4"/>
      <c r="I731" s="98"/>
      <c r="J731" s="2"/>
      <c r="K731" s="1"/>
      <c r="L731" s="1"/>
      <c r="M731" s="1"/>
      <c r="N731" s="1"/>
      <c r="O731" s="1"/>
      <c r="P731" s="1"/>
      <c r="Q731" s="1"/>
      <c r="R731" s="1"/>
      <c r="S731" s="1"/>
      <c r="T731" s="1"/>
      <c r="U731" s="1"/>
      <c r="V731" s="1"/>
      <c r="W731" s="1"/>
      <c r="X731" s="1"/>
    </row>
    <row r="732">
      <c r="A732" s="2"/>
      <c r="B732" s="2"/>
      <c r="C732" s="88"/>
      <c r="D732" s="89"/>
      <c r="E732" s="4"/>
      <c r="F732" s="91"/>
      <c r="G732" s="91"/>
      <c r="H732" s="4"/>
      <c r="I732" s="98"/>
      <c r="J732" s="2"/>
      <c r="K732" s="1"/>
      <c r="L732" s="1"/>
      <c r="M732" s="1"/>
      <c r="N732" s="1"/>
      <c r="O732" s="1"/>
      <c r="P732" s="1"/>
      <c r="Q732" s="1"/>
      <c r="R732" s="1"/>
      <c r="S732" s="1"/>
      <c r="T732" s="1"/>
      <c r="U732" s="1"/>
      <c r="V732" s="1"/>
      <c r="W732" s="1"/>
      <c r="X732" s="1"/>
    </row>
    <row r="733">
      <c r="A733" s="2"/>
      <c r="B733" s="2"/>
      <c r="C733" s="88"/>
      <c r="D733" s="89"/>
      <c r="E733" s="4"/>
      <c r="F733" s="91"/>
      <c r="G733" s="91"/>
      <c r="H733" s="4"/>
      <c r="I733" s="98"/>
      <c r="J733" s="2"/>
      <c r="K733" s="1"/>
      <c r="L733" s="1"/>
      <c r="M733" s="1"/>
      <c r="N733" s="1"/>
      <c r="O733" s="1"/>
      <c r="P733" s="1"/>
      <c r="Q733" s="1"/>
      <c r="R733" s="1"/>
      <c r="S733" s="1"/>
      <c r="T733" s="1"/>
      <c r="U733" s="1"/>
      <c r="V733" s="1"/>
      <c r="W733" s="1"/>
      <c r="X733" s="1"/>
    </row>
    <row r="734">
      <c r="A734" s="2"/>
      <c r="B734" s="2"/>
      <c r="C734" s="88"/>
      <c r="D734" s="89"/>
      <c r="E734" s="4"/>
      <c r="F734" s="91"/>
      <c r="G734" s="91"/>
      <c r="H734" s="4"/>
      <c r="I734" s="98"/>
      <c r="J734" s="2"/>
      <c r="K734" s="1"/>
      <c r="L734" s="1"/>
      <c r="M734" s="1"/>
      <c r="N734" s="1"/>
      <c r="O734" s="1"/>
      <c r="P734" s="1"/>
      <c r="Q734" s="1"/>
      <c r="R734" s="1"/>
      <c r="S734" s="1"/>
      <c r="T734" s="1"/>
      <c r="U734" s="1"/>
      <c r="V734" s="1"/>
      <c r="W734" s="1"/>
      <c r="X734" s="1"/>
    </row>
    <row r="735">
      <c r="A735" s="2"/>
      <c r="B735" s="2"/>
      <c r="C735" s="88"/>
      <c r="D735" s="89"/>
      <c r="E735" s="4"/>
      <c r="F735" s="91"/>
      <c r="G735" s="91"/>
      <c r="H735" s="4"/>
      <c r="I735" s="98"/>
      <c r="J735" s="2"/>
      <c r="K735" s="1"/>
      <c r="L735" s="1"/>
      <c r="M735" s="1"/>
      <c r="N735" s="1"/>
      <c r="O735" s="1"/>
      <c r="P735" s="1"/>
      <c r="Q735" s="1"/>
      <c r="R735" s="1"/>
      <c r="S735" s="1"/>
      <c r="T735" s="1"/>
      <c r="U735" s="1"/>
      <c r="V735" s="1"/>
      <c r="W735" s="1"/>
      <c r="X735" s="1"/>
    </row>
    <row r="736">
      <c r="A736" s="2"/>
      <c r="B736" s="2"/>
      <c r="C736" s="88"/>
      <c r="D736" s="89"/>
      <c r="E736" s="4"/>
      <c r="F736" s="91"/>
      <c r="G736" s="91"/>
      <c r="H736" s="4"/>
      <c r="I736" s="98"/>
      <c r="J736" s="2"/>
      <c r="K736" s="1"/>
      <c r="L736" s="1"/>
      <c r="M736" s="1"/>
      <c r="N736" s="1"/>
      <c r="O736" s="1"/>
      <c r="P736" s="1"/>
      <c r="Q736" s="1"/>
      <c r="R736" s="1"/>
      <c r="S736" s="1"/>
      <c r="T736" s="1"/>
      <c r="U736" s="1"/>
      <c r="V736" s="1"/>
      <c r="W736" s="1"/>
      <c r="X736" s="1"/>
    </row>
    <row r="737">
      <c r="A737" s="2"/>
      <c r="B737" s="2"/>
      <c r="C737" s="88"/>
      <c r="D737" s="89"/>
      <c r="E737" s="4"/>
      <c r="F737" s="91"/>
      <c r="G737" s="91"/>
      <c r="H737" s="4"/>
      <c r="I737" s="98"/>
      <c r="J737" s="2"/>
      <c r="K737" s="1"/>
      <c r="L737" s="1"/>
      <c r="M737" s="1"/>
      <c r="N737" s="1"/>
      <c r="O737" s="1"/>
      <c r="P737" s="1"/>
      <c r="Q737" s="1"/>
      <c r="R737" s="1"/>
      <c r="S737" s="1"/>
      <c r="T737" s="1"/>
      <c r="U737" s="1"/>
      <c r="V737" s="1"/>
      <c r="W737" s="1"/>
      <c r="X737" s="1"/>
    </row>
    <row r="738">
      <c r="A738" s="2"/>
      <c r="B738" s="2"/>
      <c r="C738" s="88"/>
      <c r="D738" s="89"/>
      <c r="E738" s="4"/>
      <c r="F738" s="91"/>
      <c r="G738" s="91"/>
      <c r="H738" s="4"/>
      <c r="I738" s="98"/>
      <c r="J738" s="2"/>
      <c r="K738" s="1"/>
      <c r="L738" s="1"/>
      <c r="M738" s="1"/>
      <c r="N738" s="1"/>
      <c r="O738" s="1"/>
      <c r="P738" s="1"/>
      <c r="Q738" s="1"/>
      <c r="R738" s="1"/>
      <c r="S738" s="1"/>
      <c r="T738" s="1"/>
      <c r="U738" s="1"/>
      <c r="V738" s="1"/>
      <c r="W738" s="1"/>
      <c r="X738" s="1"/>
    </row>
    <row r="739">
      <c r="A739" s="2"/>
      <c r="B739" s="2"/>
      <c r="C739" s="88"/>
      <c r="D739" s="89"/>
      <c r="E739" s="4"/>
      <c r="F739" s="91"/>
      <c r="G739" s="91"/>
      <c r="H739" s="4"/>
      <c r="I739" s="98"/>
      <c r="J739" s="2"/>
      <c r="K739" s="1"/>
      <c r="L739" s="1"/>
      <c r="M739" s="1"/>
      <c r="N739" s="1"/>
      <c r="O739" s="1"/>
      <c r="P739" s="1"/>
      <c r="Q739" s="1"/>
      <c r="R739" s="1"/>
      <c r="S739" s="1"/>
      <c r="T739" s="1"/>
      <c r="U739" s="1"/>
      <c r="V739" s="1"/>
      <c r="W739" s="1"/>
      <c r="X739" s="1"/>
    </row>
    <row r="740">
      <c r="A740" s="2"/>
      <c r="B740" s="2"/>
      <c r="C740" s="88"/>
      <c r="D740" s="89"/>
      <c r="E740" s="4"/>
      <c r="F740" s="91"/>
      <c r="G740" s="91"/>
      <c r="H740" s="4"/>
      <c r="I740" s="98"/>
      <c r="J740" s="2"/>
      <c r="K740" s="1"/>
      <c r="L740" s="1"/>
      <c r="M740" s="1"/>
      <c r="N740" s="1"/>
      <c r="O740" s="1"/>
      <c r="P740" s="1"/>
      <c r="Q740" s="1"/>
      <c r="R740" s="1"/>
      <c r="S740" s="1"/>
      <c r="T740" s="1"/>
      <c r="U740" s="1"/>
      <c r="V740" s="1"/>
      <c r="W740" s="1"/>
      <c r="X740" s="1"/>
    </row>
    <row r="741">
      <c r="A741" s="2"/>
      <c r="B741" s="2"/>
      <c r="C741" s="88"/>
      <c r="D741" s="89"/>
      <c r="E741" s="4"/>
      <c r="F741" s="91"/>
      <c r="G741" s="91"/>
      <c r="H741" s="4"/>
      <c r="I741" s="98"/>
      <c r="J741" s="2"/>
      <c r="K741" s="1"/>
      <c r="L741" s="1"/>
      <c r="M741" s="1"/>
      <c r="N741" s="1"/>
      <c r="O741" s="1"/>
      <c r="P741" s="1"/>
      <c r="Q741" s="1"/>
      <c r="R741" s="1"/>
      <c r="S741" s="1"/>
      <c r="T741" s="1"/>
      <c r="U741" s="1"/>
      <c r="V741" s="1"/>
      <c r="W741" s="1"/>
      <c r="X741" s="1"/>
    </row>
    <row r="742">
      <c r="A742" s="2"/>
      <c r="B742" s="2"/>
      <c r="C742" s="88"/>
      <c r="D742" s="89"/>
      <c r="E742" s="4"/>
      <c r="F742" s="91"/>
      <c r="G742" s="91"/>
      <c r="H742" s="4"/>
      <c r="I742" s="98"/>
      <c r="J742" s="2"/>
      <c r="K742" s="1"/>
      <c r="L742" s="1"/>
      <c r="M742" s="1"/>
      <c r="N742" s="1"/>
      <c r="O742" s="1"/>
      <c r="P742" s="1"/>
      <c r="Q742" s="1"/>
      <c r="R742" s="1"/>
      <c r="S742" s="1"/>
      <c r="T742" s="1"/>
      <c r="U742" s="1"/>
      <c r="V742" s="1"/>
      <c r="W742" s="1"/>
      <c r="X742" s="1"/>
    </row>
    <row r="743">
      <c r="A743" s="2"/>
      <c r="B743" s="2"/>
      <c r="C743" s="88"/>
      <c r="D743" s="89"/>
      <c r="E743" s="4"/>
      <c r="F743" s="91"/>
      <c r="G743" s="91"/>
      <c r="H743" s="4"/>
      <c r="I743" s="98"/>
      <c r="J743" s="2"/>
      <c r="K743" s="1"/>
      <c r="L743" s="1"/>
      <c r="M743" s="1"/>
      <c r="N743" s="1"/>
      <c r="O743" s="1"/>
      <c r="P743" s="1"/>
      <c r="Q743" s="1"/>
      <c r="R743" s="1"/>
      <c r="S743" s="1"/>
      <c r="T743" s="1"/>
      <c r="U743" s="1"/>
      <c r="V743" s="1"/>
      <c r="W743" s="1"/>
      <c r="X743" s="1"/>
    </row>
    <row r="744">
      <c r="A744" s="2"/>
      <c r="B744" s="2"/>
      <c r="C744" s="88"/>
      <c r="D744" s="89"/>
      <c r="E744" s="4"/>
      <c r="F744" s="91"/>
      <c r="G744" s="91"/>
      <c r="H744" s="4"/>
      <c r="I744" s="98"/>
      <c r="J744" s="2"/>
      <c r="K744" s="1"/>
      <c r="L744" s="1"/>
      <c r="M744" s="1"/>
      <c r="N744" s="1"/>
      <c r="O744" s="1"/>
      <c r="P744" s="1"/>
      <c r="Q744" s="1"/>
      <c r="R744" s="1"/>
      <c r="S744" s="1"/>
      <c r="T744" s="1"/>
      <c r="U744" s="1"/>
      <c r="V744" s="1"/>
      <c r="W744" s="1"/>
      <c r="X744" s="1"/>
    </row>
    <row r="745">
      <c r="A745" s="2"/>
      <c r="B745" s="2"/>
      <c r="C745" s="88"/>
      <c r="D745" s="89"/>
      <c r="E745" s="4"/>
      <c r="F745" s="91"/>
      <c r="G745" s="91"/>
      <c r="H745" s="4"/>
      <c r="I745" s="98"/>
      <c r="J745" s="2"/>
      <c r="K745" s="1"/>
      <c r="L745" s="1"/>
      <c r="M745" s="1"/>
      <c r="N745" s="1"/>
      <c r="O745" s="1"/>
      <c r="P745" s="1"/>
      <c r="Q745" s="1"/>
      <c r="R745" s="1"/>
      <c r="S745" s="1"/>
      <c r="T745" s="1"/>
      <c r="U745" s="1"/>
      <c r="V745" s="1"/>
      <c r="W745" s="1"/>
      <c r="X745" s="1"/>
    </row>
    <row r="746">
      <c r="A746" s="2"/>
      <c r="B746" s="2"/>
      <c r="C746" s="88"/>
      <c r="D746" s="89"/>
      <c r="E746" s="4"/>
      <c r="F746" s="91"/>
      <c r="G746" s="91"/>
      <c r="H746" s="4"/>
      <c r="I746" s="98"/>
      <c r="J746" s="2"/>
      <c r="K746" s="1"/>
      <c r="L746" s="1"/>
      <c r="M746" s="1"/>
      <c r="N746" s="1"/>
      <c r="O746" s="1"/>
      <c r="P746" s="1"/>
      <c r="Q746" s="1"/>
      <c r="R746" s="1"/>
      <c r="S746" s="1"/>
      <c r="T746" s="1"/>
      <c r="U746" s="1"/>
      <c r="V746" s="1"/>
      <c r="W746" s="1"/>
      <c r="X746" s="1"/>
    </row>
    <row r="747">
      <c r="A747" s="2"/>
      <c r="B747" s="2"/>
      <c r="C747" s="88"/>
      <c r="D747" s="89"/>
      <c r="E747" s="4"/>
      <c r="F747" s="91"/>
      <c r="G747" s="91"/>
      <c r="H747" s="4"/>
      <c r="I747" s="98"/>
      <c r="J747" s="2"/>
      <c r="K747" s="1"/>
      <c r="L747" s="1"/>
      <c r="M747" s="1"/>
      <c r="N747" s="1"/>
      <c r="O747" s="1"/>
      <c r="P747" s="1"/>
      <c r="Q747" s="1"/>
      <c r="R747" s="1"/>
      <c r="S747" s="1"/>
      <c r="T747" s="1"/>
      <c r="U747" s="1"/>
      <c r="V747" s="1"/>
      <c r="W747" s="1"/>
      <c r="X747" s="1"/>
    </row>
    <row r="748">
      <c r="A748" s="2"/>
      <c r="B748" s="2"/>
      <c r="C748" s="88"/>
      <c r="D748" s="89"/>
      <c r="E748" s="4"/>
      <c r="F748" s="91"/>
      <c r="G748" s="91"/>
      <c r="H748" s="4"/>
      <c r="I748" s="98"/>
      <c r="J748" s="2"/>
      <c r="K748" s="1"/>
      <c r="L748" s="1"/>
      <c r="M748" s="1"/>
      <c r="N748" s="1"/>
      <c r="O748" s="1"/>
      <c r="P748" s="1"/>
      <c r="Q748" s="1"/>
      <c r="R748" s="1"/>
      <c r="S748" s="1"/>
      <c r="T748" s="1"/>
      <c r="U748" s="1"/>
      <c r="V748" s="1"/>
      <c r="W748" s="1"/>
      <c r="X748" s="1"/>
    </row>
    <row r="749">
      <c r="A749" s="2"/>
      <c r="B749" s="2"/>
      <c r="C749" s="88"/>
      <c r="D749" s="89"/>
      <c r="E749" s="4"/>
      <c r="F749" s="91"/>
      <c r="G749" s="91"/>
      <c r="H749" s="4"/>
      <c r="I749" s="98"/>
      <c r="J749" s="2"/>
      <c r="K749" s="1"/>
      <c r="L749" s="1"/>
      <c r="M749" s="1"/>
      <c r="N749" s="1"/>
      <c r="O749" s="1"/>
      <c r="P749" s="1"/>
      <c r="Q749" s="1"/>
      <c r="R749" s="1"/>
      <c r="S749" s="1"/>
      <c r="T749" s="1"/>
      <c r="U749" s="1"/>
      <c r="V749" s="1"/>
      <c r="W749" s="1"/>
      <c r="X749" s="1"/>
    </row>
    <row r="750">
      <c r="A750" s="2"/>
      <c r="B750" s="2"/>
      <c r="C750" s="88"/>
      <c r="D750" s="89"/>
      <c r="E750" s="4"/>
      <c r="F750" s="91"/>
      <c r="G750" s="91"/>
      <c r="H750" s="4"/>
      <c r="I750" s="98"/>
      <c r="J750" s="2"/>
      <c r="K750" s="1"/>
      <c r="L750" s="1"/>
      <c r="M750" s="1"/>
      <c r="N750" s="1"/>
      <c r="O750" s="1"/>
      <c r="P750" s="1"/>
      <c r="Q750" s="1"/>
      <c r="R750" s="1"/>
      <c r="S750" s="1"/>
      <c r="T750" s="1"/>
      <c r="U750" s="1"/>
      <c r="V750" s="1"/>
      <c r="W750" s="1"/>
      <c r="X750" s="1"/>
    </row>
    <row r="751">
      <c r="A751" s="2"/>
      <c r="B751" s="2"/>
      <c r="C751" s="88"/>
      <c r="D751" s="89"/>
      <c r="E751" s="4"/>
      <c r="F751" s="91"/>
      <c r="G751" s="91"/>
      <c r="H751" s="4"/>
      <c r="I751" s="98"/>
      <c r="J751" s="2"/>
      <c r="K751" s="1"/>
      <c r="L751" s="1"/>
      <c r="M751" s="1"/>
      <c r="N751" s="1"/>
      <c r="O751" s="1"/>
      <c r="P751" s="1"/>
      <c r="Q751" s="1"/>
      <c r="R751" s="1"/>
      <c r="S751" s="1"/>
      <c r="T751" s="1"/>
      <c r="U751" s="1"/>
      <c r="V751" s="1"/>
      <c r="W751" s="1"/>
      <c r="X751" s="1"/>
    </row>
    <row r="752">
      <c r="A752" s="2"/>
      <c r="B752" s="2"/>
      <c r="C752" s="88"/>
      <c r="D752" s="89"/>
      <c r="E752" s="4"/>
      <c r="F752" s="91"/>
      <c r="G752" s="91"/>
      <c r="H752" s="4"/>
      <c r="I752" s="98"/>
      <c r="J752" s="2"/>
      <c r="K752" s="1"/>
      <c r="L752" s="1"/>
      <c r="M752" s="1"/>
      <c r="N752" s="1"/>
      <c r="O752" s="1"/>
      <c r="P752" s="1"/>
      <c r="Q752" s="1"/>
      <c r="R752" s="1"/>
      <c r="S752" s="1"/>
      <c r="T752" s="1"/>
      <c r="U752" s="1"/>
      <c r="V752" s="1"/>
      <c r="W752" s="1"/>
      <c r="X752" s="1"/>
    </row>
    <row r="753">
      <c r="A753" s="2"/>
      <c r="B753" s="2"/>
      <c r="C753" s="88"/>
      <c r="D753" s="89"/>
      <c r="E753" s="4"/>
      <c r="F753" s="91"/>
      <c r="G753" s="91"/>
      <c r="H753" s="4"/>
      <c r="I753" s="98"/>
      <c r="J753" s="2"/>
      <c r="K753" s="1"/>
      <c r="L753" s="1"/>
      <c r="M753" s="1"/>
      <c r="N753" s="1"/>
      <c r="O753" s="1"/>
      <c r="P753" s="1"/>
      <c r="Q753" s="1"/>
      <c r="R753" s="1"/>
      <c r="S753" s="1"/>
      <c r="T753" s="1"/>
      <c r="U753" s="1"/>
      <c r="V753" s="1"/>
      <c r="W753" s="1"/>
      <c r="X753" s="1"/>
    </row>
    <row r="754">
      <c r="A754" s="2"/>
      <c r="B754" s="2"/>
      <c r="C754" s="88"/>
      <c r="D754" s="89"/>
      <c r="E754" s="4"/>
      <c r="F754" s="91"/>
      <c r="G754" s="91"/>
      <c r="H754" s="4"/>
      <c r="I754" s="98"/>
      <c r="J754" s="2"/>
      <c r="K754" s="1"/>
      <c r="L754" s="1"/>
      <c r="M754" s="1"/>
      <c r="N754" s="1"/>
      <c r="O754" s="1"/>
      <c r="P754" s="1"/>
      <c r="Q754" s="1"/>
      <c r="R754" s="1"/>
      <c r="S754" s="1"/>
      <c r="T754" s="1"/>
      <c r="U754" s="1"/>
      <c r="V754" s="1"/>
      <c r="W754" s="1"/>
      <c r="X754" s="1"/>
    </row>
    <row r="755">
      <c r="A755" s="2"/>
      <c r="B755" s="2"/>
      <c r="C755" s="88"/>
      <c r="D755" s="89"/>
      <c r="E755" s="4"/>
      <c r="F755" s="91"/>
      <c r="G755" s="91"/>
      <c r="H755" s="4"/>
      <c r="I755" s="98"/>
      <c r="J755" s="2"/>
      <c r="K755" s="1"/>
      <c r="L755" s="1"/>
      <c r="M755" s="1"/>
      <c r="N755" s="1"/>
      <c r="O755" s="1"/>
      <c r="P755" s="1"/>
      <c r="Q755" s="1"/>
      <c r="R755" s="1"/>
      <c r="S755" s="1"/>
      <c r="T755" s="1"/>
      <c r="U755" s="1"/>
      <c r="V755" s="1"/>
      <c r="W755" s="1"/>
      <c r="X755" s="1"/>
    </row>
    <row r="756">
      <c r="A756" s="2"/>
      <c r="B756" s="2"/>
      <c r="C756" s="88"/>
      <c r="D756" s="89"/>
      <c r="E756" s="4"/>
      <c r="F756" s="91"/>
      <c r="G756" s="91"/>
      <c r="H756" s="4"/>
      <c r="I756" s="98"/>
      <c r="J756" s="2"/>
      <c r="K756" s="1"/>
      <c r="L756" s="1"/>
      <c r="M756" s="1"/>
      <c r="N756" s="1"/>
      <c r="O756" s="1"/>
      <c r="P756" s="1"/>
      <c r="Q756" s="1"/>
      <c r="R756" s="1"/>
      <c r="S756" s="1"/>
      <c r="T756" s="1"/>
      <c r="U756" s="1"/>
      <c r="V756" s="1"/>
      <c r="W756" s="1"/>
      <c r="X756" s="1"/>
    </row>
    <row r="757">
      <c r="A757" s="2"/>
      <c r="B757" s="2"/>
      <c r="C757" s="88"/>
      <c r="D757" s="89"/>
      <c r="E757" s="4"/>
      <c r="F757" s="91"/>
      <c r="G757" s="91"/>
      <c r="H757" s="4"/>
      <c r="I757" s="98"/>
      <c r="J757" s="2"/>
      <c r="K757" s="1"/>
      <c r="L757" s="1"/>
      <c r="M757" s="1"/>
      <c r="N757" s="1"/>
      <c r="O757" s="1"/>
      <c r="P757" s="1"/>
      <c r="Q757" s="1"/>
      <c r="R757" s="1"/>
      <c r="S757" s="1"/>
      <c r="T757" s="1"/>
      <c r="U757" s="1"/>
      <c r="V757" s="1"/>
      <c r="W757" s="1"/>
      <c r="X757" s="1"/>
    </row>
    <row r="758">
      <c r="A758" s="2"/>
      <c r="B758" s="2"/>
      <c r="C758" s="88"/>
      <c r="D758" s="89"/>
      <c r="E758" s="4"/>
      <c r="F758" s="91"/>
      <c r="G758" s="91"/>
      <c r="H758" s="4"/>
      <c r="I758" s="98"/>
      <c r="J758" s="2"/>
      <c r="K758" s="1"/>
      <c r="L758" s="1"/>
      <c r="M758" s="1"/>
      <c r="N758" s="1"/>
      <c r="O758" s="1"/>
      <c r="P758" s="1"/>
      <c r="Q758" s="1"/>
      <c r="R758" s="1"/>
      <c r="S758" s="1"/>
      <c r="T758" s="1"/>
      <c r="U758" s="1"/>
      <c r="V758" s="1"/>
      <c r="W758" s="1"/>
      <c r="X758" s="1"/>
    </row>
    <row r="759">
      <c r="A759" s="2"/>
      <c r="B759" s="2"/>
      <c r="C759" s="88"/>
      <c r="D759" s="89"/>
      <c r="E759" s="4"/>
      <c r="F759" s="91"/>
      <c r="G759" s="91"/>
      <c r="H759" s="4"/>
      <c r="I759" s="98"/>
      <c r="J759" s="2"/>
      <c r="K759" s="1"/>
      <c r="L759" s="1"/>
      <c r="M759" s="1"/>
      <c r="N759" s="1"/>
      <c r="O759" s="1"/>
      <c r="P759" s="1"/>
      <c r="Q759" s="1"/>
      <c r="R759" s="1"/>
      <c r="S759" s="1"/>
      <c r="T759" s="1"/>
      <c r="U759" s="1"/>
      <c r="V759" s="1"/>
      <c r="W759" s="1"/>
      <c r="X759" s="1"/>
    </row>
    <row r="760">
      <c r="A760" s="2"/>
      <c r="B760" s="2"/>
      <c r="C760" s="88"/>
      <c r="D760" s="89"/>
      <c r="E760" s="4"/>
      <c r="F760" s="91"/>
      <c r="G760" s="91"/>
      <c r="H760" s="4"/>
      <c r="I760" s="98"/>
      <c r="J760" s="2"/>
      <c r="K760" s="1"/>
      <c r="L760" s="1"/>
      <c r="M760" s="1"/>
      <c r="N760" s="1"/>
      <c r="O760" s="1"/>
      <c r="P760" s="1"/>
      <c r="Q760" s="1"/>
      <c r="R760" s="1"/>
      <c r="S760" s="1"/>
      <c r="T760" s="1"/>
      <c r="U760" s="1"/>
      <c r="V760" s="1"/>
      <c r="W760" s="1"/>
      <c r="X760" s="1"/>
    </row>
    <row r="761">
      <c r="A761" s="2"/>
      <c r="B761" s="2"/>
      <c r="C761" s="88"/>
      <c r="D761" s="89"/>
      <c r="E761" s="4"/>
      <c r="F761" s="91"/>
      <c r="G761" s="91"/>
      <c r="H761" s="4"/>
      <c r="I761" s="98"/>
      <c r="J761" s="2"/>
      <c r="K761" s="1"/>
      <c r="L761" s="1"/>
      <c r="M761" s="1"/>
      <c r="N761" s="1"/>
      <c r="O761" s="1"/>
      <c r="P761" s="1"/>
      <c r="Q761" s="1"/>
      <c r="R761" s="1"/>
      <c r="S761" s="1"/>
      <c r="T761" s="1"/>
      <c r="U761" s="1"/>
      <c r="V761" s="1"/>
      <c r="W761" s="1"/>
      <c r="X761" s="1"/>
    </row>
    <row r="762">
      <c r="A762" s="2"/>
      <c r="B762" s="2"/>
      <c r="C762" s="88"/>
      <c r="D762" s="89"/>
      <c r="E762" s="4"/>
      <c r="F762" s="91"/>
      <c r="G762" s="91"/>
      <c r="H762" s="4"/>
      <c r="I762" s="98"/>
      <c r="J762" s="2"/>
      <c r="K762" s="1"/>
      <c r="L762" s="1"/>
      <c r="M762" s="1"/>
      <c r="N762" s="1"/>
      <c r="O762" s="1"/>
      <c r="P762" s="1"/>
      <c r="Q762" s="1"/>
      <c r="R762" s="1"/>
      <c r="S762" s="1"/>
      <c r="T762" s="1"/>
      <c r="U762" s="1"/>
      <c r="V762" s="1"/>
      <c r="W762" s="1"/>
      <c r="X762" s="1"/>
    </row>
    <row r="763">
      <c r="A763" s="2"/>
      <c r="B763" s="2"/>
      <c r="C763" s="88"/>
      <c r="D763" s="89"/>
      <c r="E763" s="4"/>
      <c r="F763" s="91"/>
      <c r="G763" s="91"/>
      <c r="H763" s="4"/>
      <c r="I763" s="98"/>
      <c r="J763" s="2"/>
      <c r="K763" s="1"/>
      <c r="L763" s="1"/>
      <c r="M763" s="1"/>
      <c r="N763" s="1"/>
      <c r="O763" s="1"/>
      <c r="P763" s="1"/>
      <c r="Q763" s="1"/>
      <c r="R763" s="1"/>
      <c r="S763" s="1"/>
      <c r="T763" s="1"/>
      <c r="U763" s="1"/>
      <c r="V763" s="1"/>
      <c r="W763" s="1"/>
      <c r="X763" s="1"/>
    </row>
    <row r="764">
      <c r="A764" s="2"/>
      <c r="B764" s="2"/>
      <c r="C764" s="88"/>
      <c r="D764" s="89"/>
      <c r="E764" s="4"/>
      <c r="F764" s="91"/>
      <c r="G764" s="91"/>
      <c r="H764" s="4"/>
      <c r="I764" s="98"/>
      <c r="J764" s="2"/>
      <c r="K764" s="1"/>
      <c r="L764" s="1"/>
      <c r="M764" s="1"/>
      <c r="N764" s="1"/>
      <c r="O764" s="1"/>
      <c r="P764" s="1"/>
      <c r="Q764" s="1"/>
      <c r="R764" s="1"/>
      <c r="S764" s="1"/>
      <c r="T764" s="1"/>
      <c r="U764" s="1"/>
      <c r="V764" s="1"/>
      <c r="W764" s="1"/>
      <c r="X764" s="1"/>
    </row>
    <row r="765">
      <c r="A765" s="2"/>
      <c r="B765" s="2"/>
      <c r="C765" s="88"/>
      <c r="D765" s="89"/>
      <c r="E765" s="4"/>
      <c r="F765" s="91"/>
      <c r="G765" s="91"/>
      <c r="H765" s="4"/>
      <c r="I765" s="98"/>
      <c r="J765" s="2"/>
      <c r="K765" s="1"/>
      <c r="L765" s="1"/>
      <c r="M765" s="1"/>
      <c r="N765" s="1"/>
      <c r="O765" s="1"/>
      <c r="P765" s="1"/>
      <c r="Q765" s="1"/>
      <c r="R765" s="1"/>
      <c r="S765" s="1"/>
      <c r="T765" s="1"/>
      <c r="U765" s="1"/>
      <c r="V765" s="1"/>
      <c r="W765" s="1"/>
      <c r="X765" s="1"/>
    </row>
    <row r="766">
      <c r="A766" s="2"/>
      <c r="B766" s="2"/>
      <c r="C766" s="88"/>
      <c r="D766" s="89"/>
      <c r="E766" s="4"/>
      <c r="F766" s="91"/>
      <c r="G766" s="91"/>
      <c r="H766" s="4"/>
      <c r="I766" s="98"/>
      <c r="J766" s="2"/>
      <c r="K766" s="1"/>
      <c r="L766" s="1"/>
      <c r="M766" s="1"/>
      <c r="N766" s="1"/>
      <c r="O766" s="1"/>
      <c r="P766" s="1"/>
      <c r="Q766" s="1"/>
      <c r="R766" s="1"/>
      <c r="S766" s="1"/>
      <c r="T766" s="1"/>
      <c r="U766" s="1"/>
      <c r="V766" s="1"/>
      <c r="W766" s="1"/>
      <c r="X766" s="1"/>
    </row>
    <row r="767">
      <c r="A767" s="2"/>
      <c r="B767" s="2"/>
      <c r="C767" s="88"/>
      <c r="D767" s="89"/>
      <c r="E767" s="4"/>
      <c r="F767" s="91"/>
      <c r="G767" s="91"/>
      <c r="H767" s="4"/>
      <c r="I767" s="98"/>
      <c r="J767" s="2"/>
      <c r="K767" s="1"/>
      <c r="L767" s="1"/>
      <c r="M767" s="1"/>
      <c r="N767" s="1"/>
      <c r="O767" s="1"/>
      <c r="P767" s="1"/>
      <c r="Q767" s="1"/>
      <c r="R767" s="1"/>
      <c r="S767" s="1"/>
      <c r="T767" s="1"/>
      <c r="U767" s="1"/>
      <c r="V767" s="1"/>
      <c r="W767" s="1"/>
      <c r="X767" s="1"/>
    </row>
    <row r="768">
      <c r="A768" s="2"/>
      <c r="B768" s="2"/>
      <c r="C768" s="88"/>
      <c r="D768" s="89"/>
      <c r="E768" s="4"/>
      <c r="F768" s="91"/>
      <c r="G768" s="91"/>
      <c r="H768" s="4"/>
      <c r="I768" s="98"/>
      <c r="J768" s="2"/>
      <c r="K768" s="1"/>
      <c r="L768" s="1"/>
      <c r="M768" s="1"/>
      <c r="N768" s="1"/>
      <c r="O768" s="1"/>
      <c r="P768" s="1"/>
      <c r="Q768" s="1"/>
      <c r="R768" s="1"/>
      <c r="S768" s="1"/>
      <c r="T768" s="1"/>
      <c r="U768" s="1"/>
      <c r="V768" s="1"/>
      <c r="W768" s="1"/>
      <c r="X768" s="1"/>
    </row>
    <row r="769">
      <c r="A769" s="2"/>
      <c r="B769" s="2"/>
      <c r="C769" s="88"/>
      <c r="D769" s="89"/>
      <c r="E769" s="4"/>
      <c r="F769" s="91"/>
      <c r="G769" s="91"/>
      <c r="H769" s="4"/>
      <c r="I769" s="98"/>
      <c r="J769" s="2"/>
      <c r="K769" s="1"/>
      <c r="L769" s="1"/>
      <c r="M769" s="1"/>
      <c r="N769" s="1"/>
      <c r="O769" s="1"/>
      <c r="P769" s="1"/>
      <c r="Q769" s="1"/>
      <c r="R769" s="1"/>
      <c r="S769" s="1"/>
      <c r="T769" s="1"/>
      <c r="U769" s="1"/>
      <c r="V769" s="1"/>
      <c r="W769" s="1"/>
      <c r="X769" s="1"/>
    </row>
    <row r="770">
      <c r="A770" s="2"/>
      <c r="B770" s="2"/>
      <c r="C770" s="88"/>
      <c r="D770" s="89"/>
      <c r="E770" s="4"/>
      <c r="F770" s="91"/>
      <c r="G770" s="91"/>
      <c r="H770" s="4"/>
      <c r="I770" s="98"/>
      <c r="J770" s="2"/>
      <c r="K770" s="1"/>
      <c r="L770" s="1"/>
      <c r="M770" s="1"/>
      <c r="N770" s="1"/>
      <c r="O770" s="1"/>
      <c r="P770" s="1"/>
      <c r="Q770" s="1"/>
      <c r="R770" s="1"/>
      <c r="S770" s="1"/>
      <c r="T770" s="1"/>
      <c r="U770" s="1"/>
      <c r="V770" s="1"/>
      <c r="W770" s="1"/>
      <c r="X770" s="1"/>
    </row>
    <row r="771">
      <c r="A771" s="2"/>
      <c r="B771" s="2"/>
      <c r="C771" s="88"/>
      <c r="D771" s="89"/>
      <c r="E771" s="4"/>
      <c r="F771" s="91"/>
      <c r="G771" s="91"/>
      <c r="H771" s="4"/>
      <c r="I771" s="98"/>
      <c r="J771" s="2"/>
      <c r="K771" s="1"/>
      <c r="L771" s="1"/>
      <c r="M771" s="1"/>
      <c r="N771" s="1"/>
      <c r="O771" s="1"/>
      <c r="P771" s="1"/>
      <c r="Q771" s="1"/>
      <c r="R771" s="1"/>
      <c r="S771" s="1"/>
      <c r="T771" s="1"/>
      <c r="U771" s="1"/>
      <c r="V771" s="1"/>
      <c r="W771" s="1"/>
      <c r="X771" s="1"/>
    </row>
    <row r="772">
      <c r="A772" s="2"/>
      <c r="B772" s="2"/>
      <c r="C772" s="88"/>
      <c r="D772" s="89"/>
      <c r="E772" s="4"/>
      <c r="F772" s="91"/>
      <c r="G772" s="91"/>
      <c r="H772" s="4"/>
      <c r="I772" s="98"/>
      <c r="J772" s="2"/>
      <c r="K772" s="1"/>
      <c r="L772" s="1"/>
      <c r="M772" s="1"/>
      <c r="N772" s="1"/>
      <c r="O772" s="1"/>
      <c r="P772" s="1"/>
      <c r="Q772" s="1"/>
      <c r="R772" s="1"/>
      <c r="S772" s="1"/>
      <c r="T772" s="1"/>
      <c r="U772" s="1"/>
      <c r="V772" s="1"/>
      <c r="W772" s="1"/>
      <c r="X772" s="1"/>
    </row>
    <row r="773">
      <c r="A773" s="2"/>
      <c r="B773" s="2"/>
      <c r="C773" s="88"/>
      <c r="D773" s="89"/>
      <c r="E773" s="4"/>
      <c r="F773" s="91"/>
      <c r="G773" s="91"/>
      <c r="H773" s="4"/>
      <c r="I773" s="98"/>
      <c r="J773" s="2"/>
      <c r="K773" s="1"/>
      <c r="L773" s="1"/>
      <c r="M773" s="1"/>
      <c r="N773" s="1"/>
      <c r="O773" s="1"/>
      <c r="P773" s="1"/>
      <c r="Q773" s="1"/>
      <c r="R773" s="1"/>
      <c r="S773" s="1"/>
      <c r="T773" s="1"/>
      <c r="U773" s="1"/>
      <c r="V773" s="1"/>
      <c r="W773" s="1"/>
      <c r="X773" s="1"/>
    </row>
    <row r="774">
      <c r="A774" s="2"/>
      <c r="B774" s="2"/>
      <c r="C774" s="88"/>
      <c r="D774" s="89"/>
      <c r="E774" s="4"/>
      <c r="F774" s="91"/>
      <c r="G774" s="91"/>
      <c r="H774" s="4"/>
      <c r="I774" s="98"/>
      <c r="J774" s="2"/>
      <c r="K774" s="1"/>
      <c r="L774" s="1"/>
      <c r="M774" s="1"/>
      <c r="N774" s="1"/>
      <c r="O774" s="1"/>
      <c r="P774" s="1"/>
      <c r="Q774" s="1"/>
      <c r="R774" s="1"/>
      <c r="S774" s="1"/>
      <c r="T774" s="1"/>
      <c r="U774" s="1"/>
      <c r="V774" s="1"/>
      <c r="W774" s="1"/>
      <c r="X774" s="1"/>
    </row>
    <row r="775">
      <c r="A775" s="2"/>
      <c r="B775" s="2"/>
      <c r="C775" s="88"/>
      <c r="D775" s="89"/>
      <c r="E775" s="4"/>
      <c r="F775" s="91"/>
      <c r="G775" s="91"/>
      <c r="H775" s="4"/>
      <c r="I775" s="98"/>
      <c r="J775" s="2"/>
      <c r="K775" s="1"/>
      <c r="L775" s="1"/>
      <c r="M775" s="1"/>
      <c r="N775" s="1"/>
      <c r="O775" s="1"/>
      <c r="P775" s="1"/>
      <c r="Q775" s="1"/>
      <c r="R775" s="1"/>
      <c r="S775" s="1"/>
      <c r="T775" s="1"/>
      <c r="U775" s="1"/>
      <c r="V775" s="1"/>
      <c r="W775" s="1"/>
      <c r="X775" s="1"/>
    </row>
    <row r="776">
      <c r="A776" s="2"/>
      <c r="B776" s="2"/>
      <c r="C776" s="88"/>
      <c r="D776" s="89"/>
      <c r="E776" s="4"/>
      <c r="F776" s="91"/>
      <c r="G776" s="91"/>
      <c r="H776" s="4"/>
      <c r="I776" s="98"/>
      <c r="J776" s="2"/>
      <c r="K776" s="1"/>
      <c r="L776" s="1"/>
      <c r="M776" s="1"/>
      <c r="N776" s="1"/>
      <c r="O776" s="1"/>
      <c r="P776" s="1"/>
      <c r="Q776" s="1"/>
      <c r="R776" s="1"/>
      <c r="S776" s="1"/>
      <c r="T776" s="1"/>
      <c r="U776" s="1"/>
      <c r="V776" s="1"/>
      <c r="W776" s="1"/>
      <c r="X776" s="1"/>
    </row>
    <row r="777">
      <c r="A777" s="2"/>
      <c r="B777" s="2"/>
      <c r="C777" s="88"/>
      <c r="D777" s="89"/>
      <c r="E777" s="4"/>
      <c r="F777" s="91"/>
      <c r="G777" s="91"/>
      <c r="H777" s="4"/>
      <c r="I777" s="98"/>
      <c r="J777" s="2"/>
      <c r="K777" s="1"/>
      <c r="L777" s="1"/>
      <c r="M777" s="1"/>
      <c r="N777" s="1"/>
      <c r="O777" s="1"/>
      <c r="P777" s="1"/>
      <c r="Q777" s="1"/>
      <c r="R777" s="1"/>
      <c r="S777" s="1"/>
      <c r="T777" s="1"/>
      <c r="U777" s="1"/>
      <c r="V777" s="1"/>
      <c r="W777" s="1"/>
      <c r="X777" s="1"/>
    </row>
    <row r="778">
      <c r="A778" s="2"/>
      <c r="B778" s="2"/>
      <c r="C778" s="88"/>
      <c r="D778" s="89"/>
      <c r="E778" s="4"/>
      <c r="F778" s="91"/>
      <c r="G778" s="91"/>
      <c r="H778" s="4"/>
      <c r="I778" s="98"/>
      <c r="J778" s="2"/>
      <c r="K778" s="1"/>
      <c r="L778" s="1"/>
      <c r="M778" s="1"/>
      <c r="N778" s="1"/>
      <c r="O778" s="1"/>
      <c r="P778" s="1"/>
      <c r="Q778" s="1"/>
      <c r="R778" s="1"/>
      <c r="S778" s="1"/>
      <c r="T778" s="1"/>
      <c r="U778" s="1"/>
      <c r="V778" s="1"/>
      <c r="W778" s="1"/>
      <c r="X778" s="1"/>
    </row>
    <row r="779">
      <c r="A779" s="2"/>
      <c r="B779" s="2"/>
      <c r="C779" s="88"/>
      <c r="D779" s="89"/>
      <c r="E779" s="4"/>
      <c r="F779" s="91"/>
      <c r="G779" s="91"/>
      <c r="H779" s="4"/>
      <c r="I779" s="98"/>
      <c r="J779" s="2"/>
      <c r="K779" s="1"/>
      <c r="L779" s="1"/>
      <c r="M779" s="1"/>
      <c r="N779" s="1"/>
      <c r="O779" s="1"/>
      <c r="P779" s="1"/>
      <c r="Q779" s="1"/>
      <c r="R779" s="1"/>
      <c r="S779" s="1"/>
      <c r="T779" s="1"/>
      <c r="U779" s="1"/>
      <c r="V779" s="1"/>
      <c r="W779" s="1"/>
      <c r="X779" s="1"/>
    </row>
    <row r="780">
      <c r="A780" s="2"/>
      <c r="B780" s="2"/>
      <c r="C780" s="88"/>
      <c r="D780" s="89"/>
      <c r="E780" s="4"/>
      <c r="F780" s="91"/>
      <c r="G780" s="91"/>
      <c r="H780" s="4"/>
      <c r="I780" s="98"/>
      <c r="J780" s="2"/>
      <c r="K780" s="1"/>
      <c r="L780" s="1"/>
      <c r="M780" s="1"/>
      <c r="N780" s="1"/>
      <c r="O780" s="1"/>
      <c r="P780" s="1"/>
      <c r="Q780" s="1"/>
      <c r="R780" s="1"/>
      <c r="S780" s="1"/>
      <c r="T780" s="1"/>
      <c r="U780" s="1"/>
      <c r="V780" s="1"/>
      <c r="W780" s="1"/>
      <c r="X780" s="1"/>
    </row>
    <row r="781">
      <c r="A781" s="2"/>
      <c r="B781" s="2"/>
      <c r="C781" s="88"/>
      <c r="D781" s="89"/>
      <c r="E781" s="4"/>
      <c r="F781" s="91"/>
      <c r="G781" s="91"/>
      <c r="H781" s="4"/>
      <c r="I781" s="98"/>
      <c r="J781" s="2"/>
      <c r="K781" s="1"/>
      <c r="L781" s="1"/>
      <c r="M781" s="1"/>
      <c r="N781" s="1"/>
      <c r="O781" s="1"/>
      <c r="P781" s="1"/>
      <c r="Q781" s="1"/>
      <c r="R781" s="1"/>
      <c r="S781" s="1"/>
      <c r="T781" s="1"/>
      <c r="U781" s="1"/>
      <c r="V781" s="1"/>
      <c r="W781" s="1"/>
      <c r="X781" s="1"/>
    </row>
    <row r="782">
      <c r="A782" s="2"/>
      <c r="B782" s="2"/>
      <c r="C782" s="88"/>
      <c r="D782" s="89"/>
      <c r="E782" s="4"/>
      <c r="F782" s="91"/>
      <c r="G782" s="91"/>
      <c r="H782" s="4"/>
      <c r="I782" s="98"/>
      <c r="J782" s="2"/>
      <c r="K782" s="1"/>
      <c r="L782" s="1"/>
      <c r="M782" s="1"/>
      <c r="N782" s="1"/>
      <c r="O782" s="1"/>
      <c r="P782" s="1"/>
      <c r="Q782" s="1"/>
      <c r="R782" s="1"/>
      <c r="S782" s="1"/>
      <c r="T782" s="1"/>
      <c r="U782" s="1"/>
      <c r="V782" s="1"/>
      <c r="W782" s="1"/>
      <c r="X782" s="1"/>
    </row>
    <row r="783">
      <c r="A783" s="2"/>
      <c r="B783" s="2"/>
      <c r="C783" s="88"/>
      <c r="D783" s="89"/>
      <c r="E783" s="4"/>
      <c r="F783" s="91"/>
      <c r="G783" s="91"/>
      <c r="H783" s="4"/>
      <c r="I783" s="98"/>
      <c r="J783" s="2"/>
      <c r="K783" s="1"/>
      <c r="L783" s="1"/>
      <c r="M783" s="1"/>
      <c r="N783" s="1"/>
      <c r="O783" s="1"/>
      <c r="P783" s="1"/>
      <c r="Q783" s="1"/>
      <c r="R783" s="1"/>
      <c r="S783" s="1"/>
      <c r="T783" s="1"/>
      <c r="U783" s="1"/>
      <c r="V783" s="1"/>
      <c r="W783" s="1"/>
      <c r="X783" s="1"/>
    </row>
    <row r="784">
      <c r="A784" s="2"/>
      <c r="B784" s="2"/>
      <c r="C784" s="88"/>
      <c r="D784" s="89"/>
      <c r="E784" s="4"/>
      <c r="F784" s="91"/>
      <c r="G784" s="91"/>
      <c r="H784" s="4"/>
      <c r="I784" s="98"/>
      <c r="J784" s="2"/>
      <c r="K784" s="1"/>
      <c r="L784" s="1"/>
      <c r="M784" s="1"/>
      <c r="N784" s="1"/>
      <c r="O784" s="1"/>
      <c r="P784" s="1"/>
      <c r="Q784" s="1"/>
      <c r="R784" s="1"/>
      <c r="S784" s="1"/>
      <c r="T784" s="1"/>
      <c r="U784" s="1"/>
      <c r="V784" s="1"/>
      <c r="W784" s="1"/>
      <c r="X784" s="1"/>
    </row>
    <row r="785">
      <c r="A785" s="2"/>
      <c r="B785" s="2"/>
      <c r="C785" s="88"/>
      <c r="D785" s="89"/>
      <c r="E785" s="4"/>
      <c r="F785" s="91"/>
      <c r="G785" s="91"/>
      <c r="H785" s="4"/>
      <c r="I785" s="98"/>
      <c r="J785" s="2"/>
      <c r="K785" s="1"/>
      <c r="L785" s="1"/>
      <c r="M785" s="1"/>
      <c r="N785" s="1"/>
      <c r="O785" s="1"/>
      <c r="P785" s="1"/>
      <c r="Q785" s="1"/>
      <c r="R785" s="1"/>
      <c r="S785" s="1"/>
      <c r="T785" s="1"/>
      <c r="U785" s="1"/>
      <c r="V785" s="1"/>
      <c r="W785" s="1"/>
      <c r="X785" s="1"/>
    </row>
    <row r="786">
      <c r="A786" s="2"/>
      <c r="B786" s="2"/>
      <c r="C786" s="88"/>
      <c r="D786" s="89"/>
      <c r="E786" s="4"/>
      <c r="F786" s="91"/>
      <c r="G786" s="91"/>
      <c r="H786" s="4"/>
      <c r="I786" s="98"/>
      <c r="J786" s="2"/>
      <c r="K786" s="1"/>
      <c r="L786" s="1"/>
      <c r="M786" s="1"/>
      <c r="N786" s="1"/>
      <c r="O786" s="1"/>
      <c r="P786" s="1"/>
      <c r="Q786" s="1"/>
      <c r="R786" s="1"/>
      <c r="S786" s="1"/>
      <c r="T786" s="1"/>
      <c r="U786" s="1"/>
      <c r="V786" s="1"/>
      <c r="W786" s="1"/>
      <c r="X786" s="1"/>
    </row>
    <row r="787">
      <c r="A787" s="2"/>
      <c r="B787" s="2"/>
      <c r="C787" s="88"/>
      <c r="D787" s="89"/>
      <c r="E787" s="4"/>
      <c r="F787" s="91"/>
      <c r="G787" s="91"/>
      <c r="H787" s="4"/>
      <c r="I787" s="98"/>
      <c r="J787" s="2"/>
      <c r="K787" s="1"/>
      <c r="L787" s="1"/>
      <c r="M787" s="1"/>
      <c r="N787" s="1"/>
      <c r="O787" s="1"/>
      <c r="P787" s="1"/>
      <c r="Q787" s="1"/>
      <c r="R787" s="1"/>
      <c r="S787" s="1"/>
      <c r="T787" s="1"/>
      <c r="U787" s="1"/>
      <c r="V787" s="1"/>
      <c r="W787" s="1"/>
      <c r="X787" s="1"/>
    </row>
    <row r="788">
      <c r="A788" s="2"/>
      <c r="B788" s="2"/>
      <c r="C788" s="88"/>
      <c r="D788" s="89"/>
      <c r="E788" s="4"/>
      <c r="F788" s="91"/>
      <c r="G788" s="91"/>
      <c r="H788" s="4"/>
      <c r="I788" s="98"/>
      <c r="J788" s="2"/>
      <c r="K788" s="1"/>
      <c r="L788" s="1"/>
      <c r="M788" s="1"/>
      <c r="N788" s="1"/>
      <c r="O788" s="1"/>
      <c r="P788" s="1"/>
      <c r="Q788" s="1"/>
      <c r="R788" s="1"/>
      <c r="S788" s="1"/>
      <c r="T788" s="1"/>
      <c r="U788" s="1"/>
      <c r="V788" s="1"/>
      <c r="W788" s="1"/>
      <c r="X788" s="1"/>
    </row>
    <row r="789">
      <c r="A789" s="2"/>
      <c r="B789" s="2"/>
      <c r="C789" s="88"/>
      <c r="D789" s="89"/>
      <c r="E789" s="4"/>
      <c r="F789" s="91"/>
      <c r="G789" s="91"/>
      <c r="H789" s="4"/>
      <c r="I789" s="98"/>
      <c r="J789" s="2"/>
      <c r="K789" s="1"/>
      <c r="L789" s="1"/>
      <c r="M789" s="1"/>
      <c r="N789" s="1"/>
      <c r="O789" s="1"/>
      <c r="P789" s="1"/>
      <c r="Q789" s="1"/>
      <c r="R789" s="1"/>
      <c r="S789" s="1"/>
      <c r="T789" s="1"/>
      <c r="U789" s="1"/>
      <c r="V789" s="1"/>
      <c r="W789" s="1"/>
      <c r="X789" s="1"/>
    </row>
    <row r="790">
      <c r="A790" s="2"/>
      <c r="B790" s="2"/>
      <c r="C790" s="88"/>
      <c r="D790" s="89"/>
      <c r="E790" s="4"/>
      <c r="F790" s="91"/>
      <c r="G790" s="91"/>
      <c r="H790" s="4"/>
      <c r="I790" s="98"/>
      <c r="J790" s="2"/>
      <c r="K790" s="1"/>
      <c r="L790" s="1"/>
      <c r="M790" s="1"/>
      <c r="N790" s="1"/>
      <c r="O790" s="1"/>
      <c r="P790" s="1"/>
      <c r="Q790" s="1"/>
      <c r="R790" s="1"/>
      <c r="S790" s="1"/>
      <c r="T790" s="1"/>
      <c r="U790" s="1"/>
      <c r="V790" s="1"/>
      <c r="W790" s="1"/>
      <c r="X790" s="1"/>
    </row>
    <row r="791">
      <c r="A791" s="2"/>
      <c r="B791" s="2"/>
      <c r="C791" s="88"/>
      <c r="D791" s="89"/>
      <c r="E791" s="4"/>
      <c r="F791" s="91"/>
      <c r="G791" s="91"/>
      <c r="H791" s="4"/>
      <c r="I791" s="98"/>
      <c r="J791" s="2"/>
      <c r="K791" s="1"/>
      <c r="L791" s="1"/>
      <c r="M791" s="1"/>
      <c r="N791" s="1"/>
      <c r="O791" s="1"/>
      <c r="P791" s="1"/>
      <c r="Q791" s="1"/>
      <c r="R791" s="1"/>
      <c r="S791" s="1"/>
      <c r="T791" s="1"/>
      <c r="U791" s="1"/>
      <c r="V791" s="1"/>
      <c r="W791" s="1"/>
      <c r="X791" s="1"/>
    </row>
    <row r="792">
      <c r="A792" s="2"/>
      <c r="B792" s="2"/>
      <c r="C792" s="88"/>
      <c r="D792" s="89"/>
      <c r="E792" s="4"/>
      <c r="F792" s="91"/>
      <c r="G792" s="91"/>
      <c r="H792" s="4"/>
      <c r="I792" s="98"/>
      <c r="J792" s="2"/>
      <c r="K792" s="1"/>
      <c r="L792" s="1"/>
      <c r="M792" s="1"/>
      <c r="N792" s="1"/>
      <c r="O792" s="1"/>
      <c r="P792" s="1"/>
      <c r="Q792" s="1"/>
      <c r="R792" s="1"/>
      <c r="S792" s="1"/>
      <c r="T792" s="1"/>
      <c r="U792" s="1"/>
      <c r="V792" s="1"/>
      <c r="W792" s="1"/>
      <c r="X792" s="1"/>
    </row>
    <row r="793">
      <c r="A793" s="2"/>
      <c r="B793" s="2"/>
      <c r="C793" s="88"/>
      <c r="D793" s="89"/>
      <c r="E793" s="4"/>
      <c r="F793" s="91"/>
      <c r="G793" s="91"/>
      <c r="H793" s="4"/>
      <c r="I793" s="98"/>
      <c r="J793" s="2"/>
      <c r="K793" s="1"/>
      <c r="L793" s="1"/>
      <c r="M793" s="1"/>
      <c r="N793" s="1"/>
      <c r="O793" s="1"/>
      <c r="P793" s="1"/>
      <c r="Q793" s="1"/>
      <c r="R793" s="1"/>
      <c r="S793" s="1"/>
      <c r="T793" s="1"/>
      <c r="U793" s="1"/>
      <c r="V793" s="1"/>
      <c r="W793" s="1"/>
      <c r="X793" s="1"/>
    </row>
    <row r="794">
      <c r="A794" s="2"/>
      <c r="B794" s="2"/>
      <c r="C794" s="88"/>
      <c r="D794" s="89"/>
      <c r="E794" s="4"/>
      <c r="F794" s="91"/>
      <c r="G794" s="91"/>
      <c r="H794" s="4"/>
      <c r="I794" s="98"/>
      <c r="J794" s="2"/>
      <c r="K794" s="1"/>
      <c r="L794" s="1"/>
      <c r="M794" s="1"/>
      <c r="N794" s="1"/>
      <c r="O794" s="1"/>
      <c r="P794" s="1"/>
      <c r="Q794" s="1"/>
      <c r="R794" s="1"/>
      <c r="S794" s="1"/>
      <c r="T794" s="1"/>
      <c r="U794" s="1"/>
      <c r="V794" s="1"/>
      <c r="W794" s="1"/>
      <c r="X794" s="1"/>
    </row>
    <row r="795">
      <c r="A795" s="2"/>
      <c r="B795" s="2"/>
      <c r="C795" s="88"/>
      <c r="D795" s="89"/>
      <c r="E795" s="4"/>
      <c r="F795" s="91"/>
      <c r="G795" s="91"/>
      <c r="H795" s="4"/>
      <c r="I795" s="98"/>
      <c r="J795" s="2"/>
      <c r="K795" s="1"/>
      <c r="L795" s="1"/>
      <c r="M795" s="1"/>
      <c r="N795" s="1"/>
      <c r="O795" s="1"/>
      <c r="P795" s="1"/>
      <c r="Q795" s="1"/>
      <c r="R795" s="1"/>
      <c r="S795" s="1"/>
      <c r="T795" s="1"/>
      <c r="U795" s="1"/>
      <c r="V795" s="1"/>
      <c r="W795" s="1"/>
      <c r="X795" s="1"/>
    </row>
    <row r="796">
      <c r="A796" s="2"/>
      <c r="B796" s="2"/>
      <c r="C796" s="88"/>
      <c r="D796" s="89"/>
      <c r="E796" s="4"/>
      <c r="F796" s="91"/>
      <c r="G796" s="91"/>
      <c r="H796" s="4"/>
      <c r="I796" s="98"/>
      <c r="J796" s="2"/>
      <c r="K796" s="1"/>
      <c r="L796" s="1"/>
      <c r="M796" s="1"/>
      <c r="N796" s="1"/>
      <c r="O796" s="1"/>
      <c r="P796" s="1"/>
      <c r="Q796" s="1"/>
      <c r="R796" s="1"/>
      <c r="S796" s="1"/>
      <c r="T796" s="1"/>
      <c r="U796" s="1"/>
      <c r="V796" s="1"/>
      <c r="W796" s="1"/>
      <c r="X796" s="1"/>
    </row>
    <row r="797">
      <c r="A797" s="2"/>
      <c r="B797" s="2"/>
      <c r="C797" s="88"/>
      <c r="D797" s="89"/>
      <c r="E797" s="4"/>
      <c r="F797" s="91"/>
      <c r="G797" s="91"/>
      <c r="H797" s="4"/>
      <c r="I797" s="98"/>
      <c r="J797" s="2"/>
      <c r="K797" s="1"/>
      <c r="L797" s="1"/>
      <c r="M797" s="1"/>
      <c r="N797" s="1"/>
      <c r="O797" s="1"/>
      <c r="P797" s="1"/>
      <c r="Q797" s="1"/>
      <c r="R797" s="1"/>
      <c r="S797" s="1"/>
      <c r="T797" s="1"/>
      <c r="U797" s="1"/>
      <c r="V797" s="1"/>
      <c r="W797" s="1"/>
      <c r="X797" s="1"/>
    </row>
    <row r="798">
      <c r="A798" s="2"/>
      <c r="B798" s="2"/>
      <c r="C798" s="88"/>
      <c r="D798" s="89"/>
      <c r="E798" s="4"/>
      <c r="F798" s="91"/>
      <c r="G798" s="91"/>
      <c r="H798" s="4"/>
      <c r="I798" s="98"/>
      <c r="J798" s="2"/>
      <c r="K798" s="1"/>
      <c r="L798" s="1"/>
      <c r="M798" s="1"/>
      <c r="N798" s="1"/>
      <c r="O798" s="1"/>
      <c r="P798" s="1"/>
      <c r="Q798" s="1"/>
      <c r="R798" s="1"/>
      <c r="S798" s="1"/>
      <c r="T798" s="1"/>
      <c r="U798" s="1"/>
      <c r="V798" s="1"/>
      <c r="W798" s="1"/>
      <c r="X798" s="1"/>
    </row>
    <row r="799">
      <c r="A799" s="2"/>
      <c r="B799" s="2"/>
      <c r="C799" s="88"/>
      <c r="D799" s="89"/>
      <c r="E799" s="4"/>
      <c r="F799" s="91"/>
      <c r="G799" s="91"/>
      <c r="H799" s="4"/>
      <c r="I799" s="98"/>
      <c r="J799" s="2"/>
      <c r="K799" s="1"/>
      <c r="L799" s="1"/>
      <c r="M799" s="1"/>
      <c r="N799" s="1"/>
      <c r="O799" s="1"/>
      <c r="P799" s="1"/>
      <c r="Q799" s="1"/>
      <c r="R799" s="1"/>
      <c r="S799" s="1"/>
      <c r="T799" s="1"/>
      <c r="U799" s="1"/>
      <c r="V799" s="1"/>
      <c r="W799" s="1"/>
      <c r="X799" s="1"/>
    </row>
    <row r="800">
      <c r="A800" s="2"/>
      <c r="B800" s="2"/>
      <c r="C800" s="88"/>
      <c r="D800" s="89"/>
      <c r="E800" s="4"/>
      <c r="F800" s="91"/>
      <c r="G800" s="91"/>
      <c r="H800" s="4"/>
      <c r="I800" s="98"/>
      <c r="J800" s="2"/>
      <c r="K800" s="1"/>
      <c r="L800" s="1"/>
      <c r="M800" s="1"/>
      <c r="N800" s="1"/>
      <c r="O800" s="1"/>
      <c r="P800" s="1"/>
      <c r="Q800" s="1"/>
      <c r="R800" s="1"/>
      <c r="S800" s="1"/>
      <c r="T800" s="1"/>
      <c r="U800" s="1"/>
      <c r="V800" s="1"/>
      <c r="W800" s="1"/>
      <c r="X800" s="1"/>
    </row>
    <row r="801">
      <c r="A801" s="2"/>
      <c r="B801" s="2"/>
      <c r="C801" s="88"/>
      <c r="D801" s="89"/>
      <c r="E801" s="4"/>
      <c r="F801" s="91"/>
      <c r="G801" s="91"/>
      <c r="H801" s="4"/>
      <c r="I801" s="98"/>
      <c r="J801" s="2"/>
      <c r="K801" s="1"/>
      <c r="L801" s="1"/>
      <c r="M801" s="1"/>
      <c r="N801" s="1"/>
      <c r="O801" s="1"/>
      <c r="P801" s="1"/>
      <c r="Q801" s="1"/>
      <c r="R801" s="1"/>
      <c r="S801" s="1"/>
      <c r="T801" s="1"/>
      <c r="U801" s="1"/>
      <c r="V801" s="1"/>
      <c r="W801" s="1"/>
      <c r="X801" s="1"/>
    </row>
    <row r="802">
      <c r="A802" s="2"/>
      <c r="B802" s="2"/>
      <c r="C802" s="88"/>
      <c r="D802" s="89"/>
      <c r="E802" s="4"/>
      <c r="F802" s="91"/>
      <c r="G802" s="91"/>
      <c r="H802" s="4"/>
      <c r="I802" s="98"/>
      <c r="J802" s="2"/>
      <c r="K802" s="1"/>
      <c r="L802" s="1"/>
      <c r="M802" s="1"/>
      <c r="N802" s="1"/>
      <c r="O802" s="1"/>
      <c r="P802" s="1"/>
      <c r="Q802" s="1"/>
      <c r="R802" s="1"/>
      <c r="S802" s="1"/>
      <c r="T802" s="1"/>
      <c r="U802" s="1"/>
      <c r="V802" s="1"/>
      <c r="W802" s="1"/>
      <c r="X802" s="1"/>
    </row>
    <row r="803">
      <c r="A803" s="2"/>
      <c r="B803" s="2"/>
      <c r="C803" s="88"/>
      <c r="D803" s="89"/>
      <c r="E803" s="4"/>
      <c r="F803" s="91"/>
      <c r="G803" s="91"/>
      <c r="H803" s="4"/>
      <c r="I803" s="98"/>
      <c r="J803" s="2"/>
      <c r="K803" s="1"/>
      <c r="L803" s="1"/>
      <c r="M803" s="1"/>
      <c r="N803" s="1"/>
      <c r="O803" s="1"/>
      <c r="P803" s="1"/>
      <c r="Q803" s="1"/>
      <c r="R803" s="1"/>
      <c r="S803" s="1"/>
      <c r="T803" s="1"/>
      <c r="U803" s="1"/>
      <c r="V803" s="1"/>
      <c r="W803" s="1"/>
      <c r="X803" s="1"/>
    </row>
    <row r="804">
      <c r="A804" s="2"/>
      <c r="B804" s="2"/>
      <c r="C804" s="88"/>
      <c r="D804" s="89"/>
      <c r="E804" s="4"/>
      <c r="F804" s="91"/>
      <c r="G804" s="91"/>
      <c r="H804" s="4"/>
      <c r="I804" s="98"/>
      <c r="J804" s="2"/>
      <c r="K804" s="1"/>
      <c r="L804" s="1"/>
      <c r="M804" s="1"/>
      <c r="N804" s="1"/>
      <c r="O804" s="1"/>
      <c r="P804" s="1"/>
      <c r="Q804" s="1"/>
      <c r="R804" s="1"/>
      <c r="S804" s="1"/>
      <c r="T804" s="1"/>
      <c r="U804" s="1"/>
      <c r="V804" s="1"/>
      <c r="W804" s="1"/>
      <c r="X804" s="1"/>
    </row>
    <row r="805">
      <c r="A805" s="2"/>
      <c r="B805" s="2"/>
      <c r="C805" s="88"/>
      <c r="D805" s="89"/>
      <c r="E805" s="4"/>
      <c r="F805" s="91"/>
      <c r="G805" s="91"/>
      <c r="H805" s="4"/>
      <c r="I805" s="98"/>
      <c r="J805" s="2"/>
      <c r="K805" s="1"/>
      <c r="L805" s="1"/>
      <c r="M805" s="1"/>
      <c r="N805" s="1"/>
      <c r="O805" s="1"/>
      <c r="P805" s="1"/>
      <c r="Q805" s="1"/>
      <c r="R805" s="1"/>
      <c r="S805" s="1"/>
      <c r="T805" s="1"/>
      <c r="U805" s="1"/>
      <c r="V805" s="1"/>
      <c r="W805" s="1"/>
      <c r="X805" s="1"/>
    </row>
    <row r="806">
      <c r="A806" s="2"/>
      <c r="B806" s="2"/>
      <c r="C806" s="88"/>
      <c r="D806" s="89"/>
      <c r="E806" s="4"/>
      <c r="F806" s="91"/>
      <c r="G806" s="91"/>
      <c r="H806" s="4"/>
      <c r="I806" s="98"/>
      <c r="J806" s="2"/>
      <c r="K806" s="1"/>
      <c r="L806" s="1"/>
      <c r="M806" s="1"/>
      <c r="N806" s="1"/>
      <c r="O806" s="1"/>
      <c r="P806" s="1"/>
      <c r="Q806" s="1"/>
      <c r="R806" s="1"/>
      <c r="S806" s="1"/>
      <c r="T806" s="1"/>
      <c r="U806" s="1"/>
      <c r="V806" s="1"/>
      <c r="W806" s="1"/>
      <c r="X806" s="1"/>
    </row>
    <row r="807">
      <c r="A807" s="2"/>
      <c r="B807" s="2"/>
      <c r="C807" s="88"/>
      <c r="D807" s="89"/>
      <c r="E807" s="4"/>
      <c r="F807" s="91"/>
      <c r="G807" s="91"/>
      <c r="H807" s="4"/>
      <c r="I807" s="98"/>
      <c r="J807" s="2"/>
      <c r="K807" s="1"/>
      <c r="L807" s="1"/>
      <c r="M807" s="1"/>
      <c r="N807" s="1"/>
      <c r="O807" s="1"/>
      <c r="P807" s="1"/>
      <c r="Q807" s="1"/>
      <c r="R807" s="1"/>
      <c r="S807" s="1"/>
      <c r="T807" s="1"/>
      <c r="U807" s="1"/>
      <c r="V807" s="1"/>
      <c r="W807" s="1"/>
      <c r="X807" s="1"/>
    </row>
    <row r="808">
      <c r="A808" s="2"/>
      <c r="B808" s="2"/>
      <c r="C808" s="88"/>
      <c r="D808" s="89"/>
      <c r="E808" s="4"/>
      <c r="F808" s="91"/>
      <c r="G808" s="91"/>
      <c r="H808" s="4"/>
      <c r="I808" s="98"/>
      <c r="J808" s="2"/>
      <c r="K808" s="1"/>
      <c r="L808" s="1"/>
      <c r="M808" s="1"/>
      <c r="N808" s="1"/>
      <c r="O808" s="1"/>
      <c r="P808" s="1"/>
      <c r="Q808" s="1"/>
      <c r="R808" s="1"/>
      <c r="S808" s="1"/>
      <c r="T808" s="1"/>
      <c r="U808" s="1"/>
      <c r="V808" s="1"/>
      <c r="W808" s="1"/>
      <c r="X808" s="1"/>
    </row>
    <row r="809">
      <c r="A809" s="2"/>
      <c r="B809" s="2"/>
      <c r="C809" s="88"/>
      <c r="D809" s="89"/>
      <c r="E809" s="4"/>
      <c r="F809" s="91"/>
      <c r="G809" s="91"/>
      <c r="H809" s="4"/>
      <c r="I809" s="98"/>
      <c r="J809" s="2"/>
      <c r="K809" s="1"/>
      <c r="L809" s="1"/>
      <c r="M809" s="1"/>
      <c r="N809" s="1"/>
      <c r="O809" s="1"/>
      <c r="P809" s="1"/>
      <c r="Q809" s="1"/>
      <c r="R809" s="1"/>
      <c r="S809" s="1"/>
      <c r="T809" s="1"/>
      <c r="U809" s="1"/>
      <c r="V809" s="1"/>
      <c r="W809" s="1"/>
      <c r="X809" s="1"/>
    </row>
    <row r="810">
      <c r="A810" s="2"/>
      <c r="B810" s="2"/>
      <c r="C810" s="88"/>
      <c r="D810" s="89"/>
      <c r="E810" s="4"/>
      <c r="F810" s="91"/>
      <c r="G810" s="91"/>
      <c r="H810" s="4"/>
      <c r="I810" s="98"/>
      <c r="J810" s="2"/>
      <c r="K810" s="1"/>
      <c r="L810" s="1"/>
      <c r="M810" s="1"/>
      <c r="N810" s="1"/>
      <c r="O810" s="1"/>
      <c r="P810" s="1"/>
      <c r="Q810" s="1"/>
      <c r="R810" s="1"/>
      <c r="S810" s="1"/>
      <c r="T810" s="1"/>
      <c r="U810" s="1"/>
      <c r="V810" s="1"/>
      <c r="W810" s="1"/>
      <c r="X810" s="1"/>
    </row>
    <row r="811">
      <c r="A811" s="2"/>
      <c r="B811" s="2"/>
      <c r="C811" s="88"/>
      <c r="D811" s="89"/>
      <c r="E811" s="4"/>
      <c r="F811" s="91"/>
      <c r="G811" s="91"/>
      <c r="H811" s="4"/>
      <c r="I811" s="98"/>
      <c r="J811" s="2"/>
      <c r="K811" s="1"/>
      <c r="L811" s="1"/>
      <c r="M811" s="1"/>
      <c r="N811" s="1"/>
      <c r="O811" s="1"/>
      <c r="P811" s="1"/>
      <c r="Q811" s="1"/>
      <c r="R811" s="1"/>
      <c r="S811" s="1"/>
      <c r="T811" s="1"/>
      <c r="U811" s="1"/>
      <c r="V811" s="1"/>
      <c r="W811" s="1"/>
      <c r="X811" s="1"/>
    </row>
    <row r="812">
      <c r="A812" s="2"/>
      <c r="B812" s="2"/>
      <c r="C812" s="88"/>
      <c r="D812" s="89"/>
      <c r="E812" s="4"/>
      <c r="F812" s="91"/>
      <c r="G812" s="91"/>
      <c r="H812" s="4"/>
      <c r="I812" s="98"/>
      <c r="J812" s="2"/>
      <c r="K812" s="1"/>
      <c r="L812" s="1"/>
      <c r="M812" s="1"/>
      <c r="N812" s="1"/>
      <c r="O812" s="1"/>
      <c r="P812" s="1"/>
      <c r="Q812" s="1"/>
      <c r="R812" s="1"/>
      <c r="S812" s="1"/>
      <c r="T812" s="1"/>
      <c r="U812" s="1"/>
      <c r="V812" s="1"/>
      <c r="W812" s="1"/>
      <c r="X812" s="1"/>
    </row>
    <row r="813">
      <c r="A813" s="2"/>
      <c r="B813" s="2"/>
      <c r="C813" s="88"/>
      <c r="D813" s="89"/>
      <c r="E813" s="4"/>
      <c r="F813" s="91"/>
      <c r="G813" s="91"/>
      <c r="H813" s="4"/>
      <c r="I813" s="98"/>
      <c r="J813" s="2"/>
      <c r="K813" s="1"/>
      <c r="L813" s="1"/>
      <c r="M813" s="1"/>
      <c r="N813" s="1"/>
      <c r="O813" s="1"/>
      <c r="P813" s="1"/>
      <c r="Q813" s="1"/>
      <c r="R813" s="1"/>
      <c r="S813" s="1"/>
      <c r="T813" s="1"/>
      <c r="U813" s="1"/>
      <c r="V813" s="1"/>
      <c r="W813" s="1"/>
      <c r="X813" s="1"/>
    </row>
    <row r="814">
      <c r="A814" s="2"/>
      <c r="B814" s="2"/>
      <c r="C814" s="88"/>
      <c r="D814" s="89"/>
      <c r="E814" s="4"/>
      <c r="F814" s="91"/>
      <c r="G814" s="91"/>
      <c r="H814" s="4"/>
      <c r="I814" s="98"/>
      <c r="J814" s="2"/>
      <c r="K814" s="1"/>
      <c r="L814" s="1"/>
      <c r="M814" s="1"/>
      <c r="N814" s="1"/>
      <c r="O814" s="1"/>
      <c r="P814" s="1"/>
      <c r="Q814" s="1"/>
      <c r="R814" s="1"/>
      <c r="S814" s="1"/>
      <c r="T814" s="1"/>
      <c r="U814" s="1"/>
      <c r="V814" s="1"/>
      <c r="W814" s="1"/>
      <c r="X814" s="1"/>
    </row>
    <row r="815">
      <c r="A815" s="2"/>
      <c r="B815" s="2"/>
      <c r="C815" s="88"/>
      <c r="D815" s="89"/>
      <c r="E815" s="4"/>
      <c r="F815" s="91"/>
      <c r="G815" s="91"/>
      <c r="H815" s="4"/>
      <c r="I815" s="98"/>
      <c r="J815" s="2"/>
      <c r="K815" s="1"/>
      <c r="L815" s="1"/>
      <c r="M815" s="1"/>
      <c r="N815" s="1"/>
      <c r="O815" s="1"/>
      <c r="P815" s="1"/>
      <c r="Q815" s="1"/>
      <c r="R815" s="1"/>
      <c r="S815" s="1"/>
      <c r="T815" s="1"/>
      <c r="U815" s="1"/>
      <c r="V815" s="1"/>
      <c r="W815" s="1"/>
      <c r="X815" s="1"/>
    </row>
    <row r="816">
      <c r="A816" s="2"/>
      <c r="B816" s="2"/>
      <c r="C816" s="88"/>
      <c r="D816" s="89"/>
      <c r="E816" s="4"/>
      <c r="F816" s="91"/>
      <c r="G816" s="91"/>
      <c r="H816" s="4"/>
      <c r="I816" s="98"/>
      <c r="J816" s="2"/>
      <c r="K816" s="1"/>
      <c r="L816" s="1"/>
      <c r="M816" s="1"/>
      <c r="N816" s="1"/>
      <c r="O816" s="1"/>
      <c r="P816" s="1"/>
      <c r="Q816" s="1"/>
      <c r="R816" s="1"/>
      <c r="S816" s="1"/>
      <c r="T816" s="1"/>
      <c r="U816" s="1"/>
      <c r="V816" s="1"/>
      <c r="W816" s="1"/>
      <c r="X816" s="1"/>
    </row>
    <row r="817">
      <c r="A817" s="2"/>
      <c r="B817" s="2"/>
      <c r="C817" s="88"/>
      <c r="D817" s="89"/>
      <c r="E817" s="4"/>
      <c r="F817" s="91"/>
      <c r="G817" s="91"/>
      <c r="H817" s="4"/>
      <c r="I817" s="98"/>
      <c r="J817" s="2"/>
      <c r="K817" s="1"/>
      <c r="L817" s="1"/>
      <c r="M817" s="1"/>
      <c r="N817" s="1"/>
      <c r="O817" s="1"/>
      <c r="P817" s="1"/>
      <c r="Q817" s="1"/>
      <c r="R817" s="1"/>
      <c r="S817" s="1"/>
      <c r="T817" s="1"/>
      <c r="U817" s="1"/>
      <c r="V817" s="1"/>
      <c r="W817" s="1"/>
      <c r="X817" s="1"/>
    </row>
    <row r="818">
      <c r="A818" s="2"/>
      <c r="B818" s="2"/>
      <c r="C818" s="88"/>
      <c r="D818" s="89"/>
      <c r="E818" s="4"/>
      <c r="F818" s="91"/>
      <c r="G818" s="91"/>
      <c r="H818" s="4"/>
      <c r="I818" s="98"/>
      <c r="J818" s="2"/>
      <c r="K818" s="1"/>
      <c r="L818" s="1"/>
      <c r="M818" s="1"/>
      <c r="N818" s="1"/>
      <c r="O818" s="1"/>
      <c r="P818" s="1"/>
      <c r="Q818" s="1"/>
      <c r="R818" s="1"/>
      <c r="S818" s="1"/>
      <c r="T818" s="1"/>
      <c r="U818" s="1"/>
      <c r="V818" s="1"/>
      <c r="W818" s="1"/>
      <c r="X818" s="1"/>
    </row>
    <row r="819">
      <c r="A819" s="2"/>
      <c r="B819" s="2"/>
      <c r="C819" s="88"/>
      <c r="D819" s="89"/>
      <c r="E819" s="4"/>
      <c r="F819" s="91"/>
      <c r="G819" s="91"/>
      <c r="H819" s="4"/>
      <c r="I819" s="98"/>
      <c r="J819" s="2"/>
      <c r="K819" s="1"/>
      <c r="L819" s="1"/>
      <c r="M819" s="1"/>
      <c r="N819" s="1"/>
      <c r="O819" s="1"/>
      <c r="P819" s="1"/>
      <c r="Q819" s="1"/>
      <c r="R819" s="1"/>
      <c r="S819" s="1"/>
      <c r="T819" s="1"/>
      <c r="U819" s="1"/>
      <c r="V819" s="1"/>
      <c r="W819" s="1"/>
      <c r="X819" s="1"/>
    </row>
    <row r="820">
      <c r="A820" s="2"/>
      <c r="B820" s="2"/>
      <c r="C820" s="88"/>
      <c r="D820" s="89"/>
      <c r="E820" s="4"/>
      <c r="F820" s="91"/>
      <c r="G820" s="91"/>
      <c r="H820" s="4"/>
      <c r="I820" s="98"/>
      <c r="J820" s="2"/>
      <c r="K820" s="1"/>
      <c r="L820" s="1"/>
      <c r="M820" s="1"/>
      <c r="N820" s="1"/>
      <c r="O820" s="1"/>
      <c r="P820" s="1"/>
      <c r="Q820" s="1"/>
      <c r="R820" s="1"/>
      <c r="S820" s="1"/>
      <c r="T820" s="1"/>
      <c r="U820" s="1"/>
      <c r="V820" s="1"/>
      <c r="W820" s="1"/>
      <c r="X820" s="1"/>
    </row>
    <row r="821">
      <c r="A821" s="2"/>
      <c r="B821" s="2"/>
      <c r="C821" s="88"/>
      <c r="D821" s="89"/>
      <c r="E821" s="4"/>
      <c r="F821" s="91"/>
      <c r="G821" s="91"/>
      <c r="H821" s="4"/>
      <c r="I821" s="98"/>
      <c r="J821" s="2"/>
      <c r="K821" s="1"/>
      <c r="L821" s="1"/>
      <c r="M821" s="1"/>
      <c r="N821" s="1"/>
      <c r="O821" s="1"/>
      <c r="P821" s="1"/>
      <c r="Q821" s="1"/>
      <c r="R821" s="1"/>
      <c r="S821" s="1"/>
      <c r="T821" s="1"/>
      <c r="U821" s="1"/>
      <c r="V821" s="1"/>
      <c r="W821" s="1"/>
      <c r="X821" s="1"/>
    </row>
    <row r="822">
      <c r="A822" s="2"/>
      <c r="B822" s="2"/>
      <c r="C822" s="88"/>
      <c r="D822" s="89"/>
      <c r="E822" s="4"/>
      <c r="F822" s="91"/>
      <c r="G822" s="91"/>
      <c r="H822" s="4"/>
      <c r="I822" s="98"/>
      <c r="J822" s="2"/>
      <c r="K822" s="1"/>
      <c r="L822" s="1"/>
      <c r="M822" s="1"/>
      <c r="N822" s="1"/>
      <c r="O822" s="1"/>
      <c r="P822" s="1"/>
      <c r="Q822" s="1"/>
      <c r="R822" s="1"/>
      <c r="S822" s="1"/>
      <c r="T822" s="1"/>
      <c r="U822" s="1"/>
      <c r="V822" s="1"/>
      <c r="W822" s="1"/>
      <c r="X822" s="1"/>
    </row>
    <row r="823">
      <c r="A823" s="2"/>
      <c r="B823" s="2"/>
      <c r="C823" s="88"/>
      <c r="D823" s="89"/>
      <c r="E823" s="4"/>
      <c r="F823" s="91"/>
      <c r="G823" s="91"/>
      <c r="H823" s="4"/>
      <c r="I823" s="98"/>
      <c r="J823" s="2"/>
      <c r="K823" s="1"/>
      <c r="L823" s="1"/>
      <c r="M823" s="1"/>
      <c r="N823" s="1"/>
      <c r="O823" s="1"/>
      <c r="P823" s="1"/>
      <c r="Q823" s="1"/>
      <c r="R823" s="1"/>
      <c r="S823" s="1"/>
      <c r="T823" s="1"/>
      <c r="U823" s="1"/>
      <c r="V823" s="1"/>
      <c r="W823" s="1"/>
      <c r="X823" s="1"/>
    </row>
    <row r="824">
      <c r="A824" s="2"/>
      <c r="B824" s="2"/>
      <c r="C824" s="88"/>
      <c r="D824" s="89"/>
      <c r="E824" s="4"/>
      <c r="F824" s="91"/>
      <c r="G824" s="91"/>
      <c r="H824" s="4"/>
      <c r="I824" s="98"/>
      <c r="J824" s="2"/>
      <c r="K824" s="1"/>
      <c r="L824" s="1"/>
      <c r="M824" s="1"/>
      <c r="N824" s="1"/>
      <c r="O824" s="1"/>
      <c r="P824" s="1"/>
      <c r="Q824" s="1"/>
      <c r="R824" s="1"/>
      <c r="S824" s="1"/>
      <c r="T824" s="1"/>
      <c r="U824" s="1"/>
      <c r="V824" s="1"/>
      <c r="W824" s="1"/>
      <c r="X824" s="1"/>
    </row>
    <row r="825">
      <c r="A825" s="2"/>
      <c r="B825" s="2"/>
      <c r="C825" s="88"/>
      <c r="D825" s="89"/>
      <c r="E825" s="4"/>
      <c r="F825" s="91"/>
      <c r="G825" s="91"/>
      <c r="H825" s="4"/>
      <c r="I825" s="98"/>
      <c r="J825" s="2"/>
      <c r="K825" s="1"/>
      <c r="L825" s="1"/>
      <c r="M825" s="1"/>
      <c r="N825" s="1"/>
      <c r="O825" s="1"/>
      <c r="P825" s="1"/>
      <c r="Q825" s="1"/>
      <c r="R825" s="1"/>
      <c r="S825" s="1"/>
      <c r="T825" s="1"/>
      <c r="U825" s="1"/>
      <c r="V825" s="1"/>
      <c r="W825" s="1"/>
      <c r="X825" s="1"/>
    </row>
    <row r="826">
      <c r="A826" s="2"/>
      <c r="B826" s="2"/>
      <c r="C826" s="88"/>
      <c r="D826" s="89"/>
      <c r="E826" s="4"/>
      <c r="F826" s="91"/>
      <c r="G826" s="91"/>
      <c r="H826" s="4"/>
      <c r="I826" s="98"/>
      <c r="J826" s="2"/>
      <c r="K826" s="1"/>
      <c r="L826" s="1"/>
      <c r="M826" s="1"/>
      <c r="N826" s="1"/>
      <c r="O826" s="1"/>
      <c r="P826" s="1"/>
      <c r="Q826" s="1"/>
      <c r="R826" s="1"/>
      <c r="S826" s="1"/>
      <c r="T826" s="1"/>
      <c r="U826" s="1"/>
      <c r="V826" s="1"/>
      <c r="W826" s="1"/>
      <c r="X826" s="1"/>
    </row>
    <row r="827">
      <c r="A827" s="2"/>
      <c r="B827" s="2"/>
      <c r="C827" s="88"/>
      <c r="D827" s="89"/>
      <c r="E827" s="4"/>
      <c r="F827" s="91"/>
      <c r="G827" s="91"/>
      <c r="H827" s="4"/>
      <c r="I827" s="98"/>
      <c r="J827" s="2"/>
      <c r="K827" s="1"/>
      <c r="L827" s="1"/>
      <c r="M827" s="1"/>
      <c r="N827" s="1"/>
      <c r="O827" s="1"/>
      <c r="P827" s="1"/>
      <c r="Q827" s="1"/>
      <c r="R827" s="1"/>
      <c r="S827" s="1"/>
      <c r="T827" s="1"/>
      <c r="U827" s="1"/>
      <c r="V827" s="1"/>
      <c r="W827" s="1"/>
      <c r="X827" s="1"/>
    </row>
    <row r="828">
      <c r="A828" s="2"/>
      <c r="B828" s="2"/>
      <c r="C828" s="88"/>
      <c r="D828" s="89"/>
      <c r="E828" s="4"/>
      <c r="F828" s="91"/>
      <c r="G828" s="91"/>
      <c r="H828" s="4"/>
      <c r="I828" s="98"/>
      <c r="J828" s="2"/>
      <c r="K828" s="1"/>
      <c r="L828" s="1"/>
      <c r="M828" s="1"/>
      <c r="N828" s="1"/>
      <c r="O828" s="1"/>
      <c r="P828" s="1"/>
      <c r="Q828" s="1"/>
      <c r="R828" s="1"/>
      <c r="S828" s="1"/>
      <c r="T828" s="1"/>
      <c r="U828" s="1"/>
      <c r="V828" s="1"/>
      <c r="W828" s="1"/>
      <c r="X828" s="1"/>
    </row>
    <row r="829">
      <c r="A829" s="2"/>
      <c r="B829" s="2"/>
      <c r="C829" s="88"/>
      <c r="D829" s="89"/>
      <c r="E829" s="4"/>
      <c r="F829" s="91"/>
      <c r="G829" s="91"/>
      <c r="H829" s="4"/>
      <c r="I829" s="98"/>
      <c r="J829" s="2"/>
      <c r="K829" s="1"/>
      <c r="L829" s="1"/>
      <c r="M829" s="1"/>
      <c r="N829" s="1"/>
      <c r="O829" s="1"/>
      <c r="P829" s="1"/>
      <c r="Q829" s="1"/>
      <c r="R829" s="1"/>
      <c r="S829" s="1"/>
      <c r="T829" s="1"/>
      <c r="U829" s="1"/>
      <c r="V829" s="1"/>
      <c r="W829" s="1"/>
      <c r="X829" s="1"/>
    </row>
    <row r="830">
      <c r="A830" s="2"/>
      <c r="B830" s="2"/>
      <c r="C830" s="88"/>
      <c r="D830" s="89"/>
      <c r="E830" s="4"/>
      <c r="F830" s="91"/>
      <c r="G830" s="91"/>
      <c r="H830" s="4"/>
      <c r="I830" s="98"/>
      <c r="J830" s="2"/>
      <c r="K830" s="1"/>
      <c r="L830" s="1"/>
      <c r="M830" s="1"/>
      <c r="N830" s="1"/>
      <c r="O830" s="1"/>
      <c r="P830" s="1"/>
      <c r="Q830" s="1"/>
      <c r="R830" s="1"/>
      <c r="S830" s="1"/>
      <c r="T830" s="1"/>
      <c r="U830" s="1"/>
      <c r="V830" s="1"/>
      <c r="W830" s="1"/>
      <c r="X830" s="1"/>
    </row>
    <row r="831">
      <c r="A831" s="2"/>
      <c r="B831" s="2"/>
      <c r="C831" s="88"/>
      <c r="D831" s="89"/>
      <c r="E831" s="4"/>
      <c r="F831" s="91"/>
      <c r="G831" s="91"/>
      <c r="H831" s="4"/>
      <c r="I831" s="98"/>
      <c r="J831" s="2"/>
      <c r="K831" s="1"/>
      <c r="L831" s="1"/>
      <c r="M831" s="1"/>
      <c r="N831" s="1"/>
      <c r="O831" s="1"/>
      <c r="P831" s="1"/>
      <c r="Q831" s="1"/>
      <c r="R831" s="1"/>
      <c r="S831" s="1"/>
      <c r="T831" s="1"/>
      <c r="U831" s="1"/>
      <c r="V831" s="1"/>
      <c r="W831" s="1"/>
      <c r="X831" s="1"/>
    </row>
    <row r="832">
      <c r="A832" s="2"/>
      <c r="B832" s="2"/>
      <c r="C832" s="88"/>
      <c r="D832" s="89"/>
      <c r="E832" s="4"/>
      <c r="F832" s="91"/>
      <c r="G832" s="91"/>
      <c r="H832" s="4"/>
      <c r="I832" s="98"/>
      <c r="J832" s="2"/>
      <c r="K832" s="1"/>
      <c r="L832" s="1"/>
      <c r="M832" s="1"/>
      <c r="N832" s="1"/>
      <c r="O832" s="1"/>
      <c r="P832" s="1"/>
      <c r="Q832" s="1"/>
      <c r="R832" s="1"/>
      <c r="S832" s="1"/>
      <c r="T832" s="1"/>
      <c r="U832" s="1"/>
      <c r="V832" s="1"/>
      <c r="W832" s="1"/>
      <c r="X832" s="1"/>
    </row>
    <row r="833">
      <c r="A833" s="2"/>
      <c r="B833" s="2"/>
      <c r="C833" s="88"/>
      <c r="D833" s="89"/>
      <c r="E833" s="4"/>
      <c r="F833" s="91"/>
      <c r="G833" s="91"/>
      <c r="H833" s="4"/>
      <c r="I833" s="98"/>
      <c r="J833" s="2"/>
      <c r="K833" s="1"/>
      <c r="L833" s="1"/>
      <c r="M833" s="1"/>
      <c r="N833" s="1"/>
      <c r="O833" s="1"/>
      <c r="P833" s="1"/>
      <c r="Q833" s="1"/>
      <c r="R833" s="1"/>
      <c r="S833" s="1"/>
      <c r="T833" s="1"/>
      <c r="U833" s="1"/>
      <c r="V833" s="1"/>
      <c r="W833" s="1"/>
      <c r="X833" s="1"/>
    </row>
    <row r="834">
      <c r="A834" s="2"/>
      <c r="B834" s="2"/>
      <c r="C834" s="88"/>
      <c r="D834" s="89"/>
      <c r="E834" s="4"/>
      <c r="F834" s="91"/>
      <c r="G834" s="91"/>
      <c r="H834" s="4"/>
      <c r="I834" s="98"/>
      <c r="J834" s="2"/>
      <c r="K834" s="1"/>
      <c r="L834" s="1"/>
      <c r="M834" s="1"/>
      <c r="N834" s="1"/>
      <c r="O834" s="1"/>
      <c r="P834" s="1"/>
      <c r="Q834" s="1"/>
      <c r="R834" s="1"/>
      <c r="S834" s="1"/>
      <c r="T834" s="1"/>
      <c r="U834" s="1"/>
      <c r="V834" s="1"/>
      <c r="W834" s="1"/>
      <c r="X834" s="1"/>
    </row>
    <row r="835">
      <c r="A835" s="2"/>
      <c r="B835" s="2"/>
      <c r="C835" s="88"/>
      <c r="D835" s="89"/>
      <c r="E835" s="4"/>
      <c r="F835" s="91"/>
      <c r="G835" s="91"/>
      <c r="H835" s="4"/>
      <c r="I835" s="98"/>
      <c r="J835" s="2"/>
      <c r="K835" s="1"/>
      <c r="L835" s="1"/>
      <c r="M835" s="1"/>
      <c r="N835" s="1"/>
      <c r="O835" s="1"/>
      <c r="P835" s="1"/>
      <c r="Q835" s="1"/>
      <c r="R835" s="1"/>
      <c r="S835" s="1"/>
      <c r="T835" s="1"/>
      <c r="U835" s="1"/>
      <c r="V835" s="1"/>
      <c r="W835" s="1"/>
      <c r="X835" s="1"/>
    </row>
    <row r="836">
      <c r="A836" s="2"/>
      <c r="B836" s="2"/>
      <c r="C836" s="88"/>
      <c r="D836" s="89"/>
      <c r="E836" s="4"/>
      <c r="F836" s="91"/>
      <c r="G836" s="91"/>
      <c r="H836" s="4"/>
      <c r="I836" s="98"/>
      <c r="J836" s="2"/>
      <c r="K836" s="1"/>
      <c r="L836" s="1"/>
      <c r="M836" s="1"/>
      <c r="N836" s="1"/>
      <c r="O836" s="1"/>
      <c r="P836" s="1"/>
      <c r="Q836" s="1"/>
      <c r="R836" s="1"/>
      <c r="S836" s="1"/>
      <c r="T836" s="1"/>
      <c r="U836" s="1"/>
      <c r="V836" s="1"/>
      <c r="W836" s="1"/>
      <c r="X836" s="1"/>
    </row>
    <row r="837">
      <c r="A837" s="2"/>
      <c r="B837" s="2"/>
      <c r="C837" s="88"/>
      <c r="D837" s="89"/>
      <c r="E837" s="4"/>
      <c r="F837" s="91"/>
      <c r="G837" s="91"/>
      <c r="H837" s="4"/>
      <c r="I837" s="98"/>
      <c r="J837" s="2"/>
      <c r="K837" s="1"/>
      <c r="L837" s="1"/>
      <c r="M837" s="1"/>
      <c r="N837" s="1"/>
      <c r="O837" s="1"/>
      <c r="P837" s="1"/>
      <c r="Q837" s="1"/>
      <c r="R837" s="1"/>
      <c r="S837" s="1"/>
      <c r="T837" s="1"/>
      <c r="U837" s="1"/>
      <c r="V837" s="1"/>
      <c r="W837" s="1"/>
      <c r="X837" s="1"/>
    </row>
    <row r="838">
      <c r="A838" s="2"/>
      <c r="B838" s="2"/>
      <c r="C838" s="88"/>
      <c r="D838" s="89"/>
      <c r="E838" s="4"/>
      <c r="F838" s="91"/>
      <c r="G838" s="91"/>
      <c r="H838" s="4"/>
      <c r="I838" s="98"/>
      <c r="J838" s="2"/>
      <c r="K838" s="1"/>
      <c r="L838" s="1"/>
      <c r="M838" s="1"/>
      <c r="N838" s="1"/>
      <c r="O838" s="1"/>
      <c r="P838" s="1"/>
      <c r="Q838" s="1"/>
      <c r="R838" s="1"/>
      <c r="S838" s="1"/>
      <c r="T838" s="1"/>
      <c r="U838" s="1"/>
      <c r="V838" s="1"/>
      <c r="W838" s="1"/>
      <c r="X838" s="1"/>
    </row>
    <row r="839">
      <c r="A839" s="2"/>
      <c r="B839" s="2"/>
      <c r="C839" s="88"/>
      <c r="D839" s="89"/>
      <c r="E839" s="4"/>
      <c r="F839" s="91"/>
      <c r="G839" s="91"/>
      <c r="H839" s="4"/>
      <c r="I839" s="98"/>
      <c r="J839" s="2"/>
      <c r="K839" s="1"/>
      <c r="L839" s="1"/>
      <c r="M839" s="1"/>
      <c r="N839" s="1"/>
      <c r="O839" s="1"/>
      <c r="P839" s="1"/>
      <c r="Q839" s="1"/>
      <c r="R839" s="1"/>
      <c r="S839" s="1"/>
      <c r="T839" s="1"/>
      <c r="U839" s="1"/>
      <c r="V839" s="1"/>
      <c r="W839" s="1"/>
      <c r="X839" s="1"/>
    </row>
    <row r="840">
      <c r="A840" s="2"/>
      <c r="B840" s="2"/>
      <c r="C840" s="88"/>
      <c r="D840" s="89"/>
      <c r="E840" s="4"/>
      <c r="F840" s="91"/>
      <c r="G840" s="91"/>
      <c r="H840" s="4"/>
      <c r="I840" s="98"/>
      <c r="J840" s="2"/>
      <c r="K840" s="1"/>
      <c r="L840" s="1"/>
      <c r="M840" s="1"/>
      <c r="N840" s="1"/>
      <c r="O840" s="1"/>
      <c r="P840" s="1"/>
      <c r="Q840" s="1"/>
      <c r="R840" s="1"/>
      <c r="S840" s="1"/>
      <c r="T840" s="1"/>
      <c r="U840" s="1"/>
      <c r="V840" s="1"/>
      <c r="W840" s="1"/>
      <c r="X840" s="1"/>
    </row>
    <row r="841">
      <c r="A841" s="2"/>
      <c r="B841" s="2"/>
      <c r="C841" s="88"/>
      <c r="D841" s="89"/>
      <c r="E841" s="4"/>
      <c r="F841" s="91"/>
      <c r="G841" s="91"/>
      <c r="H841" s="4"/>
      <c r="I841" s="98"/>
      <c r="J841" s="2"/>
      <c r="K841" s="1"/>
      <c r="L841" s="1"/>
      <c r="M841" s="1"/>
      <c r="N841" s="1"/>
      <c r="O841" s="1"/>
      <c r="P841" s="1"/>
      <c r="Q841" s="1"/>
      <c r="R841" s="1"/>
      <c r="S841" s="1"/>
      <c r="T841" s="1"/>
      <c r="U841" s="1"/>
      <c r="V841" s="1"/>
      <c r="W841" s="1"/>
      <c r="X841" s="1"/>
    </row>
    <row r="842">
      <c r="A842" s="2"/>
      <c r="B842" s="2"/>
      <c r="C842" s="88"/>
      <c r="D842" s="89"/>
      <c r="E842" s="4"/>
      <c r="F842" s="91"/>
      <c r="G842" s="91"/>
      <c r="H842" s="4"/>
      <c r="I842" s="98"/>
      <c r="J842" s="2"/>
      <c r="K842" s="1"/>
      <c r="L842" s="1"/>
      <c r="M842" s="1"/>
      <c r="N842" s="1"/>
      <c r="O842" s="1"/>
      <c r="P842" s="1"/>
      <c r="Q842" s="1"/>
      <c r="R842" s="1"/>
      <c r="S842" s="1"/>
      <c r="T842" s="1"/>
      <c r="U842" s="1"/>
      <c r="V842" s="1"/>
      <c r="W842" s="1"/>
      <c r="X842" s="1"/>
    </row>
    <row r="843">
      <c r="A843" s="2"/>
      <c r="B843" s="2"/>
      <c r="C843" s="88"/>
      <c r="D843" s="89"/>
      <c r="E843" s="4"/>
      <c r="F843" s="91"/>
      <c r="G843" s="91"/>
      <c r="H843" s="4"/>
      <c r="I843" s="98"/>
      <c r="J843" s="2"/>
      <c r="K843" s="1"/>
      <c r="L843" s="1"/>
      <c r="M843" s="1"/>
      <c r="N843" s="1"/>
      <c r="O843" s="1"/>
      <c r="P843" s="1"/>
      <c r="Q843" s="1"/>
      <c r="R843" s="1"/>
      <c r="S843" s="1"/>
      <c r="T843" s="1"/>
      <c r="U843" s="1"/>
      <c r="V843" s="1"/>
      <c r="W843" s="1"/>
      <c r="X843" s="1"/>
    </row>
    <row r="844">
      <c r="A844" s="2"/>
      <c r="B844" s="2"/>
      <c r="C844" s="88"/>
      <c r="D844" s="89"/>
      <c r="E844" s="4"/>
      <c r="F844" s="91"/>
      <c r="G844" s="91"/>
      <c r="H844" s="4"/>
      <c r="I844" s="98"/>
      <c r="J844" s="2"/>
      <c r="K844" s="1"/>
      <c r="L844" s="1"/>
      <c r="M844" s="1"/>
      <c r="N844" s="1"/>
      <c r="O844" s="1"/>
      <c r="P844" s="1"/>
      <c r="Q844" s="1"/>
      <c r="R844" s="1"/>
      <c r="S844" s="1"/>
      <c r="T844" s="1"/>
      <c r="U844" s="1"/>
      <c r="V844" s="1"/>
      <c r="W844" s="1"/>
      <c r="X844" s="1"/>
    </row>
    <row r="845">
      <c r="A845" s="2"/>
      <c r="B845" s="2"/>
      <c r="C845" s="88"/>
      <c r="D845" s="89"/>
      <c r="E845" s="4"/>
      <c r="F845" s="91"/>
      <c r="G845" s="91"/>
      <c r="H845" s="4"/>
      <c r="I845" s="98"/>
      <c r="J845" s="2"/>
      <c r="K845" s="1"/>
      <c r="L845" s="1"/>
      <c r="M845" s="1"/>
      <c r="N845" s="1"/>
      <c r="O845" s="1"/>
      <c r="P845" s="1"/>
      <c r="Q845" s="1"/>
      <c r="R845" s="1"/>
      <c r="S845" s="1"/>
      <c r="T845" s="1"/>
      <c r="U845" s="1"/>
      <c r="V845" s="1"/>
      <c r="W845" s="1"/>
      <c r="X845" s="1"/>
    </row>
    <row r="846">
      <c r="A846" s="2"/>
      <c r="B846" s="2"/>
      <c r="C846" s="88"/>
      <c r="D846" s="89"/>
      <c r="E846" s="4"/>
      <c r="F846" s="91"/>
      <c r="G846" s="91"/>
      <c r="H846" s="4"/>
      <c r="I846" s="98"/>
      <c r="J846" s="2"/>
      <c r="K846" s="1"/>
      <c r="L846" s="1"/>
      <c r="M846" s="1"/>
      <c r="N846" s="1"/>
      <c r="O846" s="1"/>
      <c r="P846" s="1"/>
      <c r="Q846" s="1"/>
      <c r="R846" s="1"/>
      <c r="S846" s="1"/>
      <c r="T846" s="1"/>
      <c r="U846" s="1"/>
      <c r="V846" s="1"/>
      <c r="W846" s="1"/>
      <c r="X846" s="1"/>
    </row>
    <row r="847">
      <c r="A847" s="2"/>
      <c r="B847" s="2"/>
      <c r="C847" s="88"/>
      <c r="D847" s="89"/>
      <c r="E847" s="45"/>
      <c r="F847" s="91"/>
      <c r="G847" s="91"/>
      <c r="H847" s="4"/>
      <c r="I847" s="98"/>
      <c r="J847" s="2"/>
      <c r="K847" s="1"/>
      <c r="L847" s="1"/>
      <c r="M847" s="1"/>
      <c r="N847" s="1"/>
      <c r="O847" s="1"/>
      <c r="P847" s="1"/>
      <c r="Q847" s="1"/>
      <c r="R847" s="1"/>
      <c r="S847" s="1"/>
      <c r="T847" s="1"/>
      <c r="U847" s="1"/>
      <c r="V847" s="1"/>
      <c r="W847" s="1"/>
      <c r="X847" s="1"/>
    </row>
  </sheetData>
  <autoFilter ref="$A$5:$X$119">
    <filterColumn colId="8">
      <filters>
        <filter val="En Proceso"/>
      </filters>
    </filterColumn>
  </autoFilter>
  <conditionalFormatting sqref="I6:I847">
    <cfRule type="containsText" dxfId="1" priority="1" operator="containsText" text="En Proceso">
      <formula>NOT(ISERROR(SEARCH(("En Proceso"),(I6))))</formula>
    </cfRule>
  </conditionalFormatting>
  <conditionalFormatting sqref="I6:I847">
    <cfRule type="containsText" dxfId="2" priority="2" operator="containsText" text="Cancelada">
      <formula>NOT(ISERROR(SEARCH(("Cancelada"),(I6))))</formula>
    </cfRule>
  </conditionalFormatting>
  <conditionalFormatting sqref="I6:I847">
    <cfRule type="containsText" dxfId="3" priority="3" operator="containsText" text="Cubierta">
      <formula>NOT(ISERROR(SEARCH(("Cubierta"),(I6))))</formula>
    </cfRule>
  </conditionalFormatting>
  <dataValidations>
    <dataValidation type="list" allowBlank="1" showErrorMessage="1" sqref="J6:J847">
      <formula1>"Correo,CV Físico,LinkedIn,Kuentro,Referido"</formula1>
    </dataValidation>
    <dataValidation type="list" allowBlank="1" showErrorMessage="1" sqref="D6:D847">
      <formula1>"BU1BLT,BU2BLB,BU3BLN,BU4BAV,BU5BSB,BU6BSLC,BU7BO,BU8MG,BU9LR,BU10VASUS,BU11ANN,BU12RB,BU13LG,BU14BSC,BU18ZGB,BU15BEP,BU16BER,BU17ANNER,BU19BM,BU20BB,BU23ANNSC,Slob Services,Slob Supply,Cecom Master Group"</formula1>
    </dataValidation>
    <dataValidation type="list" allowBlank="1" showErrorMessage="1" sqref="C6:C54 C56:C847">
      <formula1>"Gerente,Supervisor,Cocinero,Sushero,Ayudante Integral,Repartidor,Anfitriona,Bartender,Cajera Salón,Mantenimiento,Asistente Administrativo,Chef,Mesonero,Ayudante de Mesonero,Logistica,Marketer,Depositario,Empaquetadora,Chofer,Autoservicio,Almacenista,Segur"&amp;"idad,Valet Parking,Videografo,Community Manager,Diseñador Grafico,Producción,Entrenante,Gerente Regional,Ayudante de Barra,Lider de Cocina,Auditor,Gerente de Operaciones,Project Manager,Ayudante de Barra,Ayudante de Barra,Especialista de RRHH,Lider de RRH"&amp;"H,Ayudante Cocina Avanzado ,Cajera Delivery,Lider de Marketing,Embajadora Beijing,Lider Finanzas,Lider Legal,Analista en Tesoreria,Analista de Cuentas por pagar,Analista de Ingresos,Coordinador Delivery,Pasante RRHH,Fotografo,Creador de Contenido ,Trafico"&amp;"/Asesora de Ventas,Analista IT ,Pasante de Finanzas,Analista de Ingreso,Analista de Cuentas por Cobrar,Operadora de Trafico,Analista de Nomina,Analista de RRHH,Asistente de Logistica,Mensajero"</formula1>
    </dataValidation>
    <dataValidation type="list" allowBlank="1" showErrorMessage="1" sqref="G6:G847">
      <formula1>"2016,2017,2018,2019,2020,2021,2022,2023,2024,2025,2026"</formula1>
    </dataValidation>
    <dataValidation type="list" allowBlank="1" showErrorMessage="1" sqref="F6:F847">
      <formula1>"January,February,March,April,May,June,July,August,September,October,November,December"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2" max="2" width="4.5"/>
    <col customWidth="1" min="3" max="3" width="29.25"/>
    <col customWidth="1" min="4" max="4" width="15.88"/>
    <col customWidth="1" min="5" max="5" width="12.5"/>
    <col customWidth="1" min="6" max="7" width="17.13"/>
    <col customWidth="1" min="8" max="11" width="15.88"/>
  </cols>
  <sheetData>
    <row r="1">
      <c r="A1" s="1"/>
      <c r="B1" s="3"/>
      <c r="C1" s="1"/>
      <c r="D1" s="1"/>
      <c r="E1" s="1"/>
      <c r="F1" s="1"/>
      <c r="G1" s="1"/>
      <c r="H1" s="1"/>
      <c r="I1" s="1"/>
      <c r="J1" s="1"/>
      <c r="K1" s="1"/>
      <c r="L1" s="1"/>
      <c r="M1" s="1"/>
      <c r="N1" s="1"/>
      <c r="O1" s="1"/>
      <c r="P1" s="1"/>
      <c r="Q1" s="1"/>
      <c r="R1" s="1"/>
      <c r="S1" s="1"/>
      <c r="T1" s="1"/>
      <c r="U1" s="1"/>
      <c r="V1" s="1"/>
      <c r="W1" s="1"/>
      <c r="X1" s="1"/>
      <c r="Y1" s="1"/>
      <c r="Z1" s="1"/>
    </row>
    <row r="2" ht="39.0" customHeight="1">
      <c r="A2" s="7"/>
      <c r="B2" s="8"/>
      <c r="C2" s="10" t="s">
        <v>1</v>
      </c>
      <c r="D2" s="7"/>
      <c r="E2" s="10"/>
      <c r="F2" s="7"/>
      <c r="G2" s="7"/>
      <c r="H2" s="7"/>
      <c r="I2" s="7"/>
      <c r="J2" s="7"/>
      <c r="K2" s="7"/>
      <c r="L2" s="7"/>
      <c r="M2" s="7"/>
      <c r="N2" s="7"/>
      <c r="O2" s="7"/>
      <c r="P2" s="7"/>
      <c r="Q2" s="7"/>
      <c r="R2" s="7"/>
      <c r="S2" s="7"/>
      <c r="T2" s="7"/>
      <c r="U2" s="7"/>
      <c r="V2" s="7"/>
      <c r="W2" s="7"/>
      <c r="X2" s="7"/>
      <c r="Y2" s="7"/>
      <c r="Z2" s="7"/>
    </row>
    <row r="3">
      <c r="A3" s="1"/>
      <c r="B3" s="3"/>
      <c r="C3" s="12" t="s">
        <v>3</v>
      </c>
      <c r="D3" s="14" t="s">
        <v>4</v>
      </c>
      <c r="E3" s="14" t="s">
        <v>6</v>
      </c>
      <c r="F3" s="14" t="s">
        <v>7</v>
      </c>
      <c r="G3" s="14" t="s">
        <v>8</v>
      </c>
      <c r="H3" s="14" t="s">
        <v>9</v>
      </c>
      <c r="I3" s="14" t="s">
        <v>10</v>
      </c>
      <c r="J3" s="14" t="s">
        <v>11</v>
      </c>
      <c r="K3" s="18" t="s">
        <v>12</v>
      </c>
      <c r="L3" s="1"/>
      <c r="M3" s="1"/>
      <c r="N3" s="1"/>
      <c r="O3" s="1"/>
      <c r="P3" s="1"/>
      <c r="Q3" s="1"/>
      <c r="R3" s="1"/>
      <c r="S3" s="1"/>
      <c r="T3" s="1"/>
      <c r="U3" s="1"/>
      <c r="V3" s="1"/>
      <c r="W3" s="1"/>
      <c r="X3" s="1"/>
      <c r="Y3" s="1"/>
      <c r="Z3" s="1"/>
    </row>
    <row r="4">
      <c r="A4" s="1"/>
      <c r="B4" s="17">
        <v>1.0</v>
      </c>
      <c r="C4" s="19" t="s">
        <v>13</v>
      </c>
      <c r="D4" s="20" t="s">
        <v>14</v>
      </c>
      <c r="E4" s="20" t="s">
        <v>16</v>
      </c>
      <c r="F4" s="22">
        <v>45994.0</v>
      </c>
      <c r="G4" s="20" t="s">
        <v>26</v>
      </c>
      <c r="H4" s="20" t="s">
        <v>28</v>
      </c>
      <c r="I4" s="20"/>
      <c r="J4" s="22"/>
      <c r="K4" s="20" t="s">
        <v>39</v>
      </c>
      <c r="L4" s="1"/>
      <c r="M4" s="1"/>
      <c r="N4" s="1"/>
      <c r="O4" s="1"/>
      <c r="P4" s="1"/>
      <c r="Q4" s="1"/>
      <c r="R4" s="1"/>
      <c r="S4" s="1"/>
      <c r="T4" s="1"/>
      <c r="U4" s="1"/>
      <c r="V4" s="1"/>
      <c r="W4" s="1"/>
      <c r="X4" s="1"/>
      <c r="Y4" s="1"/>
      <c r="Z4" s="1"/>
    </row>
    <row r="5">
      <c r="A5" s="1"/>
      <c r="B5" s="3">
        <f t="shared" ref="B5:B33" si="1">IF(C5&gt;"",B4+1,"")</f>
        <v>2</v>
      </c>
      <c r="C5" s="19" t="s">
        <v>42</v>
      </c>
      <c r="D5" s="20" t="s">
        <v>43</v>
      </c>
      <c r="E5" s="20" t="s">
        <v>16</v>
      </c>
      <c r="F5" s="22">
        <v>45994.0</v>
      </c>
      <c r="G5" s="20" t="s">
        <v>26</v>
      </c>
      <c r="H5" s="20" t="s">
        <v>28</v>
      </c>
      <c r="I5" s="20"/>
      <c r="J5" s="22"/>
      <c r="K5" s="20" t="s">
        <v>39</v>
      </c>
      <c r="L5" s="1"/>
      <c r="M5" s="1"/>
      <c r="N5" s="1"/>
      <c r="O5" s="1"/>
      <c r="P5" s="1"/>
      <c r="Q5" s="1"/>
      <c r="R5" s="1"/>
      <c r="S5" s="1"/>
      <c r="T5" s="1"/>
      <c r="U5" s="1"/>
      <c r="V5" s="1"/>
      <c r="W5" s="1"/>
      <c r="X5" s="1"/>
      <c r="Y5" s="1"/>
      <c r="Z5" s="1"/>
    </row>
    <row r="6">
      <c r="A6" s="1"/>
      <c r="B6" s="3">
        <f t="shared" si="1"/>
        <v>3</v>
      </c>
      <c r="C6" s="19" t="s">
        <v>46</v>
      </c>
      <c r="D6" s="20" t="s">
        <v>47</v>
      </c>
      <c r="E6" s="20" t="s">
        <v>16</v>
      </c>
      <c r="F6" s="22">
        <v>45994.0</v>
      </c>
      <c r="G6" s="20" t="s">
        <v>26</v>
      </c>
      <c r="H6" s="20" t="s">
        <v>28</v>
      </c>
      <c r="I6" s="20"/>
      <c r="J6" s="22"/>
      <c r="K6" s="20" t="s">
        <v>39</v>
      </c>
      <c r="L6" s="1"/>
      <c r="M6" s="1"/>
      <c r="N6" s="1"/>
      <c r="O6" s="1"/>
      <c r="P6" s="1"/>
      <c r="Q6" s="1"/>
      <c r="R6" s="1"/>
      <c r="S6" s="1"/>
      <c r="T6" s="1"/>
      <c r="U6" s="1"/>
      <c r="V6" s="1"/>
      <c r="W6" s="1"/>
      <c r="X6" s="1"/>
      <c r="Y6" s="1"/>
      <c r="Z6" s="1"/>
    </row>
    <row r="7">
      <c r="A7" s="1"/>
      <c r="B7" s="3">
        <f t="shared" si="1"/>
        <v>4</v>
      </c>
      <c r="C7" s="19" t="s">
        <v>48</v>
      </c>
      <c r="D7" s="20" t="s">
        <v>49</v>
      </c>
      <c r="E7" s="20" t="s">
        <v>16</v>
      </c>
      <c r="F7" s="22">
        <v>45994.0</v>
      </c>
      <c r="G7" s="20" t="s">
        <v>26</v>
      </c>
      <c r="H7" s="20" t="s">
        <v>28</v>
      </c>
      <c r="I7" s="20"/>
      <c r="J7" s="22"/>
      <c r="K7" s="20" t="s">
        <v>39</v>
      </c>
      <c r="L7" s="1"/>
      <c r="M7" s="1"/>
      <c r="N7" s="1"/>
      <c r="O7" s="1"/>
      <c r="P7" s="1"/>
      <c r="Q7" s="1"/>
      <c r="R7" s="1"/>
      <c r="S7" s="1"/>
      <c r="T7" s="1"/>
      <c r="U7" s="1"/>
      <c r="V7" s="1"/>
      <c r="W7" s="1"/>
      <c r="X7" s="1"/>
      <c r="Y7" s="1"/>
      <c r="Z7" s="1"/>
    </row>
    <row r="8">
      <c r="A8" s="1"/>
      <c r="B8" s="3">
        <f t="shared" si="1"/>
        <v>5</v>
      </c>
      <c r="C8" s="19" t="s">
        <v>52</v>
      </c>
      <c r="D8" s="20" t="s">
        <v>47</v>
      </c>
      <c r="E8" s="20" t="s">
        <v>16</v>
      </c>
      <c r="F8" s="22">
        <v>45994.0</v>
      </c>
      <c r="G8" s="20" t="s">
        <v>26</v>
      </c>
      <c r="H8" s="20" t="s">
        <v>28</v>
      </c>
      <c r="I8" s="20"/>
      <c r="J8" s="22"/>
      <c r="K8" s="20" t="s">
        <v>39</v>
      </c>
      <c r="L8" s="1"/>
      <c r="M8" s="1"/>
      <c r="N8" s="1"/>
      <c r="O8" s="1"/>
      <c r="P8" s="1"/>
      <c r="Q8" s="1"/>
      <c r="R8" s="1"/>
      <c r="S8" s="1"/>
      <c r="T8" s="1"/>
      <c r="U8" s="1"/>
      <c r="V8" s="1"/>
      <c r="W8" s="1"/>
      <c r="X8" s="1"/>
      <c r="Y8" s="1"/>
      <c r="Z8" s="1"/>
    </row>
    <row r="9">
      <c r="A9" s="1"/>
      <c r="B9" s="3">
        <f t="shared" si="1"/>
        <v>6</v>
      </c>
      <c r="C9" s="19" t="s">
        <v>55</v>
      </c>
      <c r="D9" s="20" t="s">
        <v>56</v>
      </c>
      <c r="E9" s="20" t="s">
        <v>16</v>
      </c>
      <c r="F9" s="22">
        <v>45994.0</v>
      </c>
      <c r="G9" s="20" t="s">
        <v>26</v>
      </c>
      <c r="H9" s="20" t="s">
        <v>28</v>
      </c>
      <c r="I9" s="20"/>
      <c r="J9" s="22"/>
      <c r="K9" s="20" t="s">
        <v>39</v>
      </c>
      <c r="L9" s="1"/>
      <c r="M9" s="1"/>
      <c r="N9" s="1"/>
      <c r="O9" s="1"/>
      <c r="P9" s="1"/>
      <c r="Q9" s="1"/>
      <c r="R9" s="1"/>
      <c r="S9" s="1"/>
      <c r="T9" s="1"/>
      <c r="U9" s="1"/>
      <c r="V9" s="1"/>
      <c r="W9" s="1"/>
      <c r="X9" s="1"/>
      <c r="Y9" s="1"/>
      <c r="Z9" s="1"/>
    </row>
    <row r="10">
      <c r="A10" s="1"/>
      <c r="B10" s="3">
        <f t="shared" si="1"/>
        <v>7</v>
      </c>
      <c r="C10" s="19" t="s">
        <v>42</v>
      </c>
      <c r="D10" s="20" t="s">
        <v>61</v>
      </c>
      <c r="E10" s="20" t="s">
        <v>16</v>
      </c>
      <c r="F10" s="22">
        <v>45994.0</v>
      </c>
      <c r="G10" s="20" t="s">
        <v>26</v>
      </c>
      <c r="H10" s="20" t="s">
        <v>28</v>
      </c>
      <c r="I10" s="20"/>
      <c r="J10" s="22"/>
      <c r="K10" s="20" t="s">
        <v>39</v>
      </c>
      <c r="L10" s="1"/>
      <c r="M10" s="1"/>
      <c r="N10" s="1"/>
      <c r="O10" s="1"/>
      <c r="P10" s="1"/>
      <c r="Q10" s="1"/>
      <c r="R10" s="1"/>
      <c r="S10" s="1"/>
      <c r="T10" s="1"/>
      <c r="U10" s="1"/>
      <c r="V10" s="1"/>
      <c r="W10" s="1"/>
      <c r="X10" s="1"/>
      <c r="Y10" s="1"/>
      <c r="Z10" s="1"/>
    </row>
    <row r="11">
      <c r="A11" s="1"/>
      <c r="B11" s="3">
        <f t="shared" si="1"/>
        <v>8</v>
      </c>
      <c r="C11" s="19" t="s">
        <v>66</v>
      </c>
      <c r="D11" s="20" t="s">
        <v>56</v>
      </c>
      <c r="E11" s="20" t="s">
        <v>16</v>
      </c>
      <c r="F11" s="22">
        <v>45994.0</v>
      </c>
      <c r="G11" s="20" t="s">
        <v>26</v>
      </c>
      <c r="H11" s="20" t="s">
        <v>28</v>
      </c>
      <c r="I11" s="20"/>
      <c r="J11" s="22"/>
      <c r="K11" s="20" t="s">
        <v>39</v>
      </c>
      <c r="L11" s="1"/>
      <c r="M11" s="1"/>
      <c r="N11" s="1"/>
      <c r="O11" s="1"/>
      <c r="P11" s="1"/>
      <c r="Q11" s="1"/>
      <c r="R11" s="1"/>
      <c r="S11" s="1"/>
      <c r="T11" s="1"/>
      <c r="U11" s="1"/>
      <c r="V11" s="1"/>
      <c r="W11" s="1"/>
      <c r="X11" s="1"/>
      <c r="Y11" s="1"/>
      <c r="Z11" s="1"/>
    </row>
    <row r="12">
      <c r="A12" s="1"/>
      <c r="B12" s="3">
        <f t="shared" si="1"/>
        <v>9</v>
      </c>
      <c r="C12" s="19" t="s">
        <v>72</v>
      </c>
      <c r="D12" s="20" t="s">
        <v>44</v>
      </c>
      <c r="E12" s="20" t="s">
        <v>16</v>
      </c>
      <c r="F12" s="22">
        <v>45994.0</v>
      </c>
      <c r="G12" s="20" t="s">
        <v>26</v>
      </c>
      <c r="H12" s="20" t="s">
        <v>28</v>
      </c>
      <c r="I12" s="20"/>
      <c r="J12" s="22"/>
      <c r="K12" s="20" t="s">
        <v>39</v>
      </c>
      <c r="L12" s="1"/>
      <c r="M12" s="1"/>
      <c r="N12" s="1"/>
      <c r="O12" s="1"/>
      <c r="P12" s="1"/>
      <c r="Q12" s="1"/>
      <c r="R12" s="1"/>
      <c r="S12" s="1"/>
      <c r="T12" s="1"/>
      <c r="U12" s="1"/>
      <c r="V12" s="1"/>
      <c r="W12" s="1"/>
      <c r="X12" s="1"/>
      <c r="Y12" s="1"/>
      <c r="Z12" s="1"/>
    </row>
    <row r="13">
      <c r="A13" s="1"/>
      <c r="B13" s="3">
        <f t="shared" si="1"/>
        <v>10</v>
      </c>
      <c r="C13" s="19" t="s">
        <v>76</v>
      </c>
      <c r="D13" s="20" t="s">
        <v>44</v>
      </c>
      <c r="E13" s="20" t="s">
        <v>16</v>
      </c>
      <c r="F13" s="22">
        <v>45994.0</v>
      </c>
      <c r="G13" s="20" t="s">
        <v>79</v>
      </c>
      <c r="H13" s="20" t="s">
        <v>28</v>
      </c>
      <c r="I13" s="20"/>
      <c r="J13" s="22"/>
      <c r="K13" s="20" t="s">
        <v>28</v>
      </c>
      <c r="L13" s="1"/>
      <c r="M13" s="1"/>
      <c r="N13" s="1"/>
      <c r="O13" s="1"/>
      <c r="P13" s="1"/>
      <c r="Q13" s="1"/>
      <c r="R13" s="1"/>
      <c r="S13" s="1"/>
      <c r="T13" s="1"/>
      <c r="U13" s="1"/>
      <c r="V13" s="1"/>
      <c r="W13" s="1"/>
      <c r="X13" s="1"/>
      <c r="Y13" s="1"/>
      <c r="Z13" s="1"/>
    </row>
    <row r="14">
      <c r="A14" s="1"/>
      <c r="B14" s="3">
        <f t="shared" si="1"/>
        <v>11</v>
      </c>
      <c r="C14" s="19" t="s">
        <v>82</v>
      </c>
      <c r="D14" s="20" t="s">
        <v>83</v>
      </c>
      <c r="E14" s="20" t="s">
        <v>16</v>
      </c>
      <c r="F14" s="22">
        <v>45999.0</v>
      </c>
      <c r="G14" s="20" t="s">
        <v>26</v>
      </c>
      <c r="H14" s="20" t="s">
        <v>28</v>
      </c>
      <c r="I14" s="20"/>
      <c r="J14" s="22"/>
      <c r="K14" s="20" t="s">
        <v>39</v>
      </c>
      <c r="L14" s="1"/>
      <c r="M14" s="1"/>
      <c r="N14" s="1"/>
      <c r="O14" s="1"/>
      <c r="P14" s="1"/>
      <c r="Q14" s="1"/>
      <c r="R14" s="1"/>
      <c r="S14" s="1"/>
      <c r="T14" s="1"/>
      <c r="U14" s="1"/>
      <c r="V14" s="1"/>
      <c r="W14" s="1"/>
      <c r="X14" s="1"/>
      <c r="Y14" s="1"/>
      <c r="Z14" s="1"/>
    </row>
    <row r="15">
      <c r="A15" s="1"/>
      <c r="B15" s="3">
        <f t="shared" si="1"/>
        <v>12</v>
      </c>
      <c r="C15" s="19" t="s">
        <v>89</v>
      </c>
      <c r="D15" s="20" t="s">
        <v>61</v>
      </c>
      <c r="E15" s="20" t="s">
        <v>16</v>
      </c>
      <c r="F15" s="22">
        <v>45999.0</v>
      </c>
      <c r="G15" s="20" t="s">
        <v>26</v>
      </c>
      <c r="H15" s="20" t="s">
        <v>28</v>
      </c>
      <c r="I15" s="20"/>
      <c r="J15" s="22"/>
      <c r="K15" s="20" t="s">
        <v>39</v>
      </c>
      <c r="L15" s="1"/>
      <c r="M15" s="1"/>
      <c r="N15" s="1"/>
      <c r="O15" s="1"/>
      <c r="P15" s="1"/>
      <c r="Q15" s="1"/>
      <c r="R15" s="1"/>
      <c r="S15" s="1"/>
      <c r="T15" s="1"/>
      <c r="U15" s="1"/>
      <c r="V15" s="1"/>
      <c r="W15" s="1"/>
      <c r="X15" s="1"/>
      <c r="Y15" s="1"/>
      <c r="Z15" s="1"/>
    </row>
    <row r="16">
      <c r="A16" s="1"/>
      <c r="B16" s="3">
        <f t="shared" si="1"/>
        <v>13</v>
      </c>
      <c r="C16" s="19" t="s">
        <v>93</v>
      </c>
      <c r="D16" s="20" t="s">
        <v>94</v>
      </c>
      <c r="E16" s="20" t="s">
        <v>16</v>
      </c>
      <c r="F16" s="22">
        <v>45999.0</v>
      </c>
      <c r="G16" s="20" t="s">
        <v>26</v>
      </c>
      <c r="H16" s="20" t="s">
        <v>28</v>
      </c>
      <c r="I16" s="20"/>
      <c r="J16" s="22"/>
      <c r="K16" s="20" t="s">
        <v>39</v>
      </c>
      <c r="L16" s="1"/>
      <c r="M16" s="1"/>
      <c r="N16" s="1"/>
      <c r="O16" s="1"/>
      <c r="P16" s="1"/>
      <c r="Q16" s="1"/>
      <c r="R16" s="1"/>
      <c r="S16" s="1"/>
      <c r="T16" s="1"/>
      <c r="U16" s="1"/>
      <c r="V16" s="1"/>
      <c r="W16" s="1"/>
      <c r="X16" s="1"/>
      <c r="Y16" s="1"/>
      <c r="Z16" s="1"/>
    </row>
    <row r="17">
      <c r="A17" s="1"/>
      <c r="B17" s="3">
        <f t="shared" si="1"/>
        <v>14</v>
      </c>
      <c r="C17" s="19" t="s">
        <v>99</v>
      </c>
      <c r="D17" s="20" t="s">
        <v>61</v>
      </c>
      <c r="E17" s="20" t="s">
        <v>16</v>
      </c>
      <c r="F17" s="22">
        <v>45999.0</v>
      </c>
      <c r="G17" s="20" t="s">
        <v>26</v>
      </c>
      <c r="H17" s="20" t="s">
        <v>28</v>
      </c>
      <c r="I17" s="20"/>
      <c r="J17" s="22"/>
      <c r="K17" s="20" t="s">
        <v>39</v>
      </c>
      <c r="L17" s="1"/>
      <c r="M17" s="1"/>
      <c r="N17" s="1"/>
      <c r="O17" s="1"/>
      <c r="P17" s="1"/>
      <c r="Q17" s="1"/>
      <c r="R17" s="1"/>
      <c r="S17" s="1"/>
      <c r="T17" s="1"/>
      <c r="U17" s="1"/>
      <c r="V17" s="1"/>
      <c r="W17" s="1"/>
      <c r="X17" s="1"/>
      <c r="Y17" s="1"/>
      <c r="Z17" s="1"/>
    </row>
    <row r="18">
      <c r="A18" s="1"/>
      <c r="B18" s="3">
        <f t="shared" si="1"/>
        <v>15</v>
      </c>
      <c r="C18" s="19" t="s">
        <v>102</v>
      </c>
      <c r="D18" s="20" t="s">
        <v>103</v>
      </c>
      <c r="E18" s="20" t="s">
        <v>16</v>
      </c>
      <c r="F18" s="22">
        <v>45999.0</v>
      </c>
      <c r="G18" s="20" t="s">
        <v>26</v>
      </c>
      <c r="H18" s="20" t="s">
        <v>28</v>
      </c>
      <c r="I18" s="20"/>
      <c r="J18" s="22"/>
      <c r="K18" s="20" t="s">
        <v>39</v>
      </c>
      <c r="L18" s="1"/>
      <c r="M18" s="1"/>
      <c r="N18" s="1"/>
      <c r="O18" s="1"/>
      <c r="P18" s="1"/>
      <c r="Q18" s="1"/>
      <c r="R18" s="1"/>
      <c r="S18" s="1"/>
      <c r="T18" s="1"/>
      <c r="U18" s="1"/>
      <c r="V18" s="1"/>
      <c r="W18" s="1"/>
      <c r="X18" s="1"/>
      <c r="Y18" s="1"/>
      <c r="Z18" s="1"/>
    </row>
    <row r="19">
      <c r="A19" s="1"/>
      <c r="B19" s="3">
        <f t="shared" si="1"/>
        <v>16</v>
      </c>
      <c r="C19" s="19" t="s">
        <v>106</v>
      </c>
      <c r="D19" s="20" t="s">
        <v>61</v>
      </c>
      <c r="E19" s="20" t="s">
        <v>16</v>
      </c>
      <c r="F19" s="22">
        <v>45999.0</v>
      </c>
      <c r="G19" s="20" t="s">
        <v>26</v>
      </c>
      <c r="H19" s="20" t="s">
        <v>28</v>
      </c>
      <c r="I19" s="20"/>
      <c r="J19" s="22"/>
      <c r="K19" s="20" t="s">
        <v>39</v>
      </c>
      <c r="L19" s="1"/>
      <c r="M19" s="1"/>
      <c r="N19" s="1"/>
      <c r="O19" s="1"/>
      <c r="P19" s="1"/>
      <c r="Q19" s="1"/>
      <c r="R19" s="1"/>
      <c r="S19" s="1"/>
      <c r="T19" s="1"/>
      <c r="U19" s="1"/>
      <c r="V19" s="1"/>
      <c r="W19" s="1"/>
      <c r="X19" s="1"/>
      <c r="Y19" s="1"/>
      <c r="Z19" s="1"/>
    </row>
    <row r="20">
      <c r="A20" s="1"/>
      <c r="B20" s="3">
        <f t="shared" si="1"/>
        <v>17</v>
      </c>
      <c r="C20" s="19" t="s">
        <v>111</v>
      </c>
      <c r="D20" s="20" t="s">
        <v>112</v>
      </c>
      <c r="E20" s="20" t="s">
        <v>16</v>
      </c>
      <c r="F20" s="22">
        <v>45999.0</v>
      </c>
      <c r="G20" s="20" t="s">
        <v>26</v>
      </c>
      <c r="H20" s="20" t="s">
        <v>28</v>
      </c>
      <c r="I20" s="20"/>
      <c r="J20" s="22"/>
      <c r="K20" s="20" t="s">
        <v>39</v>
      </c>
      <c r="L20" s="1"/>
      <c r="M20" s="1"/>
      <c r="N20" s="1"/>
      <c r="O20" s="1"/>
      <c r="P20" s="1"/>
      <c r="Q20" s="1"/>
      <c r="R20" s="1"/>
      <c r="S20" s="1"/>
      <c r="T20" s="1"/>
      <c r="U20" s="1"/>
      <c r="V20" s="1"/>
      <c r="W20" s="1"/>
      <c r="X20" s="1"/>
      <c r="Y20" s="1"/>
      <c r="Z20" s="1"/>
    </row>
    <row r="21">
      <c r="A21" s="1"/>
      <c r="B21" s="3">
        <f t="shared" si="1"/>
        <v>18</v>
      </c>
      <c r="C21" s="19" t="s">
        <v>115</v>
      </c>
      <c r="D21" s="20" t="s">
        <v>116</v>
      </c>
      <c r="E21" s="20" t="s">
        <v>16</v>
      </c>
      <c r="F21" s="22">
        <v>45999.0</v>
      </c>
      <c r="G21" s="20" t="s">
        <v>26</v>
      </c>
      <c r="H21" s="20" t="s">
        <v>28</v>
      </c>
      <c r="I21" s="20"/>
      <c r="J21" s="22"/>
      <c r="K21" s="20" t="s">
        <v>39</v>
      </c>
      <c r="L21" s="1"/>
      <c r="M21" s="1"/>
      <c r="N21" s="1"/>
      <c r="O21" s="1"/>
      <c r="P21" s="1"/>
      <c r="Q21" s="1"/>
      <c r="R21" s="1"/>
      <c r="S21" s="1"/>
      <c r="T21" s="1"/>
      <c r="U21" s="1"/>
      <c r="V21" s="1"/>
      <c r="W21" s="1"/>
      <c r="X21" s="1"/>
      <c r="Y21" s="1"/>
      <c r="Z21" s="1"/>
    </row>
    <row r="22">
      <c r="A22" s="1"/>
      <c r="B22" s="3">
        <f t="shared" si="1"/>
        <v>19</v>
      </c>
      <c r="C22" s="19" t="s">
        <v>118</v>
      </c>
      <c r="D22" s="20" t="s">
        <v>108</v>
      </c>
      <c r="E22" s="20" t="s">
        <v>16</v>
      </c>
      <c r="F22" s="22">
        <v>45999.0</v>
      </c>
      <c r="G22" s="20" t="s">
        <v>26</v>
      </c>
      <c r="H22" s="20" t="s">
        <v>28</v>
      </c>
      <c r="I22" s="20"/>
      <c r="J22" s="22"/>
      <c r="K22" s="20"/>
      <c r="L22" s="1"/>
      <c r="M22" s="1"/>
      <c r="N22" s="1"/>
      <c r="O22" s="1"/>
      <c r="P22" s="1"/>
      <c r="Q22" s="1"/>
      <c r="R22" s="1"/>
      <c r="S22" s="1"/>
      <c r="T22" s="1"/>
      <c r="U22" s="1"/>
      <c r="V22" s="1"/>
      <c r="W22" s="1"/>
      <c r="X22" s="1"/>
      <c r="Y22" s="1"/>
      <c r="Z22" s="1"/>
    </row>
    <row r="23">
      <c r="A23" s="1"/>
      <c r="B23" s="3">
        <f t="shared" si="1"/>
        <v>20</v>
      </c>
      <c r="C23" s="19" t="s">
        <v>120</v>
      </c>
      <c r="D23" s="20" t="s">
        <v>121</v>
      </c>
      <c r="E23" s="20" t="s">
        <v>16</v>
      </c>
      <c r="F23" s="22">
        <v>45999.0</v>
      </c>
      <c r="G23" s="20" t="s">
        <v>26</v>
      </c>
      <c r="H23" s="20" t="s">
        <v>28</v>
      </c>
      <c r="I23" s="20"/>
      <c r="J23" s="22"/>
      <c r="K23" s="20"/>
      <c r="L23" s="1"/>
      <c r="M23" s="1"/>
      <c r="N23" s="1"/>
      <c r="O23" s="1"/>
      <c r="P23" s="1"/>
      <c r="Q23" s="1"/>
      <c r="R23" s="1"/>
      <c r="S23" s="1"/>
      <c r="T23" s="1"/>
      <c r="U23" s="1"/>
      <c r="V23" s="1"/>
      <c r="W23" s="1"/>
      <c r="X23" s="1"/>
      <c r="Y23" s="1"/>
      <c r="Z23" s="1"/>
    </row>
    <row r="24">
      <c r="A24" s="1"/>
      <c r="B24" s="3">
        <f t="shared" si="1"/>
        <v>21</v>
      </c>
      <c r="C24" s="19" t="s">
        <v>125</v>
      </c>
      <c r="D24" s="20" t="s">
        <v>49</v>
      </c>
      <c r="E24" s="20" t="s">
        <v>16</v>
      </c>
      <c r="F24" s="22">
        <v>45999.0</v>
      </c>
      <c r="G24" s="20" t="s">
        <v>26</v>
      </c>
      <c r="H24" s="20" t="s">
        <v>28</v>
      </c>
      <c r="I24" s="20"/>
      <c r="J24" s="22"/>
      <c r="K24" s="20"/>
      <c r="L24" s="1"/>
      <c r="M24" s="1"/>
      <c r="N24" s="1"/>
      <c r="O24" s="1"/>
      <c r="P24" s="1"/>
      <c r="Q24" s="1"/>
      <c r="R24" s="1"/>
      <c r="S24" s="1"/>
      <c r="T24" s="1"/>
      <c r="U24" s="1"/>
      <c r="V24" s="1"/>
      <c r="W24" s="1"/>
      <c r="X24" s="1"/>
      <c r="Y24" s="1"/>
      <c r="Z24" s="1"/>
    </row>
    <row r="25">
      <c r="A25" s="1"/>
      <c r="B25" s="3">
        <f t="shared" si="1"/>
        <v>22</v>
      </c>
      <c r="C25" s="19" t="s">
        <v>127</v>
      </c>
      <c r="D25" s="20" t="s">
        <v>128</v>
      </c>
      <c r="E25" s="20" t="s">
        <v>16</v>
      </c>
      <c r="F25" s="22">
        <v>45999.0</v>
      </c>
      <c r="G25" s="20" t="s">
        <v>26</v>
      </c>
      <c r="H25" s="20" t="s">
        <v>28</v>
      </c>
      <c r="I25" s="20"/>
      <c r="J25" s="22"/>
      <c r="K25" s="20"/>
      <c r="L25" s="1"/>
      <c r="M25" s="1"/>
      <c r="N25" s="1"/>
      <c r="O25" s="1"/>
      <c r="P25" s="1"/>
      <c r="Q25" s="1"/>
      <c r="R25" s="1"/>
      <c r="S25" s="1"/>
      <c r="T25" s="1"/>
      <c r="U25" s="1"/>
      <c r="V25" s="1"/>
      <c r="W25" s="1"/>
      <c r="X25" s="1"/>
      <c r="Y25" s="1"/>
      <c r="Z25" s="1"/>
    </row>
    <row r="26">
      <c r="A26" s="1"/>
      <c r="B26" s="3">
        <f t="shared" si="1"/>
        <v>23</v>
      </c>
      <c r="C26" s="19" t="s">
        <v>131</v>
      </c>
      <c r="D26" s="20" t="s">
        <v>47</v>
      </c>
      <c r="E26" s="20" t="s">
        <v>16</v>
      </c>
      <c r="F26" s="22">
        <v>45999.0</v>
      </c>
      <c r="G26" s="20" t="s">
        <v>26</v>
      </c>
      <c r="H26" s="20" t="s">
        <v>28</v>
      </c>
      <c r="I26" s="20"/>
      <c r="J26" s="22"/>
      <c r="K26" s="20"/>
      <c r="L26" s="1"/>
      <c r="M26" s="1"/>
      <c r="N26" s="1"/>
      <c r="O26" s="1"/>
      <c r="P26" s="1"/>
      <c r="Q26" s="1"/>
      <c r="R26" s="1"/>
      <c r="S26" s="1"/>
      <c r="T26" s="1"/>
      <c r="U26" s="1"/>
      <c r="V26" s="1"/>
      <c r="W26" s="1"/>
      <c r="X26" s="1"/>
      <c r="Y26" s="1"/>
      <c r="Z26" s="1"/>
    </row>
    <row r="27">
      <c r="A27" s="1"/>
      <c r="B27" s="3">
        <f t="shared" si="1"/>
        <v>24</v>
      </c>
      <c r="C27" s="19" t="s">
        <v>136</v>
      </c>
      <c r="D27" s="20" t="s">
        <v>103</v>
      </c>
      <c r="E27" s="20" t="s">
        <v>16</v>
      </c>
      <c r="F27" s="22">
        <v>45999.0</v>
      </c>
      <c r="G27" s="20" t="s">
        <v>26</v>
      </c>
      <c r="H27" s="20" t="s">
        <v>28</v>
      </c>
      <c r="I27" s="20"/>
      <c r="J27" s="22"/>
      <c r="K27" s="20"/>
      <c r="L27" s="1"/>
      <c r="M27" s="1"/>
      <c r="N27" s="1"/>
      <c r="O27" s="1"/>
      <c r="P27" s="1"/>
      <c r="Q27" s="1"/>
      <c r="R27" s="1"/>
      <c r="S27" s="1"/>
      <c r="T27" s="1"/>
      <c r="U27" s="1"/>
      <c r="V27" s="1"/>
      <c r="W27" s="1"/>
      <c r="X27" s="1"/>
      <c r="Y27" s="1"/>
      <c r="Z27" s="1"/>
    </row>
    <row r="28">
      <c r="A28" s="1"/>
      <c r="B28" s="3">
        <f t="shared" si="1"/>
        <v>25</v>
      </c>
      <c r="C28" s="19" t="s">
        <v>138</v>
      </c>
      <c r="D28" s="20" t="s">
        <v>61</v>
      </c>
      <c r="E28" s="20" t="s">
        <v>16</v>
      </c>
      <c r="F28" s="22">
        <v>45999.0</v>
      </c>
      <c r="G28" s="20" t="s">
        <v>26</v>
      </c>
      <c r="H28" s="20" t="s">
        <v>28</v>
      </c>
      <c r="I28" s="20"/>
      <c r="J28" s="22"/>
      <c r="K28" s="20"/>
      <c r="L28" s="1"/>
      <c r="M28" s="1"/>
      <c r="N28" s="1"/>
      <c r="O28" s="1"/>
      <c r="P28" s="1"/>
      <c r="Q28" s="1"/>
      <c r="R28" s="1"/>
      <c r="S28" s="1"/>
      <c r="T28" s="1"/>
      <c r="U28" s="1"/>
      <c r="V28" s="1"/>
      <c r="W28" s="1"/>
      <c r="X28" s="1"/>
      <c r="Y28" s="1"/>
      <c r="Z28" s="1"/>
    </row>
    <row r="29">
      <c r="A29" s="1"/>
      <c r="B29" s="3" t="str">
        <f t="shared" si="1"/>
        <v/>
      </c>
      <c r="C29" s="19"/>
      <c r="D29" s="20"/>
      <c r="E29" s="20"/>
      <c r="F29" s="22"/>
      <c r="G29" s="20"/>
      <c r="H29" s="20"/>
      <c r="I29" s="20"/>
      <c r="J29" s="22"/>
      <c r="K29" s="20"/>
      <c r="L29" s="1"/>
      <c r="M29" s="1"/>
      <c r="N29" s="1"/>
      <c r="O29" s="1"/>
      <c r="P29" s="1"/>
      <c r="Q29" s="1"/>
      <c r="R29" s="1"/>
      <c r="S29" s="1"/>
      <c r="T29" s="1"/>
      <c r="U29" s="1"/>
      <c r="V29" s="1"/>
      <c r="W29" s="1"/>
      <c r="X29" s="1"/>
      <c r="Y29" s="1"/>
      <c r="Z29" s="1"/>
    </row>
    <row r="30">
      <c r="A30" s="1"/>
      <c r="B30" s="3" t="str">
        <f t="shared" si="1"/>
        <v/>
      </c>
      <c r="C30" s="19"/>
      <c r="D30" s="20"/>
      <c r="E30" s="20"/>
      <c r="F30" s="22"/>
      <c r="G30" s="20"/>
      <c r="H30" s="20"/>
      <c r="I30" s="20"/>
      <c r="J30" s="22"/>
      <c r="K30" s="20"/>
      <c r="L30" s="1"/>
      <c r="M30" s="1"/>
      <c r="N30" s="1"/>
      <c r="O30" s="1"/>
      <c r="P30" s="1"/>
      <c r="Q30" s="1"/>
      <c r="R30" s="1"/>
      <c r="S30" s="1"/>
      <c r="T30" s="1"/>
      <c r="U30" s="1"/>
      <c r="V30" s="1"/>
      <c r="W30" s="1"/>
      <c r="X30" s="1"/>
      <c r="Y30" s="1"/>
      <c r="Z30" s="1"/>
    </row>
    <row r="31">
      <c r="A31" s="1"/>
      <c r="B31" s="3" t="str">
        <f t="shared" si="1"/>
        <v/>
      </c>
      <c r="C31" s="19"/>
      <c r="D31" s="20"/>
      <c r="E31" s="20"/>
      <c r="F31" s="22"/>
      <c r="G31" s="20"/>
      <c r="H31" s="20"/>
      <c r="I31" s="20"/>
      <c r="J31" s="22"/>
      <c r="K31" s="20"/>
      <c r="L31" s="1"/>
      <c r="M31" s="1"/>
      <c r="N31" s="1"/>
      <c r="O31" s="1"/>
      <c r="P31" s="1"/>
      <c r="Q31" s="1"/>
      <c r="R31" s="1"/>
      <c r="S31" s="1"/>
      <c r="T31" s="1"/>
      <c r="U31" s="1"/>
      <c r="V31" s="1"/>
      <c r="W31" s="1"/>
      <c r="X31" s="1"/>
      <c r="Y31" s="1"/>
      <c r="Z31" s="1"/>
    </row>
    <row r="32">
      <c r="A32" s="1"/>
      <c r="B32" s="3" t="str">
        <f t="shared" si="1"/>
        <v/>
      </c>
      <c r="C32" s="19"/>
      <c r="D32" s="20"/>
      <c r="E32" s="20"/>
      <c r="F32" s="22"/>
      <c r="G32" s="20"/>
      <c r="H32" s="20"/>
      <c r="I32" s="20"/>
      <c r="J32" s="22"/>
      <c r="K32" s="20"/>
      <c r="L32" s="1"/>
      <c r="M32" s="1"/>
      <c r="N32" s="1"/>
      <c r="O32" s="1"/>
      <c r="P32" s="1"/>
      <c r="Q32" s="1"/>
      <c r="R32" s="1"/>
      <c r="S32" s="1"/>
      <c r="T32" s="1"/>
      <c r="U32" s="1"/>
      <c r="V32" s="1"/>
      <c r="W32" s="1"/>
      <c r="X32" s="1"/>
      <c r="Y32" s="1"/>
      <c r="Z32" s="1"/>
    </row>
    <row r="33">
      <c r="A33" s="1"/>
      <c r="B33" s="3" t="str">
        <f t="shared" si="1"/>
        <v/>
      </c>
      <c r="C33" s="19"/>
      <c r="D33" s="20"/>
      <c r="E33" s="20"/>
      <c r="F33" s="22"/>
      <c r="G33" s="20"/>
      <c r="H33" s="20"/>
      <c r="I33" s="20"/>
      <c r="J33" s="22"/>
      <c r="K33" s="20"/>
      <c r="L33" s="1"/>
      <c r="M33" s="1"/>
      <c r="N33" s="1"/>
      <c r="O33" s="1"/>
      <c r="P33" s="1"/>
      <c r="Q33" s="1"/>
      <c r="R33" s="1"/>
      <c r="S33" s="1"/>
      <c r="T33" s="1"/>
      <c r="U33" s="1"/>
      <c r="V33" s="1"/>
      <c r="W33" s="1"/>
      <c r="X33" s="1"/>
      <c r="Y33" s="1"/>
      <c r="Z33" s="1"/>
    </row>
    <row r="34">
      <c r="A34" s="1"/>
      <c r="B34" s="3"/>
      <c r="C34" s="19"/>
      <c r="D34" s="20"/>
      <c r="E34" s="20"/>
      <c r="F34" s="22"/>
      <c r="G34" s="20"/>
      <c r="H34" s="20"/>
      <c r="I34" s="20"/>
      <c r="J34" s="22"/>
      <c r="K34" s="20"/>
      <c r="L34" s="1"/>
      <c r="M34" s="1"/>
      <c r="N34" s="1"/>
      <c r="O34" s="1"/>
      <c r="P34" s="1"/>
      <c r="Q34" s="1"/>
      <c r="R34" s="1"/>
      <c r="S34" s="1"/>
      <c r="T34" s="1"/>
      <c r="U34" s="1"/>
      <c r="V34" s="1"/>
      <c r="W34" s="1"/>
      <c r="X34" s="1"/>
      <c r="Y34" s="1"/>
      <c r="Z34" s="1"/>
    </row>
    <row r="35">
      <c r="A35" s="1"/>
      <c r="B35" s="3"/>
      <c r="C35" s="19"/>
      <c r="D35" s="20"/>
      <c r="E35" s="20"/>
      <c r="F35" s="22"/>
      <c r="G35" s="20"/>
      <c r="H35" s="20"/>
      <c r="I35" s="20"/>
      <c r="J35" s="22"/>
      <c r="K35" s="20"/>
      <c r="L35" s="1"/>
      <c r="M35" s="1"/>
      <c r="N35" s="1"/>
      <c r="O35" s="1"/>
      <c r="P35" s="1"/>
      <c r="Q35" s="1"/>
      <c r="R35" s="1"/>
      <c r="S35" s="1"/>
      <c r="T35" s="1"/>
      <c r="U35" s="1"/>
      <c r="V35" s="1"/>
      <c r="W35" s="1"/>
      <c r="X35" s="1"/>
      <c r="Y35" s="1"/>
      <c r="Z35" s="1"/>
    </row>
    <row r="36">
      <c r="A36" s="1"/>
      <c r="B36" s="3"/>
      <c r="C36" s="19"/>
      <c r="D36" s="20"/>
      <c r="E36" s="20"/>
      <c r="F36" s="22"/>
      <c r="G36" s="20"/>
      <c r="H36" s="20"/>
      <c r="I36" s="20"/>
      <c r="J36" s="22"/>
      <c r="K36" s="20"/>
      <c r="L36" s="1"/>
      <c r="M36" s="1"/>
      <c r="N36" s="1"/>
      <c r="O36" s="1"/>
      <c r="P36" s="1"/>
      <c r="Q36" s="1"/>
      <c r="R36" s="1"/>
      <c r="S36" s="1"/>
      <c r="T36" s="1"/>
      <c r="U36" s="1"/>
      <c r="V36" s="1"/>
      <c r="W36" s="1"/>
      <c r="X36" s="1"/>
      <c r="Y36" s="1"/>
      <c r="Z36" s="1"/>
    </row>
    <row r="37">
      <c r="A37" s="1"/>
      <c r="B37" s="3"/>
      <c r="C37" s="19"/>
      <c r="D37" s="20"/>
      <c r="E37" s="20"/>
      <c r="F37" s="22"/>
      <c r="G37" s="20"/>
      <c r="H37" s="20"/>
      <c r="I37" s="20"/>
      <c r="J37" s="22"/>
      <c r="K37" s="20"/>
      <c r="L37" s="1"/>
      <c r="M37" s="1"/>
      <c r="N37" s="1"/>
      <c r="O37" s="1"/>
      <c r="P37" s="1"/>
      <c r="Q37" s="1"/>
      <c r="R37" s="1"/>
      <c r="S37" s="1"/>
      <c r="T37" s="1"/>
      <c r="U37" s="1"/>
      <c r="V37" s="1"/>
      <c r="W37" s="1"/>
      <c r="X37" s="1"/>
      <c r="Y37" s="1"/>
      <c r="Z37" s="1"/>
    </row>
    <row r="38">
      <c r="A38" s="1"/>
      <c r="B38" s="3"/>
      <c r="C38" s="1"/>
      <c r="D38" s="1"/>
      <c r="E38" s="1"/>
      <c r="F38" s="1"/>
      <c r="G38" s="1"/>
      <c r="H38" s="1"/>
      <c r="I38" s="1"/>
      <c r="J38" s="1"/>
      <c r="K38" s="1"/>
      <c r="L38" s="1"/>
      <c r="M38" s="1"/>
      <c r="N38" s="1"/>
      <c r="O38" s="1"/>
      <c r="P38" s="1"/>
      <c r="Q38" s="1"/>
      <c r="R38" s="1"/>
      <c r="S38" s="1"/>
      <c r="T38" s="1"/>
      <c r="U38" s="1"/>
      <c r="V38" s="1"/>
      <c r="W38" s="1"/>
      <c r="X38" s="1"/>
      <c r="Y38" s="1"/>
      <c r="Z38" s="1"/>
    </row>
    <row r="39">
      <c r="A39" s="1"/>
      <c r="B39" s="3"/>
      <c r="C39" s="1"/>
      <c r="D39" s="1"/>
      <c r="E39" s="1"/>
      <c r="F39" s="1"/>
      <c r="G39" s="1"/>
      <c r="H39" s="1"/>
      <c r="I39" s="1"/>
      <c r="J39" s="1"/>
      <c r="K39" s="1"/>
      <c r="L39" s="1"/>
      <c r="M39" s="1"/>
      <c r="N39" s="1"/>
      <c r="O39" s="1"/>
      <c r="P39" s="1"/>
      <c r="Q39" s="1"/>
      <c r="R39" s="1"/>
      <c r="S39" s="1"/>
      <c r="T39" s="1"/>
      <c r="U39" s="1"/>
      <c r="V39" s="1"/>
      <c r="W39" s="1"/>
      <c r="X39" s="1"/>
      <c r="Y39" s="1"/>
      <c r="Z39" s="1"/>
    </row>
    <row r="40">
      <c r="A40" s="1"/>
      <c r="B40" s="3"/>
      <c r="C40" s="1"/>
      <c r="D40" s="1"/>
      <c r="E40" s="1"/>
      <c r="F40" s="1"/>
      <c r="G40" s="1"/>
      <c r="H40" s="1"/>
      <c r="I40" s="1"/>
      <c r="J40" s="1"/>
      <c r="K40" s="1"/>
      <c r="L40" s="1"/>
      <c r="M40" s="1"/>
      <c r="N40" s="1"/>
      <c r="O40" s="1"/>
      <c r="P40" s="1"/>
      <c r="Q40" s="1"/>
      <c r="R40" s="1"/>
      <c r="S40" s="1"/>
      <c r="T40" s="1"/>
      <c r="U40" s="1"/>
      <c r="V40" s="1"/>
      <c r="W40" s="1"/>
      <c r="X40" s="1"/>
      <c r="Y40" s="1"/>
      <c r="Z40" s="1"/>
    </row>
    <row r="41">
      <c r="A41" s="1"/>
      <c r="B41" s="3"/>
      <c r="C41" s="1"/>
      <c r="D41" s="1"/>
      <c r="E41" s="1"/>
      <c r="F41" s="1"/>
      <c r="G41" s="1"/>
      <c r="H41" s="1"/>
      <c r="I41" s="1"/>
      <c r="J41" s="1"/>
      <c r="K41" s="1"/>
      <c r="L41" s="1"/>
      <c r="M41" s="1"/>
      <c r="N41" s="1"/>
      <c r="O41" s="1"/>
      <c r="P41" s="1"/>
      <c r="Q41" s="1"/>
      <c r="R41" s="1"/>
      <c r="S41" s="1"/>
      <c r="T41" s="1"/>
      <c r="U41" s="1"/>
      <c r="V41" s="1"/>
      <c r="W41" s="1"/>
      <c r="X41" s="1"/>
      <c r="Y41" s="1"/>
      <c r="Z41" s="1"/>
    </row>
    <row r="42">
      <c r="A42" s="1"/>
      <c r="B42" s="3"/>
      <c r="C42" s="1"/>
      <c r="D42" s="1"/>
      <c r="E42" s="1"/>
      <c r="F42" s="1"/>
      <c r="G42" s="1"/>
      <c r="H42" s="1"/>
      <c r="I42" s="1"/>
      <c r="J42" s="1"/>
      <c r="K42" s="1"/>
      <c r="L42" s="1"/>
      <c r="M42" s="1"/>
      <c r="N42" s="1"/>
      <c r="O42" s="1"/>
      <c r="P42" s="1"/>
      <c r="Q42" s="1"/>
      <c r="R42" s="1"/>
      <c r="S42" s="1"/>
      <c r="T42" s="1"/>
      <c r="U42" s="1"/>
      <c r="V42" s="1"/>
      <c r="W42" s="1"/>
      <c r="X42" s="1"/>
      <c r="Y42" s="1"/>
      <c r="Z42" s="1"/>
    </row>
    <row r="43">
      <c r="A43" s="1"/>
      <c r="B43" s="3"/>
      <c r="C43" s="1"/>
      <c r="D43" s="1"/>
      <c r="E43" s="1"/>
      <c r="F43" s="1"/>
      <c r="G43" s="1"/>
      <c r="H43" s="1"/>
      <c r="I43" s="1"/>
      <c r="J43" s="1"/>
      <c r="K43" s="1"/>
      <c r="L43" s="1"/>
      <c r="M43" s="1"/>
      <c r="N43" s="1"/>
      <c r="O43" s="1"/>
      <c r="P43" s="1"/>
      <c r="Q43" s="1"/>
      <c r="R43" s="1"/>
      <c r="S43" s="1"/>
      <c r="T43" s="1"/>
      <c r="U43" s="1"/>
      <c r="V43" s="1"/>
      <c r="W43" s="1"/>
      <c r="X43" s="1"/>
      <c r="Y43" s="1"/>
      <c r="Z43" s="1"/>
    </row>
    <row r="44">
      <c r="A44" s="1"/>
      <c r="B44" s="3"/>
      <c r="C44" s="1"/>
      <c r="D44" s="1"/>
      <c r="E44" s="1"/>
      <c r="F44" s="1"/>
      <c r="G44" s="1"/>
      <c r="H44" s="1"/>
      <c r="I44" s="1"/>
      <c r="J44" s="1"/>
      <c r="K44" s="1"/>
      <c r="L44" s="1"/>
      <c r="M44" s="1"/>
      <c r="N44" s="1"/>
      <c r="O44" s="1"/>
      <c r="P44" s="1"/>
      <c r="Q44" s="1"/>
      <c r="R44" s="1"/>
      <c r="S44" s="1"/>
      <c r="T44" s="1"/>
      <c r="U44" s="1"/>
      <c r="V44" s="1"/>
      <c r="W44" s="1"/>
      <c r="X44" s="1"/>
      <c r="Y44" s="1"/>
      <c r="Z44" s="1"/>
    </row>
    <row r="45">
      <c r="A45" s="1"/>
      <c r="B45" s="3"/>
      <c r="C45" s="1"/>
      <c r="D45" s="1"/>
      <c r="E45" s="1"/>
      <c r="F45" s="1"/>
      <c r="G45" s="1"/>
      <c r="H45" s="1"/>
      <c r="I45" s="1"/>
      <c r="J45" s="1"/>
      <c r="K45" s="1"/>
      <c r="L45" s="1"/>
      <c r="M45" s="1"/>
      <c r="N45" s="1"/>
      <c r="O45" s="1"/>
      <c r="P45" s="1"/>
      <c r="Q45" s="1"/>
      <c r="R45" s="1"/>
      <c r="S45" s="1"/>
      <c r="T45" s="1"/>
      <c r="U45" s="1"/>
      <c r="V45" s="1"/>
      <c r="W45" s="1"/>
      <c r="X45" s="1"/>
      <c r="Y45" s="1"/>
      <c r="Z45" s="1"/>
    </row>
    <row r="46">
      <c r="A46" s="1"/>
      <c r="B46" s="3"/>
      <c r="C46" s="1"/>
      <c r="D46" s="1"/>
      <c r="E46" s="1"/>
      <c r="F46" s="1"/>
      <c r="G46" s="1"/>
      <c r="H46" s="1"/>
      <c r="I46" s="1"/>
      <c r="J46" s="1"/>
      <c r="K46" s="1"/>
      <c r="L46" s="1"/>
      <c r="M46" s="1"/>
      <c r="N46" s="1"/>
      <c r="O46" s="1"/>
      <c r="P46" s="1"/>
      <c r="Q46" s="1"/>
      <c r="R46" s="1"/>
      <c r="S46" s="1"/>
      <c r="T46" s="1"/>
      <c r="U46" s="1"/>
      <c r="V46" s="1"/>
      <c r="W46" s="1"/>
      <c r="X46" s="1"/>
      <c r="Y46" s="1"/>
      <c r="Z46" s="1"/>
    </row>
    <row r="47">
      <c r="A47" s="1"/>
      <c r="B47" s="3"/>
      <c r="C47" s="1"/>
      <c r="D47" s="1"/>
      <c r="E47" s="1"/>
      <c r="F47" s="1"/>
      <c r="G47" s="1"/>
      <c r="H47" s="1"/>
      <c r="I47" s="1"/>
      <c r="J47" s="1"/>
      <c r="K47" s="1"/>
      <c r="L47" s="1"/>
      <c r="M47" s="1"/>
      <c r="N47" s="1"/>
      <c r="O47" s="1"/>
      <c r="P47" s="1"/>
      <c r="Q47" s="1"/>
      <c r="R47" s="1"/>
      <c r="S47" s="1"/>
      <c r="T47" s="1"/>
      <c r="U47" s="1"/>
      <c r="V47" s="1"/>
      <c r="W47" s="1"/>
      <c r="X47" s="1"/>
      <c r="Y47" s="1"/>
      <c r="Z47" s="1"/>
    </row>
    <row r="48">
      <c r="A48" s="1"/>
      <c r="B48" s="3"/>
      <c r="C48" s="1"/>
      <c r="D48" s="1"/>
      <c r="E48" s="1"/>
      <c r="F48" s="1"/>
      <c r="G48" s="1"/>
      <c r="H48" s="1"/>
      <c r="I48" s="1"/>
      <c r="J48" s="1"/>
      <c r="K48" s="1"/>
      <c r="L48" s="1"/>
      <c r="M48" s="1"/>
      <c r="N48" s="1"/>
      <c r="O48" s="1"/>
      <c r="P48" s="1"/>
      <c r="Q48" s="1"/>
      <c r="R48" s="1"/>
      <c r="S48" s="1"/>
      <c r="T48" s="1"/>
      <c r="U48" s="1"/>
      <c r="V48" s="1"/>
      <c r="W48" s="1"/>
      <c r="X48" s="1"/>
      <c r="Y48" s="1"/>
      <c r="Z48" s="1"/>
    </row>
    <row r="49">
      <c r="A49" s="1"/>
      <c r="B49" s="3"/>
      <c r="C49" s="1"/>
      <c r="D49" s="1"/>
      <c r="E49" s="1"/>
      <c r="F49" s="1"/>
      <c r="G49" s="1"/>
      <c r="H49" s="1"/>
      <c r="I49" s="1"/>
      <c r="J49" s="1"/>
      <c r="K49" s="1"/>
      <c r="L49" s="1"/>
      <c r="M49" s="1"/>
      <c r="N49" s="1"/>
      <c r="O49" s="1"/>
      <c r="P49" s="1"/>
      <c r="Q49" s="1"/>
      <c r="R49" s="1"/>
      <c r="S49" s="1"/>
      <c r="T49" s="1"/>
      <c r="U49" s="1"/>
      <c r="V49" s="1"/>
      <c r="W49" s="1"/>
      <c r="X49" s="1"/>
      <c r="Y49" s="1"/>
      <c r="Z49" s="1"/>
    </row>
    <row r="50">
      <c r="A50" s="1"/>
      <c r="B50" s="3"/>
      <c r="C50" s="1"/>
      <c r="D50" s="1"/>
      <c r="E50" s="1"/>
      <c r="F50" s="1"/>
      <c r="G50" s="1"/>
      <c r="H50" s="1"/>
      <c r="I50" s="1"/>
      <c r="J50" s="1"/>
      <c r="K50" s="1"/>
      <c r="L50" s="1"/>
      <c r="M50" s="1"/>
      <c r="N50" s="1"/>
      <c r="O50" s="1"/>
      <c r="P50" s="1"/>
      <c r="Q50" s="1"/>
      <c r="R50" s="1"/>
      <c r="S50" s="1"/>
      <c r="T50" s="1"/>
      <c r="U50" s="1"/>
      <c r="V50" s="1"/>
      <c r="W50" s="1"/>
      <c r="X50" s="1"/>
      <c r="Y50" s="1"/>
      <c r="Z50" s="1"/>
    </row>
    <row r="51">
      <c r="A51" s="1"/>
      <c r="B51" s="3"/>
      <c r="C51" s="1"/>
      <c r="D51" s="1"/>
      <c r="E51" s="1"/>
      <c r="F51" s="1"/>
      <c r="G51" s="1"/>
      <c r="H51" s="1"/>
      <c r="I51" s="1"/>
      <c r="J51" s="1"/>
      <c r="K51" s="1"/>
      <c r="L51" s="1"/>
      <c r="M51" s="1"/>
      <c r="N51" s="1"/>
      <c r="O51" s="1"/>
      <c r="P51" s="1"/>
      <c r="Q51" s="1"/>
      <c r="R51" s="1"/>
      <c r="S51" s="1"/>
      <c r="T51" s="1"/>
      <c r="U51" s="1"/>
      <c r="V51" s="1"/>
      <c r="W51" s="1"/>
      <c r="X51" s="1"/>
      <c r="Y51" s="1"/>
      <c r="Z51" s="1"/>
    </row>
    <row r="52">
      <c r="A52" s="1"/>
      <c r="B52" s="3"/>
      <c r="C52" s="1"/>
      <c r="D52" s="1"/>
      <c r="E52" s="1"/>
      <c r="F52" s="1"/>
      <c r="G52" s="1"/>
      <c r="H52" s="1"/>
      <c r="I52" s="1"/>
      <c r="J52" s="1"/>
      <c r="K52" s="1"/>
      <c r="L52" s="1"/>
      <c r="M52" s="1"/>
      <c r="N52" s="1"/>
      <c r="O52" s="1"/>
      <c r="P52" s="1"/>
      <c r="Q52" s="1"/>
      <c r="R52" s="1"/>
      <c r="S52" s="1"/>
      <c r="T52" s="1"/>
      <c r="U52" s="1"/>
      <c r="V52" s="1"/>
      <c r="W52" s="1"/>
      <c r="X52" s="1"/>
      <c r="Y52" s="1"/>
      <c r="Z52" s="1"/>
    </row>
    <row r="53">
      <c r="A53" s="1"/>
      <c r="B53" s="3"/>
      <c r="C53" s="1"/>
      <c r="D53" s="1"/>
      <c r="E53" s="1"/>
      <c r="F53" s="1"/>
      <c r="G53" s="1"/>
      <c r="H53" s="1"/>
      <c r="I53" s="1"/>
      <c r="J53" s="1"/>
      <c r="K53" s="1"/>
      <c r="L53" s="1"/>
      <c r="M53" s="1"/>
      <c r="N53" s="1"/>
      <c r="O53" s="1"/>
      <c r="P53" s="1"/>
      <c r="Q53" s="1"/>
      <c r="R53" s="1"/>
      <c r="S53" s="1"/>
      <c r="T53" s="1"/>
      <c r="U53" s="1"/>
      <c r="V53" s="1"/>
      <c r="W53" s="1"/>
      <c r="X53" s="1"/>
      <c r="Y53" s="1"/>
      <c r="Z53" s="1"/>
    </row>
    <row r="54">
      <c r="A54" s="1"/>
      <c r="B54" s="3"/>
      <c r="C54" s="1"/>
      <c r="D54" s="1"/>
      <c r="E54" s="1"/>
      <c r="F54" s="1"/>
      <c r="G54" s="1"/>
      <c r="H54" s="1"/>
      <c r="I54" s="1"/>
      <c r="J54" s="1"/>
      <c r="K54" s="1"/>
      <c r="L54" s="1"/>
      <c r="M54" s="1"/>
      <c r="N54" s="1"/>
      <c r="O54" s="1"/>
      <c r="P54" s="1"/>
      <c r="Q54" s="1"/>
      <c r="R54" s="1"/>
      <c r="S54" s="1"/>
      <c r="T54" s="1"/>
      <c r="U54" s="1"/>
      <c r="V54" s="1"/>
      <c r="W54" s="1"/>
      <c r="X54" s="1"/>
      <c r="Y54" s="1"/>
      <c r="Z54" s="1"/>
    </row>
    <row r="55">
      <c r="A55" s="1"/>
      <c r="B55" s="3"/>
      <c r="C55" s="1"/>
      <c r="D55" s="1"/>
      <c r="E55" s="1"/>
      <c r="F55" s="1"/>
      <c r="G55" s="1"/>
      <c r="H55" s="1"/>
      <c r="I55" s="1"/>
      <c r="J55" s="1"/>
      <c r="K55" s="1"/>
      <c r="L55" s="1"/>
      <c r="M55" s="1"/>
      <c r="N55" s="1"/>
      <c r="O55" s="1"/>
      <c r="P55" s="1"/>
      <c r="Q55" s="1"/>
      <c r="R55" s="1"/>
      <c r="S55" s="1"/>
      <c r="T55" s="1"/>
      <c r="U55" s="1"/>
      <c r="V55" s="1"/>
      <c r="W55" s="1"/>
      <c r="X55" s="1"/>
      <c r="Y55" s="1"/>
      <c r="Z55" s="1"/>
    </row>
    <row r="56">
      <c r="A56" s="1"/>
      <c r="B56" s="3"/>
      <c r="C56" s="1"/>
      <c r="D56" s="1"/>
      <c r="E56" s="1"/>
      <c r="F56" s="1"/>
      <c r="G56" s="1"/>
      <c r="H56" s="1"/>
      <c r="I56" s="1"/>
      <c r="J56" s="1"/>
      <c r="K56" s="1"/>
      <c r="L56" s="1"/>
      <c r="M56" s="1"/>
      <c r="N56" s="1"/>
      <c r="O56" s="1"/>
      <c r="P56" s="1"/>
      <c r="Q56" s="1"/>
      <c r="R56" s="1"/>
      <c r="S56" s="1"/>
      <c r="T56" s="1"/>
      <c r="U56" s="1"/>
      <c r="V56" s="1"/>
      <c r="W56" s="1"/>
      <c r="X56" s="1"/>
      <c r="Y56" s="1"/>
      <c r="Z56" s="1"/>
    </row>
    <row r="57">
      <c r="A57" s="1"/>
      <c r="B57" s="3"/>
      <c r="C57" s="1"/>
      <c r="D57" s="1"/>
      <c r="E57" s="1"/>
      <c r="F57" s="1"/>
      <c r="G57" s="1"/>
      <c r="H57" s="1"/>
      <c r="I57" s="1"/>
      <c r="J57" s="1"/>
      <c r="K57" s="1"/>
      <c r="L57" s="1"/>
      <c r="M57" s="1"/>
      <c r="N57" s="1"/>
      <c r="O57" s="1"/>
      <c r="P57" s="1"/>
      <c r="Q57" s="1"/>
      <c r="R57" s="1"/>
      <c r="S57" s="1"/>
      <c r="T57" s="1"/>
      <c r="U57" s="1"/>
      <c r="V57" s="1"/>
      <c r="W57" s="1"/>
      <c r="X57" s="1"/>
      <c r="Y57" s="1"/>
      <c r="Z57" s="1"/>
    </row>
    <row r="58">
      <c r="A58" s="1"/>
      <c r="B58" s="3"/>
      <c r="C58" s="1"/>
      <c r="D58" s="1"/>
      <c r="E58" s="1"/>
      <c r="F58" s="1"/>
      <c r="G58" s="1"/>
      <c r="H58" s="1"/>
      <c r="I58" s="1"/>
      <c r="J58" s="1"/>
      <c r="K58" s="1"/>
      <c r="L58" s="1"/>
      <c r="M58" s="1"/>
      <c r="N58" s="1"/>
      <c r="O58" s="1"/>
      <c r="P58" s="1"/>
      <c r="Q58" s="1"/>
      <c r="R58" s="1"/>
      <c r="S58" s="1"/>
      <c r="T58" s="1"/>
      <c r="U58" s="1"/>
      <c r="V58" s="1"/>
      <c r="W58" s="1"/>
      <c r="X58" s="1"/>
      <c r="Y58" s="1"/>
      <c r="Z58" s="1"/>
    </row>
    <row r="59">
      <c r="A59" s="1"/>
      <c r="B59" s="3"/>
      <c r="C59" s="1"/>
      <c r="D59" s="1"/>
      <c r="E59" s="1"/>
      <c r="F59" s="1"/>
      <c r="G59" s="1"/>
      <c r="H59" s="1"/>
      <c r="I59" s="1"/>
      <c r="J59" s="1"/>
      <c r="K59" s="1"/>
      <c r="L59" s="1"/>
      <c r="M59" s="1"/>
      <c r="N59" s="1"/>
      <c r="O59" s="1"/>
      <c r="P59" s="1"/>
      <c r="Q59" s="1"/>
      <c r="R59" s="1"/>
      <c r="S59" s="1"/>
      <c r="T59" s="1"/>
      <c r="U59" s="1"/>
      <c r="V59" s="1"/>
      <c r="W59" s="1"/>
      <c r="X59" s="1"/>
      <c r="Y59" s="1"/>
      <c r="Z59" s="1"/>
    </row>
    <row r="60">
      <c r="A60" s="1"/>
      <c r="B60" s="3"/>
      <c r="C60" s="1"/>
      <c r="D60" s="1"/>
      <c r="E60" s="1"/>
      <c r="F60" s="1"/>
      <c r="G60" s="1"/>
      <c r="H60" s="1"/>
      <c r="I60" s="1"/>
      <c r="J60" s="1"/>
      <c r="K60" s="1"/>
      <c r="L60" s="1"/>
      <c r="M60" s="1"/>
      <c r="N60" s="1"/>
      <c r="O60" s="1"/>
      <c r="P60" s="1"/>
      <c r="Q60" s="1"/>
      <c r="R60" s="1"/>
      <c r="S60" s="1"/>
      <c r="T60" s="1"/>
      <c r="U60" s="1"/>
      <c r="V60" s="1"/>
      <c r="W60" s="1"/>
      <c r="X60" s="1"/>
      <c r="Y60" s="1"/>
      <c r="Z60" s="1"/>
    </row>
    <row r="61">
      <c r="A61" s="1"/>
      <c r="B61" s="3"/>
      <c r="C61" s="1"/>
      <c r="D61" s="1"/>
      <c r="E61" s="1"/>
      <c r="F61" s="1"/>
      <c r="G61" s="1"/>
      <c r="H61" s="1"/>
      <c r="I61" s="1"/>
      <c r="J61" s="1"/>
      <c r="K61" s="1"/>
      <c r="L61" s="1"/>
      <c r="M61" s="1"/>
      <c r="N61" s="1"/>
      <c r="O61" s="1"/>
      <c r="P61" s="1"/>
      <c r="Q61" s="1"/>
      <c r="R61" s="1"/>
      <c r="S61" s="1"/>
      <c r="T61" s="1"/>
      <c r="U61" s="1"/>
      <c r="V61" s="1"/>
      <c r="W61" s="1"/>
      <c r="X61" s="1"/>
      <c r="Y61" s="1"/>
      <c r="Z61" s="1"/>
    </row>
    <row r="62">
      <c r="A62" s="1"/>
      <c r="B62" s="3"/>
      <c r="C62" s="1"/>
      <c r="D62" s="1"/>
      <c r="E62" s="1"/>
      <c r="F62" s="1"/>
      <c r="G62" s="1"/>
      <c r="H62" s="1"/>
      <c r="I62" s="1"/>
      <c r="J62" s="1"/>
      <c r="K62" s="1"/>
      <c r="L62" s="1"/>
      <c r="M62" s="1"/>
      <c r="N62" s="1"/>
      <c r="O62" s="1"/>
      <c r="P62" s="1"/>
      <c r="Q62" s="1"/>
      <c r="R62" s="1"/>
      <c r="S62" s="1"/>
      <c r="T62" s="1"/>
      <c r="U62" s="1"/>
      <c r="V62" s="1"/>
      <c r="W62" s="1"/>
      <c r="X62" s="1"/>
      <c r="Y62" s="1"/>
      <c r="Z62" s="1"/>
    </row>
    <row r="63">
      <c r="A63" s="1"/>
      <c r="B63" s="3"/>
      <c r="C63" s="1"/>
      <c r="D63" s="1"/>
      <c r="E63" s="1"/>
      <c r="F63" s="1"/>
      <c r="G63" s="1"/>
      <c r="H63" s="1"/>
      <c r="I63" s="1"/>
      <c r="J63" s="1"/>
      <c r="K63" s="1"/>
      <c r="L63" s="1"/>
      <c r="M63" s="1"/>
      <c r="N63" s="1"/>
      <c r="O63" s="1"/>
      <c r="P63" s="1"/>
      <c r="Q63" s="1"/>
      <c r="R63" s="1"/>
      <c r="S63" s="1"/>
      <c r="T63" s="1"/>
      <c r="U63" s="1"/>
      <c r="V63" s="1"/>
      <c r="W63" s="1"/>
      <c r="X63" s="1"/>
      <c r="Y63" s="1"/>
      <c r="Z63" s="1"/>
    </row>
    <row r="64">
      <c r="A64" s="1"/>
      <c r="B64" s="3"/>
      <c r="C64" s="1"/>
      <c r="D64" s="1"/>
      <c r="E64" s="1"/>
      <c r="F64" s="1"/>
      <c r="G64" s="1"/>
      <c r="H64" s="1"/>
      <c r="I64" s="1"/>
      <c r="J64" s="1"/>
      <c r="K64" s="1"/>
      <c r="L64" s="1"/>
      <c r="M64" s="1"/>
      <c r="N64" s="1"/>
      <c r="O64" s="1"/>
      <c r="P64" s="1"/>
      <c r="Q64" s="1"/>
      <c r="R64" s="1"/>
      <c r="S64" s="1"/>
      <c r="T64" s="1"/>
      <c r="U64" s="1"/>
      <c r="V64" s="1"/>
      <c r="W64" s="1"/>
      <c r="X64" s="1"/>
      <c r="Y64" s="1"/>
      <c r="Z64" s="1"/>
    </row>
    <row r="65">
      <c r="A65" s="1"/>
      <c r="B65" s="3"/>
      <c r="C65" s="1"/>
      <c r="D65" s="1"/>
      <c r="E65" s="1"/>
      <c r="F65" s="1"/>
      <c r="G65" s="1"/>
      <c r="H65" s="1"/>
      <c r="I65" s="1"/>
      <c r="J65" s="1"/>
      <c r="K65" s="1"/>
      <c r="L65" s="1"/>
      <c r="M65" s="1"/>
      <c r="N65" s="1"/>
      <c r="O65" s="1"/>
      <c r="P65" s="1"/>
      <c r="Q65" s="1"/>
      <c r="R65" s="1"/>
      <c r="S65" s="1"/>
      <c r="T65" s="1"/>
      <c r="U65" s="1"/>
      <c r="V65" s="1"/>
      <c r="W65" s="1"/>
      <c r="X65" s="1"/>
      <c r="Y65" s="1"/>
      <c r="Z65" s="1"/>
    </row>
    <row r="66">
      <c r="A66" s="1"/>
      <c r="B66" s="3"/>
      <c r="C66" s="1"/>
      <c r="D66" s="1"/>
      <c r="E66" s="1"/>
      <c r="F66" s="1"/>
      <c r="G66" s="1"/>
      <c r="H66" s="1"/>
      <c r="I66" s="1"/>
      <c r="J66" s="1"/>
      <c r="K66" s="1"/>
      <c r="L66" s="1"/>
      <c r="M66" s="1"/>
      <c r="N66" s="1"/>
      <c r="O66" s="1"/>
      <c r="P66" s="1"/>
      <c r="Q66" s="1"/>
      <c r="R66" s="1"/>
      <c r="S66" s="1"/>
      <c r="T66" s="1"/>
      <c r="U66" s="1"/>
      <c r="V66" s="1"/>
      <c r="W66" s="1"/>
      <c r="X66" s="1"/>
      <c r="Y66" s="1"/>
      <c r="Z66" s="1"/>
    </row>
    <row r="67">
      <c r="A67" s="1"/>
      <c r="B67" s="3"/>
      <c r="C67" s="1"/>
      <c r="D67" s="1"/>
      <c r="E67" s="1"/>
      <c r="F67" s="1"/>
      <c r="G67" s="1"/>
      <c r="H67" s="1"/>
      <c r="I67" s="1"/>
      <c r="J67" s="1"/>
      <c r="K67" s="1"/>
      <c r="L67" s="1"/>
      <c r="M67" s="1"/>
      <c r="N67" s="1"/>
      <c r="O67" s="1"/>
      <c r="P67" s="1"/>
      <c r="Q67" s="1"/>
      <c r="R67" s="1"/>
      <c r="S67" s="1"/>
      <c r="T67" s="1"/>
      <c r="U67" s="1"/>
      <c r="V67" s="1"/>
      <c r="W67" s="1"/>
      <c r="X67" s="1"/>
      <c r="Y67" s="1"/>
      <c r="Z67" s="1"/>
    </row>
    <row r="68">
      <c r="A68" s="1"/>
      <c r="B68" s="3"/>
      <c r="C68" s="1"/>
      <c r="D68" s="1"/>
      <c r="E68" s="1"/>
      <c r="F68" s="1"/>
      <c r="G68" s="1"/>
      <c r="H68" s="1"/>
      <c r="I68" s="1"/>
      <c r="J68" s="1"/>
      <c r="K68" s="1"/>
      <c r="L68" s="1"/>
      <c r="M68" s="1"/>
      <c r="N68" s="1"/>
      <c r="O68" s="1"/>
      <c r="P68" s="1"/>
      <c r="Q68" s="1"/>
      <c r="R68" s="1"/>
      <c r="S68" s="1"/>
      <c r="T68" s="1"/>
      <c r="U68" s="1"/>
      <c r="V68" s="1"/>
      <c r="W68" s="1"/>
      <c r="X68" s="1"/>
      <c r="Y68" s="1"/>
      <c r="Z68" s="1"/>
    </row>
    <row r="69">
      <c r="A69" s="1"/>
      <c r="B69" s="3"/>
      <c r="C69" s="1"/>
      <c r="D69" s="1"/>
      <c r="E69" s="1"/>
      <c r="F69" s="1"/>
      <c r="G69" s="1"/>
      <c r="H69" s="1"/>
      <c r="I69" s="1"/>
      <c r="J69" s="1"/>
      <c r="K69" s="1"/>
      <c r="L69" s="1"/>
      <c r="M69" s="1"/>
      <c r="N69" s="1"/>
      <c r="O69" s="1"/>
      <c r="P69" s="1"/>
      <c r="Q69" s="1"/>
      <c r="R69" s="1"/>
      <c r="S69" s="1"/>
      <c r="T69" s="1"/>
      <c r="U69" s="1"/>
      <c r="V69" s="1"/>
      <c r="W69" s="1"/>
      <c r="X69" s="1"/>
      <c r="Y69" s="1"/>
      <c r="Z69" s="1"/>
    </row>
    <row r="70">
      <c r="A70" s="1"/>
      <c r="B70" s="3"/>
      <c r="C70" s="1"/>
      <c r="D70" s="1"/>
      <c r="E70" s="1"/>
      <c r="F70" s="1"/>
      <c r="G70" s="1"/>
      <c r="H70" s="1"/>
      <c r="I70" s="1"/>
      <c r="J70" s="1"/>
      <c r="K70" s="1"/>
      <c r="L70" s="1"/>
      <c r="M70" s="1"/>
      <c r="N70" s="1"/>
      <c r="O70" s="1"/>
      <c r="P70" s="1"/>
      <c r="Q70" s="1"/>
      <c r="R70" s="1"/>
      <c r="S70" s="1"/>
      <c r="T70" s="1"/>
      <c r="U70" s="1"/>
      <c r="V70" s="1"/>
      <c r="W70" s="1"/>
      <c r="X70" s="1"/>
      <c r="Y70" s="1"/>
      <c r="Z70" s="1"/>
    </row>
    <row r="71">
      <c r="A71" s="1"/>
      <c r="B71" s="3"/>
      <c r="C71" s="1"/>
      <c r="D71" s="1"/>
      <c r="E71" s="1"/>
      <c r="F71" s="1"/>
      <c r="G71" s="1"/>
      <c r="H71" s="1"/>
      <c r="I71" s="1"/>
      <c r="J71" s="1"/>
      <c r="K71" s="1"/>
      <c r="L71" s="1"/>
      <c r="M71" s="1"/>
      <c r="N71" s="1"/>
      <c r="O71" s="1"/>
      <c r="P71" s="1"/>
      <c r="Q71" s="1"/>
      <c r="R71" s="1"/>
      <c r="S71" s="1"/>
      <c r="T71" s="1"/>
      <c r="U71" s="1"/>
      <c r="V71" s="1"/>
      <c r="W71" s="1"/>
      <c r="X71" s="1"/>
      <c r="Y71" s="1"/>
      <c r="Z71" s="1"/>
    </row>
    <row r="72">
      <c r="A72" s="1"/>
      <c r="B72" s="3"/>
      <c r="C72" s="1"/>
      <c r="D72" s="1"/>
      <c r="E72" s="1"/>
      <c r="F72" s="1"/>
      <c r="G72" s="1"/>
      <c r="H72" s="1"/>
      <c r="I72" s="1"/>
      <c r="J72" s="1"/>
      <c r="K72" s="1"/>
      <c r="L72" s="1"/>
      <c r="M72" s="1"/>
      <c r="N72" s="1"/>
      <c r="O72" s="1"/>
      <c r="P72" s="1"/>
      <c r="Q72" s="1"/>
      <c r="R72" s="1"/>
      <c r="S72" s="1"/>
      <c r="T72" s="1"/>
      <c r="U72" s="1"/>
      <c r="V72" s="1"/>
      <c r="W72" s="1"/>
      <c r="X72" s="1"/>
      <c r="Y72" s="1"/>
      <c r="Z72" s="1"/>
    </row>
    <row r="73">
      <c r="A73" s="1"/>
      <c r="B73" s="3"/>
      <c r="C73" s="1"/>
      <c r="D73" s="1"/>
      <c r="E73" s="1"/>
      <c r="F73" s="1"/>
      <c r="G73" s="1"/>
      <c r="H73" s="1"/>
      <c r="I73" s="1"/>
      <c r="J73" s="1"/>
      <c r="K73" s="1"/>
      <c r="L73" s="1"/>
      <c r="M73" s="1"/>
      <c r="N73" s="1"/>
      <c r="O73" s="1"/>
      <c r="P73" s="1"/>
      <c r="Q73" s="1"/>
      <c r="R73" s="1"/>
      <c r="S73" s="1"/>
      <c r="T73" s="1"/>
      <c r="U73" s="1"/>
      <c r="V73" s="1"/>
      <c r="W73" s="1"/>
      <c r="X73" s="1"/>
      <c r="Y73" s="1"/>
      <c r="Z73" s="1"/>
    </row>
    <row r="74">
      <c r="A74" s="1"/>
      <c r="B74" s="3"/>
      <c r="C74" s="1"/>
      <c r="D74" s="1"/>
      <c r="E74" s="1"/>
      <c r="F74" s="1"/>
      <c r="G74" s="1"/>
      <c r="H74" s="1"/>
      <c r="I74" s="1"/>
      <c r="J74" s="1"/>
      <c r="K74" s="1"/>
      <c r="L74" s="1"/>
      <c r="M74" s="1"/>
      <c r="N74" s="1"/>
      <c r="O74" s="1"/>
      <c r="P74" s="1"/>
      <c r="Q74" s="1"/>
      <c r="R74" s="1"/>
      <c r="S74" s="1"/>
      <c r="T74" s="1"/>
      <c r="U74" s="1"/>
      <c r="V74" s="1"/>
      <c r="W74" s="1"/>
      <c r="X74" s="1"/>
      <c r="Y74" s="1"/>
      <c r="Z74" s="1"/>
    </row>
    <row r="75">
      <c r="A75" s="1"/>
      <c r="B75" s="3"/>
      <c r="C75" s="1"/>
      <c r="D75" s="1"/>
      <c r="E75" s="1"/>
      <c r="F75" s="1"/>
      <c r="G75" s="1"/>
      <c r="H75" s="1"/>
      <c r="I75" s="1"/>
      <c r="J75" s="1"/>
      <c r="K75" s="1"/>
      <c r="L75" s="1"/>
      <c r="M75" s="1"/>
      <c r="N75" s="1"/>
      <c r="O75" s="1"/>
      <c r="P75" s="1"/>
      <c r="Q75" s="1"/>
      <c r="R75" s="1"/>
      <c r="S75" s="1"/>
      <c r="T75" s="1"/>
      <c r="U75" s="1"/>
      <c r="V75" s="1"/>
      <c r="W75" s="1"/>
      <c r="X75" s="1"/>
      <c r="Y75" s="1"/>
      <c r="Z75" s="1"/>
    </row>
    <row r="76">
      <c r="A76" s="1"/>
      <c r="B76" s="3"/>
      <c r="C76" s="1"/>
      <c r="D76" s="1"/>
      <c r="E76" s="1"/>
      <c r="F76" s="1"/>
      <c r="G76" s="1"/>
      <c r="H76" s="1"/>
      <c r="I76" s="1"/>
      <c r="J76" s="1"/>
      <c r="K76" s="1"/>
      <c r="L76" s="1"/>
      <c r="M76" s="1"/>
      <c r="N76" s="1"/>
      <c r="O76" s="1"/>
      <c r="P76" s="1"/>
      <c r="Q76" s="1"/>
      <c r="R76" s="1"/>
      <c r="S76" s="1"/>
      <c r="T76" s="1"/>
      <c r="U76" s="1"/>
      <c r="V76" s="1"/>
      <c r="W76" s="1"/>
      <c r="X76" s="1"/>
      <c r="Y76" s="1"/>
      <c r="Z76" s="1"/>
    </row>
    <row r="77">
      <c r="A77" s="1"/>
      <c r="B77" s="3"/>
      <c r="C77" s="1"/>
      <c r="D77" s="1"/>
      <c r="E77" s="1"/>
      <c r="F77" s="1"/>
      <c r="G77" s="1"/>
      <c r="H77" s="1"/>
      <c r="I77" s="1"/>
      <c r="J77" s="1"/>
      <c r="K77" s="1"/>
      <c r="L77" s="1"/>
      <c r="M77" s="1"/>
      <c r="N77" s="1"/>
      <c r="O77" s="1"/>
      <c r="P77" s="1"/>
      <c r="Q77" s="1"/>
      <c r="R77" s="1"/>
      <c r="S77" s="1"/>
      <c r="T77" s="1"/>
      <c r="U77" s="1"/>
      <c r="V77" s="1"/>
      <c r="W77" s="1"/>
      <c r="X77" s="1"/>
      <c r="Y77" s="1"/>
      <c r="Z77" s="1"/>
    </row>
    <row r="78">
      <c r="A78" s="1"/>
      <c r="B78" s="3"/>
      <c r="C78" s="1"/>
      <c r="D78" s="1"/>
      <c r="E78" s="1"/>
      <c r="F78" s="1"/>
      <c r="G78" s="1"/>
      <c r="H78" s="1"/>
      <c r="I78" s="1"/>
      <c r="J78" s="1"/>
      <c r="K78" s="1"/>
      <c r="L78" s="1"/>
      <c r="M78" s="1"/>
      <c r="N78" s="1"/>
      <c r="O78" s="1"/>
      <c r="P78" s="1"/>
      <c r="Q78" s="1"/>
      <c r="R78" s="1"/>
      <c r="S78" s="1"/>
      <c r="T78" s="1"/>
      <c r="U78" s="1"/>
      <c r="V78" s="1"/>
      <c r="W78" s="1"/>
      <c r="X78" s="1"/>
      <c r="Y78" s="1"/>
      <c r="Z78" s="1"/>
    </row>
    <row r="79">
      <c r="A79" s="1"/>
      <c r="B79" s="3"/>
      <c r="C79" s="1"/>
      <c r="D79" s="1"/>
      <c r="E79" s="1"/>
      <c r="F79" s="1"/>
      <c r="G79" s="1"/>
      <c r="H79" s="1"/>
      <c r="I79" s="1"/>
      <c r="J79" s="1"/>
      <c r="K79" s="1"/>
      <c r="L79" s="1"/>
      <c r="M79" s="1"/>
      <c r="N79" s="1"/>
      <c r="O79" s="1"/>
      <c r="P79" s="1"/>
      <c r="Q79" s="1"/>
      <c r="R79" s="1"/>
      <c r="S79" s="1"/>
      <c r="T79" s="1"/>
      <c r="U79" s="1"/>
      <c r="V79" s="1"/>
      <c r="W79" s="1"/>
      <c r="X79" s="1"/>
      <c r="Y79" s="1"/>
      <c r="Z79" s="1"/>
    </row>
    <row r="80">
      <c r="A80" s="1"/>
      <c r="B80" s="3"/>
      <c r="C80" s="1"/>
      <c r="D80" s="1"/>
      <c r="E80" s="1"/>
      <c r="F80" s="1"/>
      <c r="G80" s="1"/>
      <c r="H80" s="1"/>
      <c r="I80" s="1"/>
      <c r="J80" s="1"/>
      <c r="K80" s="1"/>
      <c r="L80" s="1"/>
      <c r="M80" s="1"/>
      <c r="N80" s="1"/>
      <c r="O80" s="1"/>
      <c r="P80" s="1"/>
      <c r="Q80" s="1"/>
      <c r="R80" s="1"/>
      <c r="S80" s="1"/>
      <c r="T80" s="1"/>
      <c r="U80" s="1"/>
      <c r="V80" s="1"/>
      <c r="W80" s="1"/>
      <c r="X80" s="1"/>
      <c r="Y80" s="1"/>
      <c r="Z80" s="1"/>
    </row>
    <row r="81">
      <c r="A81" s="1"/>
      <c r="B81" s="3"/>
      <c r="C81" s="1"/>
      <c r="D81" s="1"/>
      <c r="E81" s="1"/>
      <c r="F81" s="1"/>
      <c r="G81" s="1"/>
      <c r="H81" s="1"/>
      <c r="I81" s="1"/>
      <c r="J81" s="1"/>
      <c r="K81" s="1"/>
      <c r="L81" s="1"/>
      <c r="M81" s="1"/>
      <c r="N81" s="1"/>
      <c r="O81" s="1"/>
      <c r="P81" s="1"/>
      <c r="Q81" s="1"/>
      <c r="R81" s="1"/>
      <c r="S81" s="1"/>
      <c r="T81" s="1"/>
      <c r="U81" s="1"/>
      <c r="V81" s="1"/>
      <c r="W81" s="1"/>
      <c r="X81" s="1"/>
      <c r="Y81" s="1"/>
      <c r="Z81" s="1"/>
    </row>
    <row r="82">
      <c r="A82" s="1"/>
      <c r="B82" s="3"/>
      <c r="C82" s="1"/>
      <c r="D82" s="1"/>
      <c r="E82" s="1"/>
      <c r="F82" s="1"/>
      <c r="G82" s="1"/>
      <c r="H82" s="1"/>
      <c r="I82" s="1"/>
      <c r="J82" s="1"/>
      <c r="K82" s="1"/>
      <c r="L82" s="1"/>
      <c r="M82" s="1"/>
      <c r="N82" s="1"/>
      <c r="O82" s="1"/>
      <c r="P82" s="1"/>
      <c r="Q82" s="1"/>
      <c r="R82" s="1"/>
      <c r="S82" s="1"/>
      <c r="T82" s="1"/>
      <c r="U82" s="1"/>
      <c r="V82" s="1"/>
      <c r="W82" s="1"/>
      <c r="X82" s="1"/>
      <c r="Y82" s="1"/>
      <c r="Z82" s="1"/>
    </row>
    <row r="83">
      <c r="A83" s="1"/>
      <c r="B83" s="3"/>
      <c r="C83" s="1"/>
      <c r="D83" s="1"/>
      <c r="E83" s="1"/>
      <c r="F83" s="1"/>
      <c r="G83" s="1"/>
      <c r="H83" s="1"/>
      <c r="I83" s="1"/>
      <c r="J83" s="1"/>
      <c r="K83" s="1"/>
      <c r="L83" s="1"/>
      <c r="M83" s="1"/>
      <c r="N83" s="1"/>
      <c r="O83" s="1"/>
      <c r="P83" s="1"/>
      <c r="Q83" s="1"/>
      <c r="R83" s="1"/>
      <c r="S83" s="1"/>
      <c r="T83" s="1"/>
      <c r="U83" s="1"/>
      <c r="V83" s="1"/>
      <c r="W83" s="1"/>
      <c r="X83" s="1"/>
      <c r="Y83" s="1"/>
      <c r="Z83" s="1"/>
    </row>
    <row r="84">
      <c r="A84" s="1"/>
      <c r="B84" s="3"/>
      <c r="C84" s="1"/>
      <c r="D84" s="1"/>
      <c r="E84" s="1"/>
      <c r="F84" s="1"/>
      <c r="G84" s="1"/>
      <c r="H84" s="1"/>
      <c r="I84" s="1"/>
      <c r="J84" s="1"/>
      <c r="K84" s="1"/>
      <c r="L84" s="1"/>
      <c r="M84" s="1"/>
      <c r="N84" s="1"/>
      <c r="O84" s="1"/>
      <c r="P84" s="1"/>
      <c r="Q84" s="1"/>
      <c r="R84" s="1"/>
      <c r="S84" s="1"/>
      <c r="T84" s="1"/>
      <c r="U84" s="1"/>
      <c r="V84" s="1"/>
      <c r="W84" s="1"/>
      <c r="X84" s="1"/>
      <c r="Y84" s="1"/>
      <c r="Z84" s="1"/>
    </row>
    <row r="85">
      <c r="A85" s="1"/>
      <c r="B85" s="3"/>
      <c r="C85" s="1"/>
      <c r="D85" s="1"/>
      <c r="E85" s="1"/>
      <c r="F85" s="1"/>
      <c r="G85" s="1"/>
      <c r="H85" s="1"/>
      <c r="I85" s="1"/>
      <c r="J85" s="1"/>
      <c r="K85" s="1"/>
      <c r="L85" s="1"/>
      <c r="M85" s="1"/>
      <c r="N85" s="1"/>
      <c r="O85" s="1"/>
      <c r="P85" s="1"/>
      <c r="Q85" s="1"/>
      <c r="R85" s="1"/>
      <c r="S85" s="1"/>
      <c r="T85" s="1"/>
      <c r="U85" s="1"/>
      <c r="V85" s="1"/>
      <c r="W85" s="1"/>
      <c r="X85" s="1"/>
      <c r="Y85" s="1"/>
      <c r="Z85" s="1"/>
    </row>
    <row r="86">
      <c r="A86" s="1"/>
      <c r="B86" s="3"/>
      <c r="C86" s="1"/>
      <c r="D86" s="1"/>
      <c r="E86" s="1"/>
      <c r="F86" s="1"/>
      <c r="G86" s="1"/>
      <c r="H86" s="1"/>
      <c r="I86" s="1"/>
      <c r="J86" s="1"/>
      <c r="K86" s="1"/>
      <c r="L86" s="1"/>
      <c r="M86" s="1"/>
      <c r="N86" s="1"/>
      <c r="O86" s="1"/>
      <c r="P86" s="1"/>
      <c r="Q86" s="1"/>
      <c r="R86" s="1"/>
      <c r="S86" s="1"/>
      <c r="T86" s="1"/>
      <c r="U86" s="1"/>
      <c r="V86" s="1"/>
      <c r="W86" s="1"/>
      <c r="X86" s="1"/>
      <c r="Y86" s="1"/>
      <c r="Z86" s="1"/>
    </row>
    <row r="87">
      <c r="A87" s="1"/>
      <c r="B87" s="3"/>
      <c r="C87" s="1"/>
      <c r="D87" s="1"/>
      <c r="E87" s="1"/>
      <c r="F87" s="1"/>
      <c r="G87" s="1"/>
      <c r="H87" s="1"/>
      <c r="I87" s="1"/>
      <c r="J87" s="1"/>
      <c r="K87" s="1"/>
      <c r="L87" s="1"/>
      <c r="M87" s="1"/>
      <c r="N87" s="1"/>
      <c r="O87" s="1"/>
      <c r="P87" s="1"/>
      <c r="Q87" s="1"/>
      <c r="R87" s="1"/>
      <c r="S87" s="1"/>
      <c r="T87" s="1"/>
      <c r="U87" s="1"/>
      <c r="V87" s="1"/>
      <c r="W87" s="1"/>
      <c r="X87" s="1"/>
      <c r="Y87" s="1"/>
      <c r="Z87" s="1"/>
    </row>
    <row r="88">
      <c r="A88" s="1"/>
      <c r="B88" s="3"/>
      <c r="C88" s="1"/>
      <c r="D88" s="1"/>
      <c r="E88" s="1"/>
      <c r="F88" s="1"/>
      <c r="G88" s="1"/>
      <c r="H88" s="1"/>
      <c r="I88" s="1"/>
      <c r="J88" s="1"/>
      <c r="K88" s="1"/>
      <c r="L88" s="1"/>
      <c r="M88" s="1"/>
      <c r="N88" s="1"/>
      <c r="O88" s="1"/>
      <c r="P88" s="1"/>
      <c r="Q88" s="1"/>
      <c r="R88" s="1"/>
      <c r="S88" s="1"/>
      <c r="T88" s="1"/>
      <c r="U88" s="1"/>
      <c r="V88" s="1"/>
      <c r="W88" s="1"/>
      <c r="X88" s="1"/>
      <c r="Y88" s="1"/>
      <c r="Z88" s="1"/>
    </row>
    <row r="89">
      <c r="A89" s="1"/>
      <c r="B89" s="3"/>
      <c r="C89" s="1"/>
      <c r="D89" s="1"/>
      <c r="E89" s="1"/>
      <c r="F89" s="1"/>
      <c r="G89" s="1"/>
      <c r="H89" s="1"/>
      <c r="I89" s="1"/>
      <c r="J89" s="1"/>
      <c r="K89" s="1"/>
      <c r="L89" s="1"/>
      <c r="M89" s="1"/>
      <c r="N89" s="1"/>
      <c r="O89" s="1"/>
      <c r="P89" s="1"/>
      <c r="Q89" s="1"/>
      <c r="R89" s="1"/>
      <c r="S89" s="1"/>
      <c r="T89" s="1"/>
      <c r="U89" s="1"/>
      <c r="V89" s="1"/>
      <c r="W89" s="1"/>
      <c r="X89" s="1"/>
      <c r="Y89" s="1"/>
      <c r="Z89" s="1"/>
    </row>
    <row r="90">
      <c r="A90" s="1"/>
      <c r="B90" s="3"/>
      <c r="C90" s="1"/>
      <c r="D90" s="1"/>
      <c r="E90" s="1"/>
      <c r="F90" s="1"/>
      <c r="G90" s="1"/>
      <c r="H90" s="1"/>
      <c r="I90" s="1"/>
      <c r="J90" s="1"/>
      <c r="K90" s="1"/>
      <c r="L90" s="1"/>
      <c r="M90" s="1"/>
      <c r="N90" s="1"/>
      <c r="O90" s="1"/>
      <c r="P90" s="1"/>
      <c r="Q90" s="1"/>
      <c r="R90" s="1"/>
      <c r="S90" s="1"/>
      <c r="T90" s="1"/>
      <c r="U90" s="1"/>
      <c r="V90" s="1"/>
      <c r="W90" s="1"/>
      <c r="X90" s="1"/>
      <c r="Y90" s="1"/>
      <c r="Z90" s="1"/>
    </row>
    <row r="91">
      <c r="A91" s="1"/>
      <c r="B91" s="3"/>
      <c r="C91" s="1"/>
      <c r="D91" s="1"/>
      <c r="E91" s="1"/>
      <c r="F91" s="1"/>
      <c r="G91" s="1"/>
      <c r="H91" s="1"/>
      <c r="I91" s="1"/>
      <c r="J91" s="1"/>
      <c r="K91" s="1"/>
      <c r="L91" s="1"/>
      <c r="M91" s="1"/>
      <c r="N91" s="1"/>
      <c r="O91" s="1"/>
      <c r="P91" s="1"/>
      <c r="Q91" s="1"/>
      <c r="R91" s="1"/>
      <c r="S91" s="1"/>
      <c r="T91" s="1"/>
      <c r="U91" s="1"/>
      <c r="V91" s="1"/>
      <c r="W91" s="1"/>
      <c r="X91" s="1"/>
      <c r="Y91" s="1"/>
      <c r="Z91" s="1"/>
    </row>
    <row r="92">
      <c r="A92" s="1"/>
      <c r="B92" s="3"/>
      <c r="C92" s="1"/>
      <c r="D92" s="1"/>
      <c r="E92" s="1"/>
      <c r="F92" s="1"/>
      <c r="G92" s="1"/>
      <c r="H92" s="1"/>
      <c r="I92" s="1"/>
      <c r="J92" s="1"/>
      <c r="K92" s="1"/>
      <c r="L92" s="1"/>
      <c r="M92" s="1"/>
      <c r="N92" s="1"/>
      <c r="O92" s="1"/>
      <c r="P92" s="1"/>
      <c r="Q92" s="1"/>
      <c r="R92" s="1"/>
      <c r="S92" s="1"/>
      <c r="T92" s="1"/>
      <c r="U92" s="1"/>
      <c r="V92" s="1"/>
      <c r="W92" s="1"/>
      <c r="X92" s="1"/>
      <c r="Y92" s="1"/>
      <c r="Z92" s="1"/>
    </row>
    <row r="93">
      <c r="A93" s="1"/>
      <c r="B93" s="3"/>
      <c r="C93" s="1"/>
      <c r="D93" s="1"/>
      <c r="E93" s="1"/>
      <c r="F93" s="1"/>
      <c r="G93" s="1"/>
      <c r="H93" s="1"/>
      <c r="I93" s="1"/>
      <c r="J93" s="1"/>
      <c r="K93" s="1"/>
      <c r="L93" s="1"/>
      <c r="M93" s="1"/>
      <c r="N93" s="1"/>
      <c r="O93" s="1"/>
      <c r="P93" s="1"/>
      <c r="Q93" s="1"/>
      <c r="R93" s="1"/>
      <c r="S93" s="1"/>
      <c r="T93" s="1"/>
      <c r="U93" s="1"/>
      <c r="V93" s="1"/>
      <c r="W93" s="1"/>
      <c r="X93" s="1"/>
      <c r="Y93" s="1"/>
      <c r="Z93" s="1"/>
    </row>
    <row r="94">
      <c r="A94" s="1"/>
      <c r="B94" s="3"/>
      <c r="C94" s="1"/>
      <c r="D94" s="1"/>
      <c r="E94" s="1"/>
      <c r="F94" s="1"/>
      <c r="G94" s="1"/>
      <c r="H94" s="1"/>
      <c r="I94" s="1"/>
      <c r="J94" s="1"/>
      <c r="K94" s="1"/>
      <c r="L94" s="1"/>
      <c r="M94" s="1"/>
      <c r="N94" s="1"/>
      <c r="O94" s="1"/>
      <c r="P94" s="1"/>
      <c r="Q94" s="1"/>
      <c r="R94" s="1"/>
      <c r="S94" s="1"/>
      <c r="T94" s="1"/>
      <c r="U94" s="1"/>
      <c r="V94" s="1"/>
      <c r="W94" s="1"/>
      <c r="X94" s="1"/>
      <c r="Y94" s="1"/>
      <c r="Z94" s="1"/>
    </row>
    <row r="95">
      <c r="A95" s="1"/>
      <c r="B95" s="3"/>
      <c r="C95" s="1"/>
      <c r="D95" s="1"/>
      <c r="E95" s="1"/>
      <c r="F95" s="1"/>
      <c r="G95" s="1"/>
      <c r="H95" s="1"/>
      <c r="I95" s="1"/>
      <c r="J95" s="1"/>
      <c r="K95" s="1"/>
      <c r="L95" s="1"/>
      <c r="M95" s="1"/>
      <c r="N95" s="1"/>
      <c r="O95" s="1"/>
      <c r="P95" s="1"/>
      <c r="Q95" s="1"/>
      <c r="R95" s="1"/>
      <c r="S95" s="1"/>
      <c r="T95" s="1"/>
      <c r="U95" s="1"/>
      <c r="V95" s="1"/>
      <c r="W95" s="1"/>
      <c r="X95" s="1"/>
      <c r="Y95" s="1"/>
      <c r="Z95" s="1"/>
    </row>
    <row r="96">
      <c r="A96" s="1"/>
      <c r="B96" s="3"/>
      <c r="C96" s="1"/>
      <c r="D96" s="1"/>
      <c r="E96" s="1"/>
      <c r="F96" s="1"/>
      <c r="G96" s="1"/>
      <c r="H96" s="1"/>
      <c r="I96" s="1"/>
      <c r="J96" s="1"/>
      <c r="K96" s="1"/>
      <c r="L96" s="1"/>
      <c r="M96" s="1"/>
      <c r="N96" s="1"/>
      <c r="O96" s="1"/>
      <c r="P96" s="1"/>
      <c r="Q96" s="1"/>
      <c r="R96" s="1"/>
      <c r="S96" s="1"/>
      <c r="T96" s="1"/>
      <c r="U96" s="1"/>
      <c r="V96" s="1"/>
      <c r="W96" s="1"/>
      <c r="X96" s="1"/>
      <c r="Y96" s="1"/>
      <c r="Z96" s="1"/>
    </row>
    <row r="97">
      <c r="A97" s="1"/>
      <c r="B97" s="3"/>
      <c r="C97" s="1"/>
      <c r="D97" s="1"/>
      <c r="E97" s="1"/>
      <c r="F97" s="1"/>
      <c r="G97" s="1"/>
      <c r="H97" s="1"/>
      <c r="I97" s="1"/>
      <c r="J97" s="1"/>
      <c r="K97" s="1"/>
      <c r="L97" s="1"/>
      <c r="M97" s="1"/>
      <c r="N97" s="1"/>
      <c r="O97" s="1"/>
      <c r="P97" s="1"/>
      <c r="Q97" s="1"/>
      <c r="R97" s="1"/>
      <c r="S97" s="1"/>
      <c r="T97" s="1"/>
      <c r="U97" s="1"/>
      <c r="V97" s="1"/>
      <c r="W97" s="1"/>
      <c r="X97" s="1"/>
      <c r="Y97" s="1"/>
      <c r="Z97" s="1"/>
    </row>
    <row r="98">
      <c r="A98" s="1"/>
      <c r="B98" s="3"/>
      <c r="C98" s="1"/>
      <c r="D98" s="1"/>
      <c r="E98" s="1"/>
      <c r="F98" s="1"/>
      <c r="G98" s="1"/>
      <c r="H98" s="1"/>
      <c r="I98" s="1"/>
      <c r="J98" s="1"/>
      <c r="K98" s="1"/>
      <c r="L98" s="1"/>
      <c r="M98" s="1"/>
      <c r="N98" s="1"/>
      <c r="O98" s="1"/>
      <c r="P98" s="1"/>
      <c r="Q98" s="1"/>
      <c r="R98" s="1"/>
      <c r="S98" s="1"/>
      <c r="T98" s="1"/>
      <c r="U98" s="1"/>
      <c r="V98" s="1"/>
      <c r="W98" s="1"/>
      <c r="X98" s="1"/>
      <c r="Y98" s="1"/>
      <c r="Z98" s="1"/>
    </row>
    <row r="99">
      <c r="A99" s="1"/>
      <c r="B99" s="3"/>
      <c r="C99" s="1"/>
      <c r="D99" s="1"/>
      <c r="E99" s="1"/>
      <c r="F99" s="1"/>
      <c r="G99" s="1"/>
      <c r="H99" s="1"/>
      <c r="I99" s="1"/>
      <c r="J99" s="1"/>
      <c r="K99" s="1"/>
      <c r="L99" s="1"/>
      <c r="M99" s="1"/>
      <c r="N99" s="1"/>
      <c r="O99" s="1"/>
      <c r="P99" s="1"/>
      <c r="Q99" s="1"/>
      <c r="R99" s="1"/>
      <c r="S99" s="1"/>
      <c r="T99" s="1"/>
      <c r="U99" s="1"/>
      <c r="V99" s="1"/>
      <c r="W99" s="1"/>
      <c r="X99" s="1"/>
      <c r="Y99" s="1"/>
      <c r="Z99" s="1"/>
    </row>
    <row r="100">
      <c r="A100" s="1"/>
      <c r="B100" s="3"/>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3"/>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3"/>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3"/>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3"/>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3"/>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3"/>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3"/>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3"/>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3"/>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3"/>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3"/>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3"/>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3"/>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3"/>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3"/>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3"/>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3"/>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3"/>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3"/>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3"/>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3"/>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3"/>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3"/>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3"/>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3"/>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3"/>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3"/>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3"/>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3"/>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3"/>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3"/>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3"/>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3"/>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3"/>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3"/>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3"/>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3"/>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3"/>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3"/>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3"/>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3"/>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3"/>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3"/>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3"/>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3"/>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3"/>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3"/>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3"/>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3"/>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3"/>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3"/>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3"/>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3"/>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3"/>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3"/>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3"/>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3"/>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3"/>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3"/>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3"/>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3"/>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3"/>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3"/>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3"/>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3"/>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3"/>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3"/>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3"/>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3"/>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3"/>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3"/>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3"/>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3"/>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3"/>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3"/>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3"/>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3"/>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3"/>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3"/>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3"/>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3"/>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3"/>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3"/>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3"/>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3"/>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3"/>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3"/>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3"/>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3"/>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3"/>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3"/>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3"/>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3"/>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3"/>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3"/>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3"/>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3"/>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3"/>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3"/>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3"/>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3"/>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3"/>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3"/>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3"/>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3"/>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3"/>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3"/>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3"/>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3"/>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3"/>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3"/>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3"/>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3"/>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3"/>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3"/>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3"/>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3"/>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3"/>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3"/>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3"/>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3"/>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3"/>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3"/>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3"/>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3"/>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3"/>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3"/>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3"/>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3"/>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3"/>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3"/>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3"/>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3"/>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3"/>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3"/>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3"/>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3"/>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3"/>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3"/>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3"/>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3"/>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3"/>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3"/>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3"/>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3"/>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3"/>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3"/>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3"/>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3"/>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3"/>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3"/>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3"/>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3"/>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3"/>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3"/>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3"/>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3"/>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3"/>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3"/>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3"/>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3"/>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3"/>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3"/>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3"/>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3"/>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3"/>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3"/>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3"/>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3"/>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3"/>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3"/>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3"/>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3"/>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3"/>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3"/>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3"/>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3"/>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3"/>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3"/>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3"/>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3"/>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3"/>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3"/>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3"/>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3"/>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3"/>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3"/>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3"/>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3"/>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3"/>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3"/>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3"/>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3"/>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3"/>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3"/>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3"/>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3"/>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3"/>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3"/>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3"/>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3"/>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3"/>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3"/>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3"/>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3"/>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3"/>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3"/>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3"/>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3"/>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3"/>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3"/>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3"/>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3"/>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3"/>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3"/>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3"/>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3"/>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3"/>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3"/>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3"/>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3"/>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3"/>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3"/>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3"/>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3"/>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3"/>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3"/>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3"/>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3"/>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3"/>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3"/>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3"/>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3"/>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3"/>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3"/>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3"/>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3"/>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3"/>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3"/>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3"/>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3"/>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3"/>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3"/>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3"/>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3"/>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3"/>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3"/>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3"/>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3"/>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3"/>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3"/>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3"/>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3"/>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3"/>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3"/>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3"/>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3"/>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3"/>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3"/>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3"/>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3"/>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3"/>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3"/>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3"/>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3"/>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3"/>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3"/>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3"/>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3"/>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3"/>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3"/>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3"/>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3"/>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3"/>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3"/>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3"/>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3"/>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3"/>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3"/>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3"/>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3"/>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3"/>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3"/>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3"/>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3"/>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3"/>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3"/>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3"/>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3"/>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3"/>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3"/>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3"/>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3"/>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3"/>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3"/>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3"/>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3"/>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3"/>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3"/>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3"/>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3"/>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3"/>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3"/>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3"/>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3"/>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3"/>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3"/>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3"/>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3"/>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3"/>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3"/>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3"/>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3"/>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3"/>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3"/>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3"/>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3"/>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3"/>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3"/>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3"/>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3"/>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3"/>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3"/>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3"/>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3"/>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3"/>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3"/>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3"/>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3"/>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3"/>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3"/>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3"/>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3"/>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3"/>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3"/>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3"/>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3"/>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3"/>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3"/>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3"/>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3"/>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3"/>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3"/>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3"/>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3"/>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3"/>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3"/>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3"/>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3"/>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3"/>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3"/>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3"/>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3"/>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3"/>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3"/>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3"/>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3"/>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3"/>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3"/>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3"/>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3"/>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3"/>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3"/>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3"/>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3"/>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3"/>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3"/>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3"/>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3"/>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3"/>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3"/>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3"/>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3"/>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3"/>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3"/>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3"/>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3"/>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3"/>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3"/>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3"/>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3"/>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3"/>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3"/>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3"/>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3"/>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3"/>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3"/>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3"/>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3"/>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3"/>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3"/>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3"/>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3"/>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3"/>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3"/>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3"/>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3"/>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3"/>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3"/>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3"/>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3"/>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3"/>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3"/>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3"/>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3"/>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3"/>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3"/>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3"/>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3"/>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3"/>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3"/>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3"/>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3"/>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3"/>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3"/>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3"/>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3"/>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3"/>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3"/>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3"/>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3"/>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3"/>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3"/>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3"/>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3"/>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3"/>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3"/>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3"/>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3"/>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3"/>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3"/>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3"/>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3"/>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3"/>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3"/>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3"/>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3"/>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3"/>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3"/>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3"/>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3"/>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3"/>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3"/>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3"/>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3"/>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3"/>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3"/>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3"/>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3"/>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3"/>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3"/>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3"/>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3"/>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3"/>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3"/>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3"/>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3"/>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3"/>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3"/>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3"/>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3"/>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3"/>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3"/>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3"/>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3"/>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3"/>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3"/>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3"/>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3"/>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3"/>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3"/>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3"/>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3"/>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3"/>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3"/>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3"/>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3"/>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3"/>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3"/>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3"/>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3"/>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3"/>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3"/>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3"/>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3"/>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3"/>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3"/>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3"/>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3"/>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3"/>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3"/>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3"/>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3"/>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3"/>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3"/>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3"/>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3"/>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3"/>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3"/>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3"/>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3"/>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3"/>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3"/>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3"/>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3"/>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3"/>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3"/>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3"/>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3"/>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3"/>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3"/>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3"/>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3"/>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3"/>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3"/>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3"/>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3"/>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3"/>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3"/>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3"/>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3"/>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3"/>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3"/>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3"/>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3"/>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3"/>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3"/>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3"/>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3"/>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3"/>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3"/>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3"/>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3"/>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3"/>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3"/>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3"/>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3"/>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3"/>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3"/>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3"/>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3"/>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3"/>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3"/>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3"/>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3"/>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3"/>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3"/>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3"/>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3"/>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3"/>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3"/>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3"/>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3"/>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3"/>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3"/>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3"/>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3"/>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3"/>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3"/>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3"/>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3"/>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3"/>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3"/>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3"/>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3"/>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3"/>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3"/>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3"/>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3"/>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3"/>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3"/>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3"/>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3"/>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3"/>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3"/>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3"/>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3"/>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3"/>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3"/>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3"/>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3"/>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3"/>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3"/>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3"/>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3"/>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3"/>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3"/>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3"/>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3"/>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3"/>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3"/>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3"/>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3"/>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3"/>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3"/>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3"/>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3"/>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3"/>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3"/>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3"/>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3"/>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3"/>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3"/>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3"/>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3"/>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3"/>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3"/>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3"/>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3"/>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3"/>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3"/>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3"/>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3"/>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3"/>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3"/>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3"/>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3"/>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3"/>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3"/>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3"/>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3"/>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3"/>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3"/>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3"/>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3"/>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3"/>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3"/>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3"/>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3"/>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3"/>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3"/>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3"/>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3"/>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3"/>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3"/>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3"/>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3"/>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3"/>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3"/>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3"/>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3"/>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3"/>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3"/>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3"/>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3"/>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3"/>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3"/>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3"/>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3"/>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3"/>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3"/>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3"/>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3"/>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3"/>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3"/>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3"/>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3"/>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3"/>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3"/>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3"/>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3"/>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3"/>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3"/>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3"/>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3"/>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3"/>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3"/>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3"/>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3"/>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3"/>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3"/>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3"/>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3"/>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3"/>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3"/>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3"/>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3"/>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3"/>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3"/>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3"/>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3"/>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3"/>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3"/>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3"/>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3"/>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3"/>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3"/>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3"/>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3"/>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3"/>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3"/>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3"/>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3"/>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3"/>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3"/>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3"/>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3"/>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3"/>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3"/>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3"/>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3"/>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3"/>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3"/>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3"/>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3"/>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3"/>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3"/>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3"/>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3"/>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3"/>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3"/>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3"/>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3"/>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3"/>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3"/>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3"/>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3"/>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3"/>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3"/>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3"/>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3"/>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3"/>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3"/>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3"/>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3"/>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3"/>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3"/>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3"/>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3"/>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3"/>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3"/>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3"/>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3"/>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3"/>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3"/>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3"/>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3"/>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3"/>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3"/>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3"/>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3"/>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3"/>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3"/>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3"/>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3"/>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3"/>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3"/>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3"/>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3"/>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3"/>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3"/>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3"/>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3"/>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3"/>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3"/>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3"/>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3"/>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3"/>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3"/>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3"/>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3"/>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3"/>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3"/>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3"/>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3"/>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3"/>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3"/>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3"/>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3"/>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3"/>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3"/>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3"/>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3"/>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3"/>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3"/>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3"/>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3"/>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3"/>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3"/>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3"/>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3"/>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3"/>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3"/>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3"/>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3"/>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3"/>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3"/>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3"/>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3"/>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3"/>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3"/>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3"/>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3"/>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3"/>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3"/>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3"/>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3"/>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3"/>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3"/>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3"/>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3"/>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3"/>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3"/>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3"/>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3"/>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3"/>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3"/>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3"/>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3"/>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3"/>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3"/>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3"/>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3"/>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3"/>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3"/>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3"/>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3"/>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3"/>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3"/>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3"/>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3"/>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3"/>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3"/>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3"/>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3"/>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3"/>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3"/>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3"/>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3"/>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3"/>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3"/>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3"/>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3"/>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3"/>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3"/>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3"/>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3"/>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3"/>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3"/>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3"/>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3"/>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3"/>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3"/>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3"/>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3"/>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3"/>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3"/>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3"/>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3"/>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3"/>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3"/>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3"/>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3"/>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3"/>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3"/>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3"/>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3"/>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3"/>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3"/>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3"/>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3"/>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3"/>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3"/>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3"/>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3"/>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3"/>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3"/>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3"/>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3"/>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3"/>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3"/>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3"/>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3"/>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3"/>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3"/>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3"/>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3"/>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3"/>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3"/>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3"/>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3"/>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3"/>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3"/>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3"/>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3"/>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3"/>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3"/>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3"/>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3"/>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3"/>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3"/>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3"/>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3"/>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3"/>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3"/>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3"/>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3"/>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3"/>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3"/>
      <c r="C1000" s="1"/>
      <c r="D1000" s="1"/>
      <c r="E1000" s="20" t="s">
        <v>16</v>
      </c>
      <c r="F1000" s="1"/>
      <c r="G1000" s="1"/>
      <c r="H1000" s="1"/>
      <c r="I1000" s="1"/>
      <c r="J1000" s="1"/>
      <c r="K1000" s="1"/>
      <c r="L1000" s="1"/>
      <c r="M1000" s="1"/>
      <c r="N1000" s="1"/>
      <c r="O1000" s="1"/>
      <c r="P1000" s="1"/>
      <c r="Q1000" s="1"/>
      <c r="R1000" s="1"/>
      <c r="S1000" s="1"/>
      <c r="T1000" s="1"/>
      <c r="U1000" s="1"/>
      <c r="V1000" s="1"/>
      <c r="W1000" s="1"/>
      <c r="X1000" s="1"/>
      <c r="Y1000" s="1"/>
      <c r="Z1000" s="1"/>
    </row>
  </sheetData>
  <conditionalFormatting sqref="A3:Z3">
    <cfRule type="notContainsBlanks" dxfId="0" priority="1">
      <formula>LEN(TRIM(A3))&gt;0</formula>
    </cfRule>
  </conditionalFormatting>
  <dataValidations>
    <dataValidation type="list" allowBlank="1" showErrorMessage="1" sqref="I4:I29">
      <formula1>"BU1BLT,BU2BLB,BU3BLN,BU4BAV,BU5BSB,BU6BSLC,BU7BO,BU11ANN,BU13LG,BU14BSC,BU15BEP,BU16BER,BU17ANNER,BU18ZGB,BU19BM,BU20BB,BU21AA,BU22AMG,BU23ANNSC,BU24BLP,BU25SSV,BU26SSP"</formula1>
    </dataValidation>
    <dataValidation type="list" allowBlank="1" showErrorMessage="1" sqref="G4:G29">
      <formula1>"No Entrevistado,Sala, D,Villarroel, A,Mesa, R,Gonzalez, F,Luna, D,Roccio, M"</formula1>
    </dataValidation>
    <dataValidation type="list" allowBlank="1" showErrorMessage="1" sqref="H4:H29 K4:K29">
      <formula1>"Si,No"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13.88"/>
    <col customWidth="1" min="2" max="2" width="7.38"/>
    <col customWidth="1" min="3" max="4" width="8.25"/>
    <col customWidth="1" min="5" max="5" width="5.63"/>
    <col customWidth="1" min="6" max="6" width="6.38"/>
    <col customWidth="1" min="7" max="7" width="5.63"/>
    <col customWidth="1" min="8" max="8" width="5.38"/>
    <col customWidth="1" min="9" max="9" width="5.13"/>
    <col customWidth="1" min="10" max="10" width="5.38"/>
    <col customWidth="1" min="11" max="11" width="5.88"/>
    <col customWidth="1" min="12" max="12" width="5.38"/>
    <col customWidth="1" min="13" max="13" width="5.25"/>
    <col customWidth="1" min="14" max="15" width="5.5"/>
    <col customWidth="1" min="16" max="16" width="5.13"/>
    <col customWidth="1" min="17" max="17" width="5.63"/>
    <col customWidth="1" min="18" max="18" width="5.75"/>
    <col customWidth="1" min="19" max="19" width="6.38"/>
    <col customWidth="1" min="20" max="20" width="6.5"/>
    <col customWidth="1" min="21" max="21" width="6.13"/>
    <col customWidth="1" min="22" max="24" width="5.88"/>
    <col customWidth="1" min="25" max="25" width="5.38"/>
    <col customWidth="1" min="26" max="27" width="5.88"/>
    <col customWidth="1" min="28" max="28" width="6.13"/>
    <col customWidth="1" min="29" max="29" width="5.88"/>
    <col customWidth="1" min="30" max="30" width="5.75"/>
    <col customWidth="1" min="31" max="31" width="6.0"/>
    <col customWidth="1" min="32" max="32" width="6.38"/>
    <col customWidth="1" min="33" max="33" width="5.63"/>
    <col customWidth="1" min="34" max="35" width="6.0"/>
    <col customWidth="1" min="36" max="37" width="5.75"/>
    <col customWidth="1" min="38" max="38" width="6.0"/>
    <col customWidth="1" min="39" max="39" width="5.88"/>
    <col customWidth="1" min="40" max="40" width="5.75"/>
    <col customWidth="1" min="41" max="41" width="7.38"/>
    <col customWidth="1" min="42" max="42" width="6.13"/>
    <col customWidth="1" min="43" max="43" width="5.88"/>
    <col customWidth="1" min="44" max="45" width="6.0"/>
    <col customWidth="1" min="46" max="46" width="5.88"/>
    <col customWidth="1" min="47" max="48" width="6.13"/>
    <col customWidth="1" min="49" max="49" width="6.5"/>
  </cols>
  <sheetData>
    <row r="2">
      <c r="B2" s="29"/>
      <c r="C2" s="29"/>
      <c r="D2" s="33" t="s">
        <v>27</v>
      </c>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row>
    <row r="5">
      <c r="A5" s="40"/>
      <c r="B5" s="41"/>
      <c r="C5" s="41"/>
      <c r="D5" s="41"/>
      <c r="E5" s="44" t="s">
        <v>45</v>
      </c>
      <c r="F5" s="47"/>
      <c r="G5" s="48"/>
      <c r="H5" s="51" t="s">
        <v>53</v>
      </c>
      <c r="I5" s="47"/>
      <c r="J5" s="48"/>
      <c r="K5" s="51" t="s">
        <v>54</v>
      </c>
      <c r="L5" s="47"/>
      <c r="M5" s="48"/>
      <c r="N5" s="51" t="s">
        <v>57</v>
      </c>
      <c r="O5" s="47"/>
      <c r="P5" s="48"/>
      <c r="Q5" s="51" t="s">
        <v>59</v>
      </c>
      <c r="R5" s="47"/>
      <c r="S5" s="48"/>
      <c r="T5" s="51" t="s">
        <v>60</v>
      </c>
      <c r="U5" s="47"/>
      <c r="V5" s="48"/>
      <c r="W5" s="51" t="s">
        <v>62</v>
      </c>
      <c r="X5" s="47"/>
      <c r="Y5" s="48"/>
      <c r="Z5" s="51" t="s">
        <v>63</v>
      </c>
      <c r="AA5" s="47"/>
      <c r="AB5" s="48"/>
      <c r="AC5" s="51" t="s">
        <v>65</v>
      </c>
      <c r="AD5" s="47"/>
      <c r="AE5" s="48"/>
      <c r="AF5" s="51" t="s">
        <v>68</v>
      </c>
      <c r="AG5" s="47"/>
      <c r="AH5" s="48"/>
      <c r="AI5" s="51" t="s">
        <v>70</v>
      </c>
      <c r="AJ5" s="47"/>
      <c r="AK5" s="48"/>
      <c r="AL5" s="51" t="s">
        <v>71</v>
      </c>
      <c r="AM5" s="47"/>
      <c r="AN5" s="48"/>
      <c r="AO5" s="51" t="s">
        <v>73</v>
      </c>
      <c r="AP5" s="47"/>
      <c r="AQ5" s="48"/>
      <c r="AR5" s="51" t="s">
        <v>74</v>
      </c>
      <c r="AS5" s="47"/>
      <c r="AT5" s="48"/>
      <c r="AU5" s="51" t="s">
        <v>78</v>
      </c>
      <c r="AV5" s="47"/>
      <c r="AW5" s="54"/>
    </row>
    <row r="6">
      <c r="A6" s="55" t="s">
        <v>81</v>
      </c>
      <c r="B6" s="55" t="s">
        <v>84</v>
      </c>
      <c r="C6" s="56" t="s">
        <v>85</v>
      </c>
      <c r="D6" s="57" t="s">
        <v>87</v>
      </c>
      <c r="E6" s="58" t="s">
        <v>88</v>
      </c>
      <c r="F6" s="59" t="s">
        <v>90</v>
      </c>
      <c r="G6" s="60" t="s">
        <v>92</v>
      </c>
      <c r="H6" s="61" t="s">
        <v>88</v>
      </c>
      <c r="I6" s="59" t="s">
        <v>90</v>
      </c>
      <c r="J6" s="60" t="s">
        <v>92</v>
      </c>
      <c r="K6" s="61" t="s">
        <v>88</v>
      </c>
      <c r="L6" s="59" t="s">
        <v>90</v>
      </c>
      <c r="M6" s="60" t="s">
        <v>92</v>
      </c>
      <c r="N6" s="61" t="s">
        <v>88</v>
      </c>
      <c r="O6" s="62" t="s">
        <v>90</v>
      </c>
      <c r="P6" s="63" t="s">
        <v>92</v>
      </c>
      <c r="Q6" s="61" t="s">
        <v>88</v>
      </c>
      <c r="R6" s="59" t="s">
        <v>90</v>
      </c>
      <c r="S6" s="60" t="s">
        <v>92</v>
      </c>
      <c r="T6" s="61" t="s">
        <v>88</v>
      </c>
      <c r="U6" s="62" t="s">
        <v>90</v>
      </c>
      <c r="V6" s="63" t="s">
        <v>92</v>
      </c>
      <c r="W6" s="61" t="s">
        <v>88</v>
      </c>
      <c r="X6" s="62" t="s">
        <v>90</v>
      </c>
      <c r="Y6" s="63" t="s">
        <v>92</v>
      </c>
      <c r="Z6" s="61" t="s">
        <v>88</v>
      </c>
      <c r="AA6" s="62" t="s">
        <v>90</v>
      </c>
      <c r="AB6" s="63" t="s">
        <v>92</v>
      </c>
      <c r="AC6" s="61" t="s">
        <v>88</v>
      </c>
      <c r="AD6" s="62" t="s">
        <v>90</v>
      </c>
      <c r="AE6" s="63" t="s">
        <v>92</v>
      </c>
      <c r="AF6" s="61" t="s">
        <v>88</v>
      </c>
      <c r="AG6" s="64" t="s">
        <v>90</v>
      </c>
      <c r="AH6" s="65" t="s">
        <v>92</v>
      </c>
      <c r="AI6" s="61" t="s">
        <v>88</v>
      </c>
      <c r="AJ6" s="62" t="s">
        <v>90</v>
      </c>
      <c r="AK6" s="63" t="s">
        <v>92</v>
      </c>
      <c r="AL6" s="61" t="s">
        <v>88</v>
      </c>
      <c r="AM6" s="62" t="s">
        <v>90</v>
      </c>
      <c r="AN6" s="63" t="s">
        <v>92</v>
      </c>
      <c r="AO6" s="61" t="s">
        <v>88</v>
      </c>
      <c r="AP6" s="62" t="s">
        <v>90</v>
      </c>
      <c r="AQ6" s="63" t="s">
        <v>92</v>
      </c>
      <c r="AR6" s="61" t="s">
        <v>88</v>
      </c>
      <c r="AS6" s="62" t="s">
        <v>90</v>
      </c>
      <c r="AT6" s="63" t="s">
        <v>92</v>
      </c>
      <c r="AU6" s="61" t="s">
        <v>88</v>
      </c>
      <c r="AV6" s="62" t="s">
        <v>90</v>
      </c>
      <c r="AW6" s="63" t="s">
        <v>92</v>
      </c>
    </row>
    <row r="7">
      <c r="A7" s="66" t="s">
        <v>104</v>
      </c>
      <c r="B7" s="68">
        <f t="shared" ref="B7:D7" si="1">E7+H7+K7+N7+Q7+T7+W7+Z7+AC7+AF7+AI7+AL7+AO7+AR7+AU7</f>
        <v>15</v>
      </c>
      <c r="C7" s="69">
        <f t="shared" si="1"/>
        <v>17</v>
      </c>
      <c r="D7" s="70">
        <f t="shared" si="1"/>
        <v>-2</v>
      </c>
      <c r="E7" s="71">
        <v>1.0</v>
      </c>
      <c r="F7" s="72">
        <v>1.0</v>
      </c>
      <c r="G7" s="73">
        <f t="shared" ref="G7:G23" si="3">E7-F7</f>
        <v>0</v>
      </c>
      <c r="H7" s="72">
        <v>1.0</v>
      </c>
      <c r="I7" s="72">
        <v>1.0</v>
      </c>
      <c r="J7" s="74">
        <f t="shared" ref="J7:J23" si="4">H7-I7</f>
        <v>0</v>
      </c>
      <c r="K7" s="72">
        <v>1.0</v>
      </c>
      <c r="L7" s="72">
        <v>1.0</v>
      </c>
      <c r="M7" s="74">
        <f t="shared" ref="M7:M23" si="5">K7-L7</f>
        <v>0</v>
      </c>
      <c r="N7" s="72">
        <v>1.0</v>
      </c>
      <c r="O7" s="75">
        <v>2.0</v>
      </c>
      <c r="P7" s="76">
        <f t="shared" ref="P7:P23" si="6">N7-O7</f>
        <v>-1</v>
      </c>
      <c r="Q7" s="72">
        <v>1.0</v>
      </c>
      <c r="R7" s="72">
        <v>1.0</v>
      </c>
      <c r="S7" s="74">
        <f t="shared" ref="S7:S23" si="7">Q7-R7</f>
        <v>0</v>
      </c>
      <c r="T7" s="72">
        <v>1.0</v>
      </c>
      <c r="U7" s="75">
        <v>1.0</v>
      </c>
      <c r="V7" s="76">
        <f t="shared" ref="V7:V23" si="8">T7-U7</f>
        <v>0</v>
      </c>
      <c r="W7" s="72">
        <v>1.0</v>
      </c>
      <c r="X7" s="72">
        <v>1.0</v>
      </c>
      <c r="Y7" s="74">
        <f t="shared" ref="Y7:Y23" si="9">W7-X7</f>
        <v>0</v>
      </c>
      <c r="Z7" s="72">
        <v>1.0</v>
      </c>
      <c r="AA7" s="75">
        <v>2.0</v>
      </c>
      <c r="AB7" s="76">
        <f t="shared" ref="AB7:AB23" si="10">Z7-AA7</f>
        <v>-1</v>
      </c>
      <c r="AC7" s="72">
        <v>1.0</v>
      </c>
      <c r="AD7" s="72">
        <v>1.0</v>
      </c>
      <c r="AE7" s="74">
        <f t="shared" ref="AE7:AE23" si="11">AC7-AD7</f>
        <v>0</v>
      </c>
      <c r="AF7" s="77">
        <v>1.0</v>
      </c>
      <c r="AG7" s="75">
        <v>1.0</v>
      </c>
      <c r="AH7" s="76">
        <f t="shared" ref="AH7:AH23" si="12">AF7-AG7</f>
        <v>0</v>
      </c>
      <c r="AI7" s="72">
        <v>1.0</v>
      </c>
      <c r="AJ7" s="72">
        <v>1.0</v>
      </c>
      <c r="AK7" s="74">
        <f t="shared" ref="AK7:AK23" si="13">AI7-AJ7</f>
        <v>0</v>
      </c>
      <c r="AL7" s="72">
        <v>1.0</v>
      </c>
      <c r="AM7" s="72">
        <v>1.0</v>
      </c>
      <c r="AN7" s="74">
        <f t="shared" ref="AN7:AN23" si="14">AL7-AM7</f>
        <v>0</v>
      </c>
      <c r="AO7" s="72">
        <v>1.0</v>
      </c>
      <c r="AP7" s="75">
        <v>1.0</v>
      </c>
      <c r="AQ7" s="76">
        <f t="shared" ref="AQ7:AQ23" si="15">AO7-AP7</f>
        <v>0</v>
      </c>
      <c r="AR7" s="78">
        <v>1.0</v>
      </c>
      <c r="AS7" s="75">
        <v>1.0</v>
      </c>
      <c r="AT7" s="76">
        <f t="shared" ref="AT7:AT23" si="16">AR7-AS7</f>
        <v>0</v>
      </c>
      <c r="AU7" s="78">
        <v>1.0</v>
      </c>
      <c r="AV7" s="75">
        <v>1.0</v>
      </c>
      <c r="AW7" s="79">
        <f t="shared" ref="AW7:AW23" si="17">AU7-AV7</f>
        <v>0</v>
      </c>
    </row>
    <row r="8">
      <c r="A8" s="66" t="s">
        <v>159</v>
      </c>
      <c r="B8" s="68">
        <f t="shared" ref="B8:D8" si="2">E8+H8+K8+N8+Q8+T8+W8+Z8+AC8+AF8+AI8+AL8+AO8+AR8+AU8</f>
        <v>24</v>
      </c>
      <c r="C8" s="69">
        <f t="shared" si="2"/>
        <v>18</v>
      </c>
      <c r="D8" s="70">
        <f t="shared" si="2"/>
        <v>6</v>
      </c>
      <c r="E8" s="80">
        <v>2.0</v>
      </c>
      <c r="F8" s="81">
        <v>1.0</v>
      </c>
      <c r="G8" s="73">
        <f t="shared" si="3"/>
        <v>1</v>
      </c>
      <c r="H8" s="81">
        <v>2.0</v>
      </c>
      <c r="I8" s="82">
        <v>2.0</v>
      </c>
      <c r="J8" s="74">
        <f t="shared" si="4"/>
        <v>0</v>
      </c>
      <c r="K8" s="81">
        <v>2.0</v>
      </c>
      <c r="L8" s="81">
        <v>1.0</v>
      </c>
      <c r="M8" s="74">
        <f t="shared" si="5"/>
        <v>1</v>
      </c>
      <c r="N8" s="81">
        <v>2.0</v>
      </c>
      <c r="O8" s="83">
        <v>1.0</v>
      </c>
      <c r="P8" s="76">
        <f t="shared" si="6"/>
        <v>1</v>
      </c>
      <c r="Q8" s="81">
        <v>1.0</v>
      </c>
      <c r="R8" s="81">
        <v>1.0</v>
      </c>
      <c r="S8" s="74">
        <f t="shared" si="7"/>
        <v>0</v>
      </c>
      <c r="T8" s="81">
        <v>2.0</v>
      </c>
      <c r="U8" s="83">
        <v>2.0</v>
      </c>
      <c r="V8" s="76">
        <f t="shared" si="8"/>
        <v>0</v>
      </c>
      <c r="W8" s="81">
        <v>2.0</v>
      </c>
      <c r="X8" s="81">
        <v>2.0</v>
      </c>
      <c r="Y8" s="74">
        <f t="shared" si="9"/>
        <v>0</v>
      </c>
      <c r="Z8" s="81">
        <v>1.0</v>
      </c>
      <c r="AA8" s="83">
        <v>0.0</v>
      </c>
      <c r="AB8" s="76">
        <f t="shared" si="10"/>
        <v>1</v>
      </c>
      <c r="AC8" s="81">
        <v>2.0</v>
      </c>
      <c r="AD8" s="81">
        <v>1.0</v>
      </c>
      <c r="AE8" s="74">
        <f t="shared" si="11"/>
        <v>1</v>
      </c>
      <c r="AF8" s="82">
        <v>1.0</v>
      </c>
      <c r="AG8" s="83">
        <v>1.0</v>
      </c>
      <c r="AH8" s="76">
        <f t="shared" si="12"/>
        <v>0</v>
      </c>
      <c r="AI8" s="81">
        <v>2.0</v>
      </c>
      <c r="AJ8" s="81">
        <v>1.0</v>
      </c>
      <c r="AK8" s="74">
        <f t="shared" si="13"/>
        <v>1</v>
      </c>
      <c r="AL8" s="81">
        <v>1.0</v>
      </c>
      <c r="AM8" s="81">
        <v>1.0</v>
      </c>
      <c r="AN8" s="74">
        <f t="shared" si="14"/>
        <v>0</v>
      </c>
      <c r="AO8" s="81">
        <v>2.0</v>
      </c>
      <c r="AP8" s="83">
        <v>2.0</v>
      </c>
      <c r="AQ8" s="76">
        <f t="shared" si="15"/>
        <v>0</v>
      </c>
      <c r="AR8" s="85">
        <v>1.0</v>
      </c>
      <c r="AS8" s="83">
        <v>1.0</v>
      </c>
      <c r="AT8" s="76">
        <f t="shared" si="16"/>
        <v>0</v>
      </c>
      <c r="AU8" s="85">
        <v>1.0</v>
      </c>
      <c r="AV8" s="83">
        <v>1.0</v>
      </c>
      <c r="AW8" s="79">
        <f t="shared" si="17"/>
        <v>0</v>
      </c>
    </row>
    <row r="9">
      <c r="A9" s="86" t="s">
        <v>186</v>
      </c>
      <c r="B9" s="68">
        <f t="shared" ref="B9:D9" si="18">E9+H9+K9+N9+Q9+T9+W9+Z9+AC9+AF9+AI9+AL9+AO9+AR9+AU9</f>
        <v>11</v>
      </c>
      <c r="C9" s="69">
        <f t="shared" si="18"/>
        <v>12</v>
      </c>
      <c r="D9" s="70">
        <f t="shared" si="18"/>
        <v>-1</v>
      </c>
      <c r="E9" s="80">
        <v>1.0</v>
      </c>
      <c r="F9" s="81">
        <v>1.0</v>
      </c>
      <c r="G9" s="73">
        <f t="shared" si="3"/>
        <v>0</v>
      </c>
      <c r="H9" s="81">
        <v>0.5</v>
      </c>
      <c r="I9" s="82">
        <v>1.0</v>
      </c>
      <c r="J9" s="74">
        <f t="shared" si="4"/>
        <v>-0.5</v>
      </c>
      <c r="K9" s="81">
        <v>0.5</v>
      </c>
      <c r="L9" s="81">
        <v>1.0</v>
      </c>
      <c r="M9" s="74">
        <f t="shared" si="5"/>
        <v>-0.5</v>
      </c>
      <c r="N9" s="81">
        <v>1.0</v>
      </c>
      <c r="O9" s="83">
        <v>1.0</v>
      </c>
      <c r="P9" s="76">
        <f t="shared" si="6"/>
        <v>0</v>
      </c>
      <c r="Q9" s="81">
        <v>1.0</v>
      </c>
      <c r="R9" s="81">
        <v>1.0</v>
      </c>
      <c r="S9" s="74">
        <f t="shared" si="7"/>
        <v>0</v>
      </c>
      <c r="T9" s="81">
        <v>0.5</v>
      </c>
      <c r="U9" s="83">
        <v>1.0</v>
      </c>
      <c r="V9" s="76">
        <f t="shared" si="8"/>
        <v>-0.5</v>
      </c>
      <c r="W9" s="81">
        <v>1.0</v>
      </c>
      <c r="X9" s="81">
        <v>1.0</v>
      </c>
      <c r="Y9" s="74">
        <f t="shared" si="9"/>
        <v>0</v>
      </c>
      <c r="Z9" s="81">
        <v>1.0</v>
      </c>
      <c r="AA9" s="83">
        <v>1.0</v>
      </c>
      <c r="AB9" s="76">
        <f t="shared" si="10"/>
        <v>0</v>
      </c>
      <c r="AC9" s="81">
        <v>1.0</v>
      </c>
      <c r="AD9" s="81">
        <v>1.0</v>
      </c>
      <c r="AE9" s="74">
        <f t="shared" si="11"/>
        <v>0</v>
      </c>
      <c r="AF9" s="82">
        <v>0.5</v>
      </c>
      <c r="AG9" s="83">
        <v>1.0</v>
      </c>
      <c r="AH9" s="76">
        <f t="shared" si="12"/>
        <v>-0.5</v>
      </c>
      <c r="AI9" s="81">
        <v>1.0</v>
      </c>
      <c r="AJ9" s="81">
        <v>1.0</v>
      </c>
      <c r="AK9" s="74">
        <f t="shared" si="13"/>
        <v>0</v>
      </c>
      <c r="AL9" s="81">
        <v>1.0</v>
      </c>
      <c r="AM9" s="81">
        <v>0.0</v>
      </c>
      <c r="AN9" s="74">
        <f t="shared" si="14"/>
        <v>1</v>
      </c>
      <c r="AO9" s="81">
        <v>0.0</v>
      </c>
      <c r="AP9" s="83">
        <v>0.0</v>
      </c>
      <c r="AQ9" s="76">
        <f t="shared" si="15"/>
        <v>0</v>
      </c>
      <c r="AR9" s="85">
        <v>0.0</v>
      </c>
      <c r="AS9" s="83">
        <v>0.0</v>
      </c>
      <c r="AT9" s="76">
        <f t="shared" si="16"/>
        <v>0</v>
      </c>
      <c r="AU9" s="85">
        <v>1.0</v>
      </c>
      <c r="AV9" s="83">
        <v>1.0</v>
      </c>
      <c r="AW9" s="79">
        <f t="shared" si="17"/>
        <v>0</v>
      </c>
    </row>
    <row r="10">
      <c r="A10" s="86" t="s">
        <v>14</v>
      </c>
      <c r="B10" s="68">
        <f t="shared" ref="B10:D10" si="19">E10+H10+K10+N10+Q10+T10+W10+Z10+AC10+AF10+AI10+AL10+AO10+AR10+AU10</f>
        <v>38</v>
      </c>
      <c r="C10" s="69">
        <f t="shared" si="19"/>
        <v>31</v>
      </c>
      <c r="D10" s="70">
        <f t="shared" si="19"/>
        <v>7</v>
      </c>
      <c r="E10" s="80">
        <v>4.0</v>
      </c>
      <c r="F10" s="81">
        <v>5.0</v>
      </c>
      <c r="G10" s="73">
        <f t="shared" si="3"/>
        <v>-1</v>
      </c>
      <c r="H10" s="81">
        <v>2.0</v>
      </c>
      <c r="I10" s="82">
        <v>2.0</v>
      </c>
      <c r="J10" s="74">
        <f t="shared" si="4"/>
        <v>0</v>
      </c>
      <c r="K10" s="81">
        <v>2.0</v>
      </c>
      <c r="L10" s="81">
        <v>3.0</v>
      </c>
      <c r="M10" s="74">
        <f t="shared" si="5"/>
        <v>-1</v>
      </c>
      <c r="N10" s="81">
        <v>4.0</v>
      </c>
      <c r="O10" s="83">
        <v>4.0</v>
      </c>
      <c r="P10" s="76">
        <f t="shared" si="6"/>
        <v>0</v>
      </c>
      <c r="Q10" s="81">
        <v>2.0</v>
      </c>
      <c r="R10" s="81">
        <v>1.0</v>
      </c>
      <c r="S10" s="74">
        <f t="shared" si="7"/>
        <v>1</v>
      </c>
      <c r="T10" s="81">
        <v>4.0</v>
      </c>
      <c r="U10" s="83">
        <v>4.0</v>
      </c>
      <c r="V10" s="76">
        <f t="shared" si="8"/>
        <v>0</v>
      </c>
      <c r="W10" s="81">
        <v>3.0</v>
      </c>
      <c r="X10" s="81">
        <v>1.0</v>
      </c>
      <c r="Y10" s="74">
        <f t="shared" si="9"/>
        <v>2</v>
      </c>
      <c r="Z10" s="81">
        <v>3.0</v>
      </c>
      <c r="AA10" s="83">
        <v>1.0</v>
      </c>
      <c r="AB10" s="76">
        <f t="shared" si="10"/>
        <v>2</v>
      </c>
      <c r="AC10" s="81">
        <v>2.0</v>
      </c>
      <c r="AD10" s="81">
        <v>2.0</v>
      </c>
      <c r="AE10" s="74">
        <f t="shared" si="11"/>
        <v>0</v>
      </c>
      <c r="AF10" s="82">
        <v>2.0</v>
      </c>
      <c r="AG10" s="83">
        <v>1.0</v>
      </c>
      <c r="AH10" s="76">
        <f t="shared" si="12"/>
        <v>1</v>
      </c>
      <c r="AI10" s="81">
        <v>2.0</v>
      </c>
      <c r="AJ10" s="81">
        <v>2.0</v>
      </c>
      <c r="AK10" s="74">
        <f t="shared" si="13"/>
        <v>0</v>
      </c>
      <c r="AL10" s="81">
        <v>2.0</v>
      </c>
      <c r="AM10" s="81">
        <v>1.0</v>
      </c>
      <c r="AN10" s="74">
        <f t="shared" si="14"/>
        <v>1</v>
      </c>
      <c r="AO10" s="81">
        <v>2.0</v>
      </c>
      <c r="AP10" s="83">
        <v>1.0</v>
      </c>
      <c r="AQ10" s="76">
        <f t="shared" si="15"/>
        <v>1</v>
      </c>
      <c r="AR10" s="85">
        <v>2.0</v>
      </c>
      <c r="AS10" s="83">
        <v>2.0</v>
      </c>
      <c r="AT10" s="76">
        <f t="shared" si="16"/>
        <v>0</v>
      </c>
      <c r="AU10" s="85">
        <v>2.0</v>
      </c>
      <c r="AV10" s="83">
        <v>1.0</v>
      </c>
      <c r="AW10" s="79">
        <f t="shared" si="17"/>
        <v>1</v>
      </c>
    </row>
    <row r="11">
      <c r="A11" s="66" t="s">
        <v>108</v>
      </c>
      <c r="B11" s="68">
        <f t="shared" ref="B11:D11" si="20">E11+H11+K11+N11+Q11+T11+W11+Z11+AC11+AF11+AI11+AL11+AO11+AR11+AU11</f>
        <v>31</v>
      </c>
      <c r="C11" s="69">
        <f t="shared" si="20"/>
        <v>35</v>
      </c>
      <c r="D11" s="70">
        <f t="shared" si="20"/>
        <v>-4</v>
      </c>
      <c r="E11" s="71">
        <v>4.0</v>
      </c>
      <c r="F11" s="72">
        <v>5.0</v>
      </c>
      <c r="G11" s="73">
        <f t="shared" si="3"/>
        <v>-1</v>
      </c>
      <c r="H11" s="72">
        <v>2.0</v>
      </c>
      <c r="I11" s="77">
        <v>4.0</v>
      </c>
      <c r="J11" s="74">
        <f t="shared" si="4"/>
        <v>-2</v>
      </c>
      <c r="K11" s="72">
        <v>2.0</v>
      </c>
      <c r="L11" s="72">
        <v>2.0</v>
      </c>
      <c r="M11" s="74">
        <f t="shared" si="5"/>
        <v>0</v>
      </c>
      <c r="N11" s="72">
        <v>4.0</v>
      </c>
      <c r="O11" s="75">
        <v>4.0</v>
      </c>
      <c r="P11" s="76">
        <f t="shared" si="6"/>
        <v>0</v>
      </c>
      <c r="Q11" s="72">
        <v>2.0</v>
      </c>
      <c r="R11" s="72">
        <v>2.0</v>
      </c>
      <c r="S11" s="74">
        <f t="shared" si="7"/>
        <v>0</v>
      </c>
      <c r="T11" s="72">
        <v>4.0</v>
      </c>
      <c r="U11" s="75">
        <v>5.0</v>
      </c>
      <c r="V11" s="76">
        <f t="shared" si="8"/>
        <v>-1</v>
      </c>
      <c r="W11" s="72">
        <v>3.0</v>
      </c>
      <c r="X11" s="72">
        <v>4.0</v>
      </c>
      <c r="Y11" s="74">
        <f t="shared" si="9"/>
        <v>-1</v>
      </c>
      <c r="Z11" s="72">
        <v>2.0</v>
      </c>
      <c r="AA11" s="75">
        <v>2.0</v>
      </c>
      <c r="AB11" s="76">
        <f t="shared" si="10"/>
        <v>0</v>
      </c>
      <c r="AC11" s="72">
        <v>2.0</v>
      </c>
      <c r="AD11" s="72">
        <v>2.0</v>
      </c>
      <c r="AE11" s="74">
        <f t="shared" si="11"/>
        <v>0</v>
      </c>
      <c r="AF11" s="77">
        <v>2.0</v>
      </c>
      <c r="AG11" s="75">
        <v>1.0</v>
      </c>
      <c r="AH11" s="76">
        <f t="shared" si="12"/>
        <v>1</v>
      </c>
      <c r="AI11" s="72">
        <v>2.0</v>
      </c>
      <c r="AJ11" s="72">
        <v>2.0</v>
      </c>
      <c r="AK11" s="74">
        <f t="shared" si="13"/>
        <v>0</v>
      </c>
      <c r="AL11" s="72">
        <v>2.0</v>
      </c>
      <c r="AM11" s="72">
        <v>2.0</v>
      </c>
      <c r="AN11" s="74">
        <f t="shared" si="14"/>
        <v>0</v>
      </c>
      <c r="AO11" s="72">
        <v>0.0</v>
      </c>
      <c r="AP11" s="75">
        <v>0.0</v>
      </c>
      <c r="AQ11" s="76">
        <f t="shared" si="15"/>
        <v>0</v>
      </c>
      <c r="AR11" s="78">
        <v>0.0</v>
      </c>
      <c r="AS11" s="75">
        <v>0.0</v>
      </c>
      <c r="AT11" s="76">
        <f t="shared" si="16"/>
        <v>0</v>
      </c>
      <c r="AU11" s="78">
        <v>0.0</v>
      </c>
      <c r="AV11" s="75">
        <v>0.0</v>
      </c>
      <c r="AW11" s="79">
        <f t="shared" si="17"/>
        <v>0</v>
      </c>
    </row>
    <row r="12">
      <c r="A12" s="86" t="s">
        <v>225</v>
      </c>
      <c r="B12" s="68">
        <f t="shared" ref="B12:D12" si="21">E12+H12+K12+N12+Q12+T12+W12+Z12+AC12+AF12+AI12+AL12+AO12+AR12+AU12</f>
        <v>42</v>
      </c>
      <c r="C12" s="69">
        <f t="shared" si="21"/>
        <v>51</v>
      </c>
      <c r="D12" s="70">
        <f t="shared" si="21"/>
        <v>-9</v>
      </c>
      <c r="E12" s="80">
        <v>2.0</v>
      </c>
      <c r="F12" s="81">
        <v>1.0</v>
      </c>
      <c r="G12" s="73">
        <f t="shared" si="3"/>
        <v>1</v>
      </c>
      <c r="H12" s="81">
        <v>3.0</v>
      </c>
      <c r="I12" s="82">
        <v>3.0</v>
      </c>
      <c r="J12" s="74">
        <f t="shared" si="4"/>
        <v>0</v>
      </c>
      <c r="K12" s="81">
        <v>3.0</v>
      </c>
      <c r="L12" s="81">
        <v>2.0</v>
      </c>
      <c r="M12" s="74">
        <f t="shared" si="5"/>
        <v>1</v>
      </c>
      <c r="N12" s="81">
        <v>2.0</v>
      </c>
      <c r="O12" s="83">
        <v>5.0</v>
      </c>
      <c r="P12" s="76">
        <f t="shared" si="6"/>
        <v>-3</v>
      </c>
      <c r="Q12" s="81">
        <v>2.0</v>
      </c>
      <c r="R12" s="81">
        <v>2.0</v>
      </c>
      <c r="S12" s="74">
        <f t="shared" si="7"/>
        <v>0</v>
      </c>
      <c r="T12" s="81">
        <v>6.0</v>
      </c>
      <c r="U12" s="83">
        <v>5.0</v>
      </c>
      <c r="V12" s="76">
        <f t="shared" si="8"/>
        <v>1</v>
      </c>
      <c r="W12" s="81">
        <v>2.0</v>
      </c>
      <c r="X12" s="81">
        <v>2.0</v>
      </c>
      <c r="Y12" s="74">
        <f t="shared" si="9"/>
        <v>0</v>
      </c>
      <c r="Z12" s="81">
        <v>4.0</v>
      </c>
      <c r="AA12" s="83">
        <v>8.0</v>
      </c>
      <c r="AB12" s="76">
        <f t="shared" si="10"/>
        <v>-4</v>
      </c>
      <c r="AC12" s="81">
        <v>2.0</v>
      </c>
      <c r="AD12" s="81">
        <v>2.0</v>
      </c>
      <c r="AE12" s="74">
        <f t="shared" si="11"/>
        <v>0</v>
      </c>
      <c r="AF12" s="82">
        <v>3.0</v>
      </c>
      <c r="AG12" s="83">
        <v>4.0</v>
      </c>
      <c r="AH12" s="76">
        <f t="shared" si="12"/>
        <v>-1</v>
      </c>
      <c r="AI12" s="81">
        <v>2.0</v>
      </c>
      <c r="AJ12" s="81">
        <v>2.0</v>
      </c>
      <c r="AK12" s="74">
        <f t="shared" si="13"/>
        <v>0</v>
      </c>
      <c r="AL12" s="81">
        <v>2.0</v>
      </c>
      <c r="AM12" s="81">
        <v>2.0</v>
      </c>
      <c r="AN12" s="74">
        <f t="shared" si="14"/>
        <v>0</v>
      </c>
      <c r="AO12" s="81">
        <v>4.0</v>
      </c>
      <c r="AP12" s="83">
        <v>5.0</v>
      </c>
      <c r="AQ12" s="76">
        <f t="shared" si="15"/>
        <v>-1</v>
      </c>
      <c r="AR12" s="85">
        <v>1.0</v>
      </c>
      <c r="AS12" s="83">
        <v>2.0</v>
      </c>
      <c r="AT12" s="76">
        <f t="shared" si="16"/>
        <v>-1</v>
      </c>
      <c r="AU12" s="85">
        <v>4.0</v>
      </c>
      <c r="AV12" s="83">
        <v>6.0</v>
      </c>
      <c r="AW12" s="79">
        <f t="shared" si="17"/>
        <v>-2</v>
      </c>
    </row>
    <row r="13">
      <c r="A13" s="66" t="s">
        <v>56</v>
      </c>
      <c r="B13" s="68">
        <f t="shared" ref="B13:D13" si="22">E13+H13+K13+N13+Q13+T13+W13+Z13+AC13+AF13+AI13+AL13+AO13+AR13+AU13</f>
        <v>29</v>
      </c>
      <c r="C13" s="69">
        <f t="shared" si="22"/>
        <v>27</v>
      </c>
      <c r="D13" s="70">
        <f t="shared" si="22"/>
        <v>2</v>
      </c>
      <c r="E13" s="71">
        <v>3.0</v>
      </c>
      <c r="F13" s="72">
        <v>5.0</v>
      </c>
      <c r="G13" s="73">
        <f t="shared" si="3"/>
        <v>-2</v>
      </c>
      <c r="H13" s="72">
        <v>2.0</v>
      </c>
      <c r="I13" s="77">
        <v>2.0</v>
      </c>
      <c r="J13" s="74">
        <f t="shared" si="4"/>
        <v>0</v>
      </c>
      <c r="K13" s="72">
        <v>2.0</v>
      </c>
      <c r="L13" s="72">
        <v>2.0</v>
      </c>
      <c r="M13" s="74">
        <f t="shared" si="5"/>
        <v>0</v>
      </c>
      <c r="N13" s="72">
        <v>3.0</v>
      </c>
      <c r="O13" s="75">
        <v>2.0</v>
      </c>
      <c r="P13" s="76">
        <f t="shared" si="6"/>
        <v>1</v>
      </c>
      <c r="Q13" s="72">
        <v>1.0</v>
      </c>
      <c r="R13" s="72">
        <v>1.0</v>
      </c>
      <c r="S13" s="74">
        <f t="shared" si="7"/>
        <v>0</v>
      </c>
      <c r="T13" s="72">
        <v>2.0</v>
      </c>
      <c r="U13" s="75">
        <v>2.0</v>
      </c>
      <c r="V13" s="76">
        <f t="shared" si="8"/>
        <v>0</v>
      </c>
      <c r="W13" s="72">
        <v>2.0</v>
      </c>
      <c r="X13" s="72">
        <v>3.0</v>
      </c>
      <c r="Y13" s="74">
        <f t="shared" si="9"/>
        <v>-1</v>
      </c>
      <c r="Z13" s="72">
        <v>2.0</v>
      </c>
      <c r="AA13" s="75">
        <v>1.0</v>
      </c>
      <c r="AB13" s="76">
        <f t="shared" si="10"/>
        <v>1</v>
      </c>
      <c r="AC13" s="72">
        <v>2.0</v>
      </c>
      <c r="AD13" s="72">
        <v>2.0</v>
      </c>
      <c r="AE13" s="74">
        <f t="shared" si="11"/>
        <v>0</v>
      </c>
      <c r="AF13" s="77">
        <v>2.0</v>
      </c>
      <c r="AG13" s="75">
        <v>0.0</v>
      </c>
      <c r="AH13" s="76">
        <f t="shared" si="12"/>
        <v>2</v>
      </c>
      <c r="AI13" s="72">
        <v>2.0</v>
      </c>
      <c r="AJ13" s="72">
        <v>2.0</v>
      </c>
      <c r="AK13" s="74">
        <f t="shared" si="13"/>
        <v>0</v>
      </c>
      <c r="AL13" s="72">
        <v>2.0</v>
      </c>
      <c r="AM13" s="72">
        <v>1.0</v>
      </c>
      <c r="AN13" s="74">
        <f t="shared" si="14"/>
        <v>1</v>
      </c>
      <c r="AO13" s="72">
        <v>1.0</v>
      </c>
      <c r="AP13" s="75">
        <v>1.0</v>
      </c>
      <c r="AQ13" s="76">
        <f t="shared" si="15"/>
        <v>0</v>
      </c>
      <c r="AR13" s="78">
        <v>0.0</v>
      </c>
      <c r="AS13" s="75">
        <v>0.0</v>
      </c>
      <c r="AT13" s="76">
        <f t="shared" si="16"/>
        <v>0</v>
      </c>
      <c r="AU13" s="78">
        <v>3.0</v>
      </c>
      <c r="AV13" s="75">
        <v>3.0</v>
      </c>
      <c r="AW13" s="79">
        <f t="shared" si="17"/>
        <v>0</v>
      </c>
    </row>
    <row r="14">
      <c r="A14" s="86" t="s">
        <v>47</v>
      </c>
      <c r="B14" s="68">
        <f t="shared" ref="B14:D14" si="23">E14+H14+K14+N14+Q14+T14+W14+Z14+AC14+AF14+AI14+AL14+AO14+AR14+AU14</f>
        <v>9</v>
      </c>
      <c r="C14" s="69">
        <f t="shared" si="23"/>
        <v>9</v>
      </c>
      <c r="D14" s="70">
        <f t="shared" si="23"/>
        <v>0</v>
      </c>
      <c r="E14" s="80">
        <v>2.0</v>
      </c>
      <c r="F14" s="81">
        <v>3.0</v>
      </c>
      <c r="G14" s="73">
        <f t="shared" si="3"/>
        <v>-1</v>
      </c>
      <c r="H14" s="81">
        <v>0.0</v>
      </c>
      <c r="I14" s="82">
        <v>0.0</v>
      </c>
      <c r="J14" s="74">
        <f t="shared" si="4"/>
        <v>0</v>
      </c>
      <c r="K14" s="81">
        <v>1.0</v>
      </c>
      <c r="L14" s="81">
        <v>0.0</v>
      </c>
      <c r="M14" s="74">
        <f t="shared" si="5"/>
        <v>1</v>
      </c>
      <c r="N14" s="81">
        <v>2.0</v>
      </c>
      <c r="O14" s="83">
        <v>2.0</v>
      </c>
      <c r="P14" s="76">
        <f t="shared" si="6"/>
        <v>0</v>
      </c>
      <c r="Q14" s="81">
        <v>0.0</v>
      </c>
      <c r="R14" s="81">
        <v>0.0</v>
      </c>
      <c r="S14" s="74">
        <f t="shared" si="7"/>
        <v>0</v>
      </c>
      <c r="T14" s="81">
        <v>0.0</v>
      </c>
      <c r="U14" s="83">
        <v>0.0</v>
      </c>
      <c r="V14" s="76">
        <f t="shared" si="8"/>
        <v>0</v>
      </c>
      <c r="W14" s="81">
        <v>2.0</v>
      </c>
      <c r="X14" s="81">
        <v>2.0</v>
      </c>
      <c r="Y14" s="74">
        <f t="shared" si="9"/>
        <v>0</v>
      </c>
      <c r="Z14" s="81">
        <v>0.0</v>
      </c>
      <c r="AA14" s="83">
        <v>0.0</v>
      </c>
      <c r="AB14" s="76">
        <f t="shared" si="10"/>
        <v>0</v>
      </c>
      <c r="AC14" s="81">
        <v>0.0</v>
      </c>
      <c r="AD14" s="81">
        <v>0.0</v>
      </c>
      <c r="AE14" s="74">
        <f t="shared" si="11"/>
        <v>0</v>
      </c>
      <c r="AF14" s="82">
        <v>0.0</v>
      </c>
      <c r="AG14" s="83">
        <v>0.0</v>
      </c>
      <c r="AH14" s="76">
        <f t="shared" si="12"/>
        <v>0</v>
      </c>
      <c r="AI14" s="81">
        <v>0.0</v>
      </c>
      <c r="AJ14" s="81">
        <v>0.0</v>
      </c>
      <c r="AK14" s="74">
        <f t="shared" si="13"/>
        <v>0</v>
      </c>
      <c r="AL14" s="81">
        <v>0.0</v>
      </c>
      <c r="AM14" s="81">
        <v>0.0</v>
      </c>
      <c r="AN14" s="74">
        <f t="shared" si="14"/>
        <v>0</v>
      </c>
      <c r="AO14" s="81">
        <v>0.0</v>
      </c>
      <c r="AP14" s="83">
        <v>0.0</v>
      </c>
      <c r="AQ14" s="76">
        <f t="shared" si="15"/>
        <v>0</v>
      </c>
      <c r="AR14" s="85">
        <v>0.0</v>
      </c>
      <c r="AS14" s="83">
        <v>0.0</v>
      </c>
      <c r="AT14" s="76">
        <f t="shared" si="16"/>
        <v>0</v>
      </c>
      <c r="AU14" s="85">
        <v>2.0</v>
      </c>
      <c r="AV14" s="83">
        <v>2.0</v>
      </c>
      <c r="AW14" s="79">
        <f t="shared" si="17"/>
        <v>0</v>
      </c>
    </row>
    <row r="15">
      <c r="A15" s="66" t="s">
        <v>112</v>
      </c>
      <c r="B15" s="68">
        <f t="shared" ref="B15:D15" si="24">E15+H15+K15+N15+Q15+T15+W15+Z15+AC15+AF15+AI15+AL15+AO15+AR15+AU15</f>
        <v>11</v>
      </c>
      <c r="C15" s="69">
        <f t="shared" si="24"/>
        <v>6</v>
      </c>
      <c r="D15" s="70">
        <f t="shared" si="24"/>
        <v>5</v>
      </c>
      <c r="E15" s="71">
        <v>1.0</v>
      </c>
      <c r="F15" s="72">
        <v>1.0</v>
      </c>
      <c r="G15" s="73">
        <f t="shared" si="3"/>
        <v>0</v>
      </c>
      <c r="H15" s="72">
        <v>0.0</v>
      </c>
      <c r="I15" s="77">
        <v>0.0</v>
      </c>
      <c r="J15" s="74">
        <f t="shared" si="4"/>
        <v>0</v>
      </c>
      <c r="K15" s="72">
        <v>0.0</v>
      </c>
      <c r="L15" s="72">
        <v>0.0</v>
      </c>
      <c r="M15" s="74">
        <f t="shared" si="5"/>
        <v>0</v>
      </c>
      <c r="N15" s="72">
        <v>1.0</v>
      </c>
      <c r="O15" s="75">
        <v>0.0</v>
      </c>
      <c r="P15" s="76">
        <f t="shared" si="6"/>
        <v>1</v>
      </c>
      <c r="Q15" s="72">
        <v>0.0</v>
      </c>
      <c r="R15" s="72">
        <v>0.0</v>
      </c>
      <c r="S15" s="74">
        <f t="shared" si="7"/>
        <v>0</v>
      </c>
      <c r="T15" s="72">
        <v>2.0</v>
      </c>
      <c r="U15" s="75">
        <v>0.0</v>
      </c>
      <c r="V15" s="76">
        <f t="shared" si="8"/>
        <v>2</v>
      </c>
      <c r="W15" s="72">
        <v>1.0</v>
      </c>
      <c r="X15" s="72">
        <v>0.0</v>
      </c>
      <c r="Y15" s="74">
        <f t="shared" si="9"/>
        <v>1</v>
      </c>
      <c r="Z15" s="72">
        <v>2.0</v>
      </c>
      <c r="AA15" s="75">
        <v>2.0</v>
      </c>
      <c r="AB15" s="76">
        <f t="shared" si="10"/>
        <v>0</v>
      </c>
      <c r="AC15" s="72">
        <v>1.0</v>
      </c>
      <c r="AD15" s="72">
        <v>2.0</v>
      </c>
      <c r="AE15" s="74">
        <f t="shared" si="11"/>
        <v>-1</v>
      </c>
      <c r="AF15" s="77">
        <v>1.0</v>
      </c>
      <c r="AG15" s="75">
        <v>0.0</v>
      </c>
      <c r="AH15" s="76">
        <f t="shared" si="12"/>
        <v>1</v>
      </c>
      <c r="AI15" s="72">
        <v>1.0</v>
      </c>
      <c r="AJ15" s="72">
        <v>0.0</v>
      </c>
      <c r="AK15" s="74">
        <f t="shared" si="13"/>
        <v>1</v>
      </c>
      <c r="AL15" s="72">
        <v>1.0</v>
      </c>
      <c r="AM15" s="72">
        <v>1.0</v>
      </c>
      <c r="AN15" s="74">
        <f t="shared" si="14"/>
        <v>0</v>
      </c>
      <c r="AO15" s="72">
        <v>0.0</v>
      </c>
      <c r="AP15" s="75">
        <v>0.0</v>
      </c>
      <c r="AQ15" s="76">
        <f t="shared" si="15"/>
        <v>0</v>
      </c>
      <c r="AR15" s="78">
        <v>0.0</v>
      </c>
      <c r="AS15" s="75">
        <v>0.0</v>
      </c>
      <c r="AT15" s="76">
        <f t="shared" si="16"/>
        <v>0</v>
      </c>
      <c r="AU15" s="78">
        <v>0.0</v>
      </c>
      <c r="AV15" s="75">
        <v>0.0</v>
      </c>
      <c r="AW15" s="79">
        <f t="shared" si="17"/>
        <v>0</v>
      </c>
    </row>
    <row r="16">
      <c r="A16" s="86" t="s">
        <v>265</v>
      </c>
      <c r="B16" s="68">
        <f t="shared" ref="B16:D16" si="25">E16+H16+K16+N16+Q16+T16+W16+Z16+AC16+AF16+AI16+AL16+AO16+AR16+AU16</f>
        <v>12</v>
      </c>
      <c r="C16" s="69">
        <f t="shared" si="25"/>
        <v>13</v>
      </c>
      <c r="D16" s="70">
        <f t="shared" si="25"/>
        <v>-1</v>
      </c>
      <c r="E16" s="80">
        <v>2.0</v>
      </c>
      <c r="F16" s="81">
        <v>3.0</v>
      </c>
      <c r="G16" s="73">
        <f t="shared" si="3"/>
        <v>-1</v>
      </c>
      <c r="H16" s="81">
        <v>2.0</v>
      </c>
      <c r="I16" s="82">
        <v>2.0</v>
      </c>
      <c r="J16" s="74">
        <f t="shared" si="4"/>
        <v>0</v>
      </c>
      <c r="K16" s="81">
        <v>2.0</v>
      </c>
      <c r="L16" s="81">
        <v>2.0</v>
      </c>
      <c r="M16" s="74">
        <f t="shared" si="5"/>
        <v>0</v>
      </c>
      <c r="N16" s="81">
        <v>2.0</v>
      </c>
      <c r="O16" s="83">
        <v>2.0</v>
      </c>
      <c r="P16" s="76">
        <f t="shared" si="6"/>
        <v>0</v>
      </c>
      <c r="Q16" s="81">
        <v>0.0</v>
      </c>
      <c r="R16" s="81">
        <v>0.0</v>
      </c>
      <c r="S16" s="74">
        <f t="shared" si="7"/>
        <v>0</v>
      </c>
      <c r="T16" s="81">
        <v>0.0</v>
      </c>
      <c r="U16" s="83">
        <v>0.0</v>
      </c>
      <c r="V16" s="76">
        <f t="shared" si="8"/>
        <v>0</v>
      </c>
      <c r="W16" s="81">
        <v>2.0</v>
      </c>
      <c r="X16" s="81">
        <v>2.0</v>
      </c>
      <c r="Y16" s="74">
        <f t="shared" si="9"/>
        <v>0</v>
      </c>
      <c r="Z16" s="81">
        <v>0.0</v>
      </c>
      <c r="AA16" s="83">
        <v>0.0</v>
      </c>
      <c r="AB16" s="76">
        <f t="shared" si="10"/>
        <v>0</v>
      </c>
      <c r="AC16" s="81">
        <v>0.0</v>
      </c>
      <c r="AD16" s="81">
        <v>0.0</v>
      </c>
      <c r="AE16" s="74">
        <f t="shared" si="11"/>
        <v>0</v>
      </c>
      <c r="AF16" s="82">
        <v>0.0</v>
      </c>
      <c r="AG16" s="83">
        <v>0.0</v>
      </c>
      <c r="AH16" s="76">
        <f t="shared" si="12"/>
        <v>0</v>
      </c>
      <c r="AI16" s="81">
        <v>0.0</v>
      </c>
      <c r="AJ16" s="81">
        <v>0.0</v>
      </c>
      <c r="AK16" s="74">
        <f t="shared" si="13"/>
        <v>0</v>
      </c>
      <c r="AL16" s="81">
        <v>0.0</v>
      </c>
      <c r="AM16" s="81">
        <v>0.0</v>
      </c>
      <c r="AN16" s="74">
        <f t="shared" si="14"/>
        <v>0</v>
      </c>
      <c r="AO16" s="81">
        <v>0.0</v>
      </c>
      <c r="AP16" s="83">
        <v>0.0</v>
      </c>
      <c r="AQ16" s="76">
        <f t="shared" si="15"/>
        <v>0</v>
      </c>
      <c r="AR16" s="85">
        <v>0.0</v>
      </c>
      <c r="AS16" s="83">
        <v>0.0</v>
      </c>
      <c r="AT16" s="76">
        <f t="shared" si="16"/>
        <v>0</v>
      </c>
      <c r="AU16" s="85">
        <v>2.0</v>
      </c>
      <c r="AV16" s="83">
        <v>2.0</v>
      </c>
      <c r="AW16" s="79">
        <f t="shared" si="17"/>
        <v>0</v>
      </c>
    </row>
    <row r="17">
      <c r="A17" s="66" t="s">
        <v>274</v>
      </c>
      <c r="B17" s="68">
        <f t="shared" ref="B17:D17" si="26">E17+H17+K17+N17+Q17+T17+W17+Z17+AC17+AF17+AI17+AL17+AO17+AR17+AU17</f>
        <v>14</v>
      </c>
      <c r="C17" s="69">
        <f t="shared" si="26"/>
        <v>12</v>
      </c>
      <c r="D17" s="70">
        <f t="shared" si="26"/>
        <v>2</v>
      </c>
      <c r="E17" s="71">
        <v>0.0</v>
      </c>
      <c r="F17" s="72">
        <v>0.0</v>
      </c>
      <c r="G17" s="73">
        <f t="shared" si="3"/>
        <v>0</v>
      </c>
      <c r="H17" s="72">
        <v>0.0</v>
      </c>
      <c r="I17" s="77">
        <v>0.0</v>
      </c>
      <c r="J17" s="74">
        <f t="shared" si="4"/>
        <v>0</v>
      </c>
      <c r="K17" s="72">
        <v>0.0</v>
      </c>
      <c r="L17" s="72">
        <v>0.0</v>
      </c>
      <c r="M17" s="74">
        <f t="shared" si="5"/>
        <v>0</v>
      </c>
      <c r="N17" s="72">
        <v>0.0</v>
      </c>
      <c r="O17" s="75">
        <v>0.0</v>
      </c>
      <c r="P17" s="76">
        <f t="shared" si="6"/>
        <v>0</v>
      </c>
      <c r="Q17" s="72">
        <v>0.0</v>
      </c>
      <c r="R17" s="72">
        <v>0.0</v>
      </c>
      <c r="S17" s="74">
        <f t="shared" si="7"/>
        <v>0</v>
      </c>
      <c r="T17" s="72">
        <v>2.0</v>
      </c>
      <c r="U17" s="75">
        <v>2.0</v>
      </c>
      <c r="V17" s="76">
        <f t="shared" si="8"/>
        <v>0</v>
      </c>
      <c r="W17" s="72">
        <v>0.0</v>
      </c>
      <c r="X17" s="72">
        <v>0.0</v>
      </c>
      <c r="Y17" s="74">
        <f t="shared" si="9"/>
        <v>0</v>
      </c>
      <c r="Z17" s="72">
        <v>0.0</v>
      </c>
      <c r="AA17" s="75">
        <v>0.0</v>
      </c>
      <c r="AB17" s="76">
        <f t="shared" si="10"/>
        <v>0</v>
      </c>
      <c r="AC17" s="72">
        <v>2.0</v>
      </c>
      <c r="AD17" s="72">
        <v>2.0</v>
      </c>
      <c r="AE17" s="74">
        <f t="shared" si="11"/>
        <v>0</v>
      </c>
      <c r="AF17" s="77">
        <v>2.0</v>
      </c>
      <c r="AG17" s="75">
        <v>2.0</v>
      </c>
      <c r="AH17" s="76">
        <f t="shared" si="12"/>
        <v>0</v>
      </c>
      <c r="AI17" s="72">
        <v>2.0</v>
      </c>
      <c r="AJ17" s="72">
        <v>2.0</v>
      </c>
      <c r="AK17" s="74">
        <f t="shared" si="13"/>
        <v>0</v>
      </c>
      <c r="AL17" s="72">
        <v>2.0</v>
      </c>
      <c r="AM17" s="72">
        <v>0.0</v>
      </c>
      <c r="AN17" s="74">
        <f t="shared" si="14"/>
        <v>2</v>
      </c>
      <c r="AO17" s="72">
        <v>2.0</v>
      </c>
      <c r="AP17" s="75">
        <v>2.0</v>
      </c>
      <c r="AQ17" s="76">
        <f t="shared" si="15"/>
        <v>0</v>
      </c>
      <c r="AR17" s="78">
        <v>2.0</v>
      </c>
      <c r="AS17" s="75">
        <v>2.0</v>
      </c>
      <c r="AT17" s="76">
        <f t="shared" si="16"/>
        <v>0</v>
      </c>
      <c r="AU17" s="78">
        <v>0.0</v>
      </c>
      <c r="AV17" s="75">
        <v>0.0</v>
      </c>
      <c r="AW17" s="79">
        <f t="shared" si="17"/>
        <v>0</v>
      </c>
    </row>
    <row r="18">
      <c r="A18" s="86" t="s">
        <v>157</v>
      </c>
      <c r="B18" s="68">
        <f t="shared" ref="B18:D18" si="27">E18+H18+K18+N18+Q18+T18+W18+Z18+AC18+AF18+AI18+AL18+AO18+AR18+AU18</f>
        <v>11</v>
      </c>
      <c r="C18" s="69">
        <f t="shared" si="27"/>
        <v>7</v>
      </c>
      <c r="D18" s="70">
        <f t="shared" si="27"/>
        <v>4</v>
      </c>
      <c r="E18" s="80">
        <v>2.0</v>
      </c>
      <c r="F18" s="81">
        <v>1.0</v>
      </c>
      <c r="G18" s="73">
        <f t="shared" si="3"/>
        <v>1</v>
      </c>
      <c r="H18" s="81">
        <v>1.0</v>
      </c>
      <c r="I18" s="82">
        <v>0.0</v>
      </c>
      <c r="J18" s="74">
        <f t="shared" si="4"/>
        <v>1</v>
      </c>
      <c r="K18" s="81">
        <v>1.0</v>
      </c>
      <c r="L18" s="81">
        <v>0.0</v>
      </c>
      <c r="M18" s="74">
        <f t="shared" si="5"/>
        <v>1</v>
      </c>
      <c r="N18" s="81">
        <v>2.0</v>
      </c>
      <c r="O18" s="83">
        <v>1.0</v>
      </c>
      <c r="P18" s="76">
        <f t="shared" si="6"/>
        <v>1</v>
      </c>
      <c r="Q18" s="81">
        <v>2.0</v>
      </c>
      <c r="R18" s="81">
        <v>2.0</v>
      </c>
      <c r="S18" s="74">
        <f t="shared" si="7"/>
        <v>0</v>
      </c>
      <c r="T18" s="81">
        <v>0.0</v>
      </c>
      <c r="U18" s="83">
        <v>0.0</v>
      </c>
      <c r="V18" s="76">
        <f t="shared" si="8"/>
        <v>0</v>
      </c>
      <c r="W18" s="81">
        <v>1.0</v>
      </c>
      <c r="X18" s="81">
        <v>1.0</v>
      </c>
      <c r="Y18" s="74">
        <f t="shared" si="9"/>
        <v>0</v>
      </c>
      <c r="Z18" s="81">
        <v>2.0</v>
      </c>
      <c r="AA18" s="83">
        <v>2.0</v>
      </c>
      <c r="AB18" s="76">
        <f t="shared" si="10"/>
        <v>0</v>
      </c>
      <c r="AC18" s="81">
        <v>0.0</v>
      </c>
      <c r="AD18" s="81">
        <v>0.0</v>
      </c>
      <c r="AE18" s="74">
        <f t="shared" si="11"/>
        <v>0</v>
      </c>
      <c r="AF18" s="82">
        <v>0.0</v>
      </c>
      <c r="AG18" s="83">
        <v>0.0</v>
      </c>
      <c r="AH18" s="76">
        <f t="shared" si="12"/>
        <v>0</v>
      </c>
      <c r="AI18" s="81">
        <v>0.0</v>
      </c>
      <c r="AJ18" s="81">
        <v>0.0</v>
      </c>
      <c r="AK18" s="74">
        <f t="shared" si="13"/>
        <v>0</v>
      </c>
      <c r="AL18" s="81">
        <v>0.0</v>
      </c>
      <c r="AM18" s="81">
        <v>0.0</v>
      </c>
      <c r="AN18" s="74">
        <f t="shared" si="14"/>
        <v>0</v>
      </c>
      <c r="AO18" s="81">
        <v>0.0</v>
      </c>
      <c r="AP18" s="83">
        <v>0.0</v>
      </c>
      <c r="AQ18" s="76">
        <f t="shared" si="15"/>
        <v>0</v>
      </c>
      <c r="AR18" s="85">
        <v>0.0</v>
      </c>
      <c r="AS18" s="83">
        <v>0.0</v>
      </c>
      <c r="AT18" s="76">
        <f t="shared" si="16"/>
        <v>0</v>
      </c>
      <c r="AU18" s="85">
        <v>0.0</v>
      </c>
      <c r="AV18" s="83">
        <v>0.0</v>
      </c>
      <c r="AW18" s="79">
        <f t="shared" si="17"/>
        <v>0</v>
      </c>
    </row>
    <row r="19">
      <c r="A19" s="66" t="s">
        <v>49</v>
      </c>
      <c r="B19" s="68">
        <f t="shared" ref="B19:D19" si="28">E19+H19+K19+N19+Q19+T19+W19+Z19+AC19+AF19+AI19+AL19+AO19+AR19+AU19</f>
        <v>32</v>
      </c>
      <c r="C19" s="69">
        <f t="shared" si="28"/>
        <v>35</v>
      </c>
      <c r="D19" s="70">
        <f t="shared" si="28"/>
        <v>-3</v>
      </c>
      <c r="E19" s="71">
        <v>6.0</v>
      </c>
      <c r="F19" s="72">
        <v>6.0</v>
      </c>
      <c r="G19" s="73">
        <f t="shared" si="3"/>
        <v>0</v>
      </c>
      <c r="H19" s="72">
        <v>4.0</v>
      </c>
      <c r="I19" s="77">
        <v>4.0</v>
      </c>
      <c r="J19" s="74">
        <f t="shared" si="4"/>
        <v>0</v>
      </c>
      <c r="K19" s="72">
        <v>3.0</v>
      </c>
      <c r="L19" s="72">
        <v>3.0</v>
      </c>
      <c r="M19" s="74">
        <f t="shared" si="5"/>
        <v>0</v>
      </c>
      <c r="N19" s="72">
        <v>6.0</v>
      </c>
      <c r="O19" s="75">
        <v>6.0</v>
      </c>
      <c r="P19" s="76">
        <f t="shared" si="6"/>
        <v>0</v>
      </c>
      <c r="Q19" s="72">
        <v>0.0</v>
      </c>
      <c r="R19" s="72">
        <v>0.0</v>
      </c>
      <c r="S19" s="74">
        <f t="shared" si="7"/>
        <v>0</v>
      </c>
      <c r="T19" s="72">
        <v>0.0</v>
      </c>
      <c r="U19" s="75">
        <v>0.0</v>
      </c>
      <c r="V19" s="76">
        <f t="shared" si="8"/>
        <v>0</v>
      </c>
      <c r="W19" s="72">
        <v>8.0</v>
      </c>
      <c r="X19" s="72">
        <v>8.0</v>
      </c>
      <c r="Y19" s="74">
        <f t="shared" si="9"/>
        <v>0</v>
      </c>
      <c r="Z19" s="72">
        <v>0.0</v>
      </c>
      <c r="AA19" s="75">
        <v>0.0</v>
      </c>
      <c r="AB19" s="76">
        <f t="shared" si="10"/>
        <v>0</v>
      </c>
      <c r="AC19" s="72">
        <v>0.0</v>
      </c>
      <c r="AD19" s="72">
        <v>0.0</v>
      </c>
      <c r="AE19" s="74">
        <f t="shared" si="11"/>
        <v>0</v>
      </c>
      <c r="AF19" s="77">
        <v>0.0</v>
      </c>
      <c r="AG19" s="75">
        <v>0.0</v>
      </c>
      <c r="AH19" s="76">
        <f t="shared" si="12"/>
        <v>0</v>
      </c>
      <c r="AI19" s="72">
        <v>0.0</v>
      </c>
      <c r="AJ19" s="72">
        <v>0.0</v>
      </c>
      <c r="AK19" s="74">
        <f t="shared" si="13"/>
        <v>0</v>
      </c>
      <c r="AL19" s="72">
        <v>0.0</v>
      </c>
      <c r="AM19" s="72">
        <v>0.0</v>
      </c>
      <c r="AN19" s="74">
        <f t="shared" si="14"/>
        <v>0</v>
      </c>
      <c r="AO19" s="72">
        <v>0.0</v>
      </c>
      <c r="AP19" s="75">
        <v>0.0</v>
      </c>
      <c r="AQ19" s="76">
        <f t="shared" si="15"/>
        <v>0</v>
      </c>
      <c r="AR19" s="78">
        <v>0.0</v>
      </c>
      <c r="AS19" s="75">
        <v>0.0</v>
      </c>
      <c r="AT19" s="76">
        <f t="shared" si="16"/>
        <v>0</v>
      </c>
      <c r="AU19" s="78">
        <v>5.0</v>
      </c>
      <c r="AV19" s="75">
        <v>8.0</v>
      </c>
      <c r="AW19" s="79">
        <f t="shared" si="17"/>
        <v>-3</v>
      </c>
    </row>
    <row r="20">
      <c r="A20" s="86" t="s">
        <v>103</v>
      </c>
      <c r="B20" s="68">
        <f t="shared" ref="B20:D20" si="29">E20+H20+K20+N20+Q20+T20+W20+Z20+AC20+AF20+AI20+AL20+AO20+AR20+AU20</f>
        <v>3</v>
      </c>
      <c r="C20" s="69">
        <f t="shared" si="29"/>
        <v>2</v>
      </c>
      <c r="D20" s="70">
        <f t="shared" si="29"/>
        <v>1</v>
      </c>
      <c r="E20" s="80">
        <v>1.0</v>
      </c>
      <c r="F20" s="81">
        <v>1.0</v>
      </c>
      <c r="G20" s="73">
        <f t="shared" si="3"/>
        <v>0</v>
      </c>
      <c r="H20" s="81">
        <v>0.0</v>
      </c>
      <c r="I20" s="82">
        <v>0.0</v>
      </c>
      <c r="J20" s="74">
        <f t="shared" si="4"/>
        <v>0</v>
      </c>
      <c r="K20" s="81">
        <v>0.0</v>
      </c>
      <c r="L20" s="81">
        <v>0.0</v>
      </c>
      <c r="M20" s="74">
        <f t="shared" si="5"/>
        <v>0</v>
      </c>
      <c r="N20" s="81">
        <v>1.0</v>
      </c>
      <c r="O20" s="83">
        <v>0.0</v>
      </c>
      <c r="P20" s="76">
        <f t="shared" si="6"/>
        <v>1</v>
      </c>
      <c r="Q20" s="81">
        <v>0.0</v>
      </c>
      <c r="R20" s="81">
        <v>0.0</v>
      </c>
      <c r="S20" s="74">
        <f t="shared" si="7"/>
        <v>0</v>
      </c>
      <c r="T20" s="81">
        <v>1.0</v>
      </c>
      <c r="U20" s="83">
        <v>1.0</v>
      </c>
      <c r="V20" s="76">
        <f t="shared" si="8"/>
        <v>0</v>
      </c>
      <c r="W20" s="81">
        <v>0.0</v>
      </c>
      <c r="X20" s="81">
        <v>0.0</v>
      </c>
      <c r="Y20" s="74">
        <f t="shared" si="9"/>
        <v>0</v>
      </c>
      <c r="Z20" s="81">
        <v>0.0</v>
      </c>
      <c r="AA20" s="83">
        <v>0.0</v>
      </c>
      <c r="AB20" s="76">
        <f t="shared" si="10"/>
        <v>0</v>
      </c>
      <c r="AC20" s="81">
        <v>0.0</v>
      </c>
      <c r="AD20" s="81">
        <v>0.0</v>
      </c>
      <c r="AE20" s="74">
        <f t="shared" si="11"/>
        <v>0</v>
      </c>
      <c r="AF20" s="82">
        <v>0.0</v>
      </c>
      <c r="AG20" s="83">
        <v>0.0</v>
      </c>
      <c r="AH20" s="76">
        <f t="shared" si="12"/>
        <v>0</v>
      </c>
      <c r="AI20" s="81">
        <v>0.0</v>
      </c>
      <c r="AJ20" s="81">
        <v>0.0</v>
      </c>
      <c r="AK20" s="74">
        <f t="shared" si="13"/>
        <v>0</v>
      </c>
      <c r="AL20" s="81">
        <v>0.0</v>
      </c>
      <c r="AM20" s="81">
        <v>0.0</v>
      </c>
      <c r="AN20" s="74">
        <f t="shared" si="14"/>
        <v>0</v>
      </c>
      <c r="AO20" s="81">
        <v>0.0</v>
      </c>
      <c r="AP20" s="83">
        <v>0.0</v>
      </c>
      <c r="AQ20" s="76">
        <f t="shared" si="15"/>
        <v>0</v>
      </c>
      <c r="AR20" s="85">
        <v>0.0</v>
      </c>
      <c r="AS20" s="83">
        <v>0.0</v>
      </c>
      <c r="AT20" s="76">
        <f t="shared" si="16"/>
        <v>0</v>
      </c>
      <c r="AU20" s="85">
        <v>0.0</v>
      </c>
      <c r="AV20" s="83">
        <v>0.0</v>
      </c>
      <c r="AW20" s="79">
        <f t="shared" si="17"/>
        <v>0</v>
      </c>
    </row>
    <row r="21">
      <c r="A21" s="66" t="s">
        <v>38</v>
      </c>
      <c r="B21" s="68">
        <f t="shared" ref="B21:D21" si="30">E21+H21+K21+N21+Q21+T21+W21+Z21+AC21+AF21+AI21+AL21+AO21+AR21+AU21</f>
        <v>25</v>
      </c>
      <c r="C21" s="69">
        <f t="shared" si="30"/>
        <v>24</v>
      </c>
      <c r="D21" s="70">
        <f t="shared" si="30"/>
        <v>1</v>
      </c>
      <c r="E21" s="71">
        <v>2.0</v>
      </c>
      <c r="F21" s="72">
        <v>2.0</v>
      </c>
      <c r="G21" s="73">
        <f t="shared" si="3"/>
        <v>0</v>
      </c>
      <c r="H21" s="72">
        <v>2.0</v>
      </c>
      <c r="I21" s="77">
        <v>2.0</v>
      </c>
      <c r="J21" s="74">
        <f t="shared" si="4"/>
        <v>0</v>
      </c>
      <c r="K21" s="72">
        <v>2.0</v>
      </c>
      <c r="L21" s="72">
        <v>2.0</v>
      </c>
      <c r="M21" s="74">
        <f t="shared" si="5"/>
        <v>0</v>
      </c>
      <c r="N21" s="72">
        <v>2.0</v>
      </c>
      <c r="O21" s="75">
        <v>3.0</v>
      </c>
      <c r="P21" s="76">
        <f t="shared" si="6"/>
        <v>-1</v>
      </c>
      <c r="Q21" s="72">
        <v>1.0</v>
      </c>
      <c r="R21" s="72">
        <v>1.0</v>
      </c>
      <c r="S21" s="74">
        <f t="shared" si="7"/>
        <v>0</v>
      </c>
      <c r="T21" s="72">
        <v>2.0</v>
      </c>
      <c r="U21" s="75">
        <v>3.0</v>
      </c>
      <c r="V21" s="76">
        <f t="shared" si="8"/>
        <v>-1</v>
      </c>
      <c r="W21" s="72">
        <v>1.0</v>
      </c>
      <c r="X21" s="72">
        <v>1.0</v>
      </c>
      <c r="Y21" s="74">
        <f t="shared" si="9"/>
        <v>0</v>
      </c>
      <c r="Z21" s="72">
        <v>2.0</v>
      </c>
      <c r="AA21" s="75">
        <v>2.0</v>
      </c>
      <c r="AB21" s="76">
        <f t="shared" si="10"/>
        <v>0</v>
      </c>
      <c r="AC21" s="72">
        <v>2.0</v>
      </c>
      <c r="AD21" s="72">
        <v>2.0</v>
      </c>
      <c r="AE21" s="74">
        <f t="shared" si="11"/>
        <v>0</v>
      </c>
      <c r="AF21" s="77">
        <v>2.0</v>
      </c>
      <c r="AG21" s="75">
        <v>0.0</v>
      </c>
      <c r="AH21" s="76">
        <f t="shared" si="12"/>
        <v>2</v>
      </c>
      <c r="AI21" s="72">
        <v>1.0</v>
      </c>
      <c r="AJ21" s="72">
        <v>2.0</v>
      </c>
      <c r="AK21" s="74">
        <f t="shared" si="13"/>
        <v>-1</v>
      </c>
      <c r="AL21" s="72">
        <v>2.0</v>
      </c>
      <c r="AM21" s="72">
        <v>1.0</v>
      </c>
      <c r="AN21" s="74">
        <f t="shared" si="14"/>
        <v>1</v>
      </c>
      <c r="AO21" s="72">
        <v>2.0</v>
      </c>
      <c r="AP21" s="75">
        <v>3.0</v>
      </c>
      <c r="AQ21" s="76">
        <f t="shared" si="15"/>
        <v>-1</v>
      </c>
      <c r="AR21" s="78">
        <v>2.0</v>
      </c>
      <c r="AS21" s="75">
        <v>0.0</v>
      </c>
      <c r="AT21" s="76">
        <f t="shared" si="16"/>
        <v>2</v>
      </c>
      <c r="AU21" s="78">
        <v>0.0</v>
      </c>
      <c r="AV21" s="75">
        <v>0.0</v>
      </c>
      <c r="AW21" s="79">
        <f t="shared" si="17"/>
        <v>0</v>
      </c>
    </row>
    <row r="22">
      <c r="A22" s="86" t="s">
        <v>121</v>
      </c>
      <c r="B22" s="68">
        <f t="shared" ref="B22:D22" si="31">E22+H22+K22+N22+Q22+T22+W22+Z22+AC22+AF22+AI22+AL22+AO22+AR22+AU22</f>
        <v>1</v>
      </c>
      <c r="C22" s="69">
        <f t="shared" si="31"/>
        <v>1</v>
      </c>
      <c r="D22" s="70">
        <f t="shared" si="31"/>
        <v>0</v>
      </c>
      <c r="E22" s="80">
        <v>1.0</v>
      </c>
      <c r="F22" s="81">
        <v>1.0</v>
      </c>
      <c r="G22" s="73">
        <f t="shared" si="3"/>
        <v>0</v>
      </c>
      <c r="H22" s="81">
        <v>0.0</v>
      </c>
      <c r="I22" s="82">
        <v>0.0</v>
      </c>
      <c r="J22" s="74">
        <f t="shared" si="4"/>
        <v>0</v>
      </c>
      <c r="K22" s="81">
        <v>0.0</v>
      </c>
      <c r="L22" s="81">
        <v>0.0</v>
      </c>
      <c r="M22" s="74">
        <f t="shared" si="5"/>
        <v>0</v>
      </c>
      <c r="N22" s="81">
        <v>0.0</v>
      </c>
      <c r="O22" s="83">
        <v>0.0</v>
      </c>
      <c r="P22" s="76">
        <f t="shared" si="6"/>
        <v>0</v>
      </c>
      <c r="Q22" s="81">
        <v>0.0</v>
      </c>
      <c r="R22" s="81">
        <v>0.0</v>
      </c>
      <c r="S22" s="74">
        <f t="shared" si="7"/>
        <v>0</v>
      </c>
      <c r="T22" s="81">
        <v>0.0</v>
      </c>
      <c r="U22" s="83">
        <v>0.0</v>
      </c>
      <c r="V22" s="76">
        <f t="shared" si="8"/>
        <v>0</v>
      </c>
      <c r="W22" s="81">
        <v>0.0</v>
      </c>
      <c r="X22" s="81">
        <v>0.0</v>
      </c>
      <c r="Y22" s="74">
        <f t="shared" si="9"/>
        <v>0</v>
      </c>
      <c r="Z22" s="81">
        <v>0.0</v>
      </c>
      <c r="AA22" s="83">
        <v>0.0</v>
      </c>
      <c r="AB22" s="76">
        <f t="shared" si="10"/>
        <v>0</v>
      </c>
      <c r="AC22" s="81">
        <v>0.0</v>
      </c>
      <c r="AD22" s="81">
        <v>0.0</v>
      </c>
      <c r="AE22" s="74">
        <f t="shared" si="11"/>
        <v>0</v>
      </c>
      <c r="AF22" s="82">
        <v>0.0</v>
      </c>
      <c r="AG22" s="83">
        <v>0.0</v>
      </c>
      <c r="AH22" s="76">
        <f t="shared" si="12"/>
        <v>0</v>
      </c>
      <c r="AI22" s="81">
        <v>0.0</v>
      </c>
      <c r="AJ22" s="81">
        <v>0.0</v>
      </c>
      <c r="AK22" s="74">
        <f t="shared" si="13"/>
        <v>0</v>
      </c>
      <c r="AL22" s="81">
        <v>0.0</v>
      </c>
      <c r="AM22" s="81">
        <v>0.0</v>
      </c>
      <c r="AN22" s="74">
        <f t="shared" si="14"/>
        <v>0</v>
      </c>
      <c r="AO22" s="81">
        <v>0.0</v>
      </c>
      <c r="AP22" s="83">
        <v>0.0</v>
      </c>
      <c r="AQ22" s="76">
        <f t="shared" si="15"/>
        <v>0</v>
      </c>
      <c r="AR22" s="85">
        <v>0.0</v>
      </c>
      <c r="AS22" s="83">
        <v>0.0</v>
      </c>
      <c r="AT22" s="76">
        <f t="shared" si="16"/>
        <v>0</v>
      </c>
      <c r="AU22" s="85">
        <v>0.0</v>
      </c>
      <c r="AV22" s="83">
        <v>0.0</v>
      </c>
      <c r="AW22" s="79">
        <f t="shared" si="17"/>
        <v>0</v>
      </c>
    </row>
    <row r="23">
      <c r="A23" s="66" t="s">
        <v>335</v>
      </c>
      <c r="B23" s="68">
        <f t="shared" ref="B23:D23" si="32">E23+H23+K23+N23+Q23+T23+W23+Z23+AC23+AF23+AI23+AL23+AO23+AR23+AU23</f>
        <v>37</v>
      </c>
      <c r="C23" s="69">
        <f t="shared" si="32"/>
        <v>27</v>
      </c>
      <c r="D23" s="70">
        <f t="shared" si="32"/>
        <v>10</v>
      </c>
      <c r="E23" s="71">
        <v>9.0</v>
      </c>
      <c r="F23" s="72">
        <v>9.0</v>
      </c>
      <c r="G23" s="73">
        <f t="shared" si="3"/>
        <v>0</v>
      </c>
      <c r="H23" s="72">
        <v>4.0</v>
      </c>
      <c r="I23" s="77">
        <v>4.0</v>
      </c>
      <c r="J23" s="74">
        <f t="shared" si="4"/>
        <v>0</v>
      </c>
      <c r="K23" s="72">
        <v>4.0</v>
      </c>
      <c r="L23" s="72">
        <v>4.0</v>
      </c>
      <c r="M23" s="74">
        <f t="shared" si="5"/>
        <v>0</v>
      </c>
      <c r="N23" s="72">
        <v>6.0</v>
      </c>
      <c r="O23" s="75">
        <v>4.0</v>
      </c>
      <c r="P23" s="76">
        <f t="shared" si="6"/>
        <v>2</v>
      </c>
      <c r="Q23" s="72">
        <v>2.0</v>
      </c>
      <c r="R23" s="72">
        <v>2.0</v>
      </c>
      <c r="S23" s="74">
        <f t="shared" si="7"/>
        <v>0</v>
      </c>
      <c r="T23" s="72">
        <v>0.0</v>
      </c>
      <c r="U23" s="75">
        <v>0.0</v>
      </c>
      <c r="V23" s="76">
        <f t="shared" si="8"/>
        <v>0</v>
      </c>
      <c r="W23" s="72">
        <v>3.0</v>
      </c>
      <c r="X23" s="72">
        <v>0.0</v>
      </c>
      <c r="Y23" s="74">
        <f t="shared" si="9"/>
        <v>3</v>
      </c>
      <c r="Z23" s="72">
        <v>0.0</v>
      </c>
      <c r="AA23" s="75">
        <v>0.0</v>
      </c>
      <c r="AB23" s="76">
        <f t="shared" si="10"/>
        <v>0</v>
      </c>
      <c r="AC23" s="72">
        <v>2.0</v>
      </c>
      <c r="AD23" s="72">
        <v>2.0</v>
      </c>
      <c r="AE23" s="74">
        <f t="shared" si="11"/>
        <v>0</v>
      </c>
      <c r="AF23" s="77">
        <v>1.0</v>
      </c>
      <c r="AG23" s="75">
        <v>1.0</v>
      </c>
      <c r="AH23" s="76">
        <f t="shared" si="12"/>
        <v>0</v>
      </c>
      <c r="AI23" s="72">
        <v>2.0</v>
      </c>
      <c r="AJ23" s="72">
        <v>0.0</v>
      </c>
      <c r="AK23" s="74">
        <f t="shared" si="13"/>
        <v>2</v>
      </c>
      <c r="AL23" s="72">
        <v>2.0</v>
      </c>
      <c r="AM23" s="72">
        <v>1.0</v>
      </c>
      <c r="AN23" s="74">
        <f t="shared" si="14"/>
        <v>1</v>
      </c>
      <c r="AO23" s="72">
        <v>0.0</v>
      </c>
      <c r="AP23" s="75">
        <v>0.0</v>
      </c>
      <c r="AQ23" s="76">
        <f t="shared" si="15"/>
        <v>0</v>
      </c>
      <c r="AR23" s="78">
        <v>0.0</v>
      </c>
      <c r="AS23" s="75">
        <v>0.0</v>
      </c>
      <c r="AT23" s="76">
        <f t="shared" si="16"/>
        <v>0</v>
      </c>
      <c r="AU23" s="78">
        <v>2.0</v>
      </c>
      <c r="AV23" s="75">
        <v>0.0</v>
      </c>
      <c r="AW23" s="79">
        <f t="shared" si="17"/>
        <v>2</v>
      </c>
    </row>
    <row r="24">
      <c r="B24" s="95">
        <f t="shared" ref="B24:AW24" si="33">SUM(B7:B23)</f>
        <v>345</v>
      </c>
      <c r="C24" s="95">
        <f t="shared" si="33"/>
        <v>327</v>
      </c>
      <c r="D24" s="96">
        <f t="shared" si="33"/>
        <v>18</v>
      </c>
      <c r="E24" s="97">
        <f t="shared" si="33"/>
        <v>43</v>
      </c>
      <c r="F24" s="97">
        <f t="shared" si="33"/>
        <v>46</v>
      </c>
      <c r="G24" s="96">
        <f t="shared" si="33"/>
        <v>-3</v>
      </c>
      <c r="H24" s="97">
        <f t="shared" si="33"/>
        <v>25.5</v>
      </c>
      <c r="I24" s="99">
        <f t="shared" si="33"/>
        <v>27</v>
      </c>
      <c r="J24" s="96">
        <f t="shared" si="33"/>
        <v>-1.5</v>
      </c>
      <c r="K24" s="97">
        <f t="shared" si="33"/>
        <v>25.5</v>
      </c>
      <c r="L24" s="99">
        <f t="shared" si="33"/>
        <v>23</v>
      </c>
      <c r="M24" s="96">
        <f t="shared" si="33"/>
        <v>2.5</v>
      </c>
      <c r="N24" s="97">
        <f t="shared" si="33"/>
        <v>39</v>
      </c>
      <c r="O24" s="99">
        <f t="shared" si="33"/>
        <v>37</v>
      </c>
      <c r="P24" s="96">
        <f t="shared" si="33"/>
        <v>2</v>
      </c>
      <c r="Q24" s="97">
        <f t="shared" si="33"/>
        <v>15</v>
      </c>
      <c r="R24" s="99">
        <f t="shared" si="33"/>
        <v>14</v>
      </c>
      <c r="S24" s="96">
        <f t="shared" si="33"/>
        <v>1</v>
      </c>
      <c r="T24" s="97">
        <f t="shared" si="33"/>
        <v>26.5</v>
      </c>
      <c r="U24" s="99">
        <f t="shared" si="33"/>
        <v>26</v>
      </c>
      <c r="V24" s="96">
        <f t="shared" si="33"/>
        <v>0.5</v>
      </c>
      <c r="W24" s="97">
        <f t="shared" si="33"/>
        <v>32</v>
      </c>
      <c r="X24" s="99">
        <f t="shared" si="33"/>
        <v>28</v>
      </c>
      <c r="Y24" s="96">
        <f t="shared" si="33"/>
        <v>4</v>
      </c>
      <c r="Z24" s="97">
        <f t="shared" si="33"/>
        <v>20</v>
      </c>
      <c r="AA24" s="99">
        <f t="shared" si="33"/>
        <v>21</v>
      </c>
      <c r="AB24" s="96">
        <f t="shared" si="33"/>
        <v>-1</v>
      </c>
      <c r="AC24" s="97">
        <f t="shared" si="33"/>
        <v>19</v>
      </c>
      <c r="AD24" s="96">
        <f t="shared" si="33"/>
        <v>19</v>
      </c>
      <c r="AE24" s="96">
        <f t="shared" si="33"/>
        <v>0</v>
      </c>
      <c r="AF24" s="97">
        <f t="shared" si="33"/>
        <v>17.5</v>
      </c>
      <c r="AG24" s="99">
        <f t="shared" si="33"/>
        <v>12</v>
      </c>
      <c r="AH24" s="96">
        <f t="shared" si="33"/>
        <v>5.5</v>
      </c>
      <c r="AI24" s="97">
        <f t="shared" si="33"/>
        <v>18</v>
      </c>
      <c r="AJ24" s="99">
        <f t="shared" si="33"/>
        <v>15</v>
      </c>
      <c r="AK24" s="96">
        <f t="shared" si="33"/>
        <v>3</v>
      </c>
      <c r="AL24" s="97">
        <f t="shared" si="33"/>
        <v>18</v>
      </c>
      <c r="AM24" s="99">
        <f t="shared" si="33"/>
        <v>11</v>
      </c>
      <c r="AN24" s="96">
        <f t="shared" si="33"/>
        <v>7</v>
      </c>
      <c r="AO24" s="97">
        <f t="shared" si="33"/>
        <v>14</v>
      </c>
      <c r="AP24" s="99">
        <f t="shared" si="33"/>
        <v>15</v>
      </c>
      <c r="AQ24" s="96">
        <f t="shared" si="33"/>
        <v>-1</v>
      </c>
      <c r="AR24" s="97">
        <f t="shared" si="33"/>
        <v>9</v>
      </c>
      <c r="AS24" s="99">
        <f t="shared" si="33"/>
        <v>8</v>
      </c>
      <c r="AT24" s="96">
        <f t="shared" si="33"/>
        <v>1</v>
      </c>
      <c r="AU24" s="97">
        <f t="shared" si="33"/>
        <v>23</v>
      </c>
      <c r="AV24" s="99">
        <f t="shared" si="33"/>
        <v>25</v>
      </c>
      <c r="AW24" s="96">
        <f t="shared" si="33"/>
        <v>-2</v>
      </c>
    </row>
    <row r="25">
      <c r="O25" s="96"/>
      <c r="P25" s="96"/>
      <c r="AG25" s="96"/>
      <c r="AH25" s="96"/>
    </row>
    <row r="28">
      <c r="B28" s="100" t="s">
        <v>355</v>
      </c>
      <c r="C28" s="101"/>
      <c r="D28" s="101"/>
      <c r="E28" s="101"/>
      <c r="F28" s="102"/>
    </row>
    <row r="29">
      <c r="B29" s="103" t="s">
        <v>88</v>
      </c>
      <c r="C29" s="104" t="s">
        <v>356</v>
      </c>
      <c r="F29" s="105"/>
    </row>
    <row r="30">
      <c r="B30" s="103" t="s">
        <v>90</v>
      </c>
      <c r="C30" s="104" t="s">
        <v>357</v>
      </c>
      <c r="F30" s="105"/>
    </row>
    <row r="31">
      <c r="B31" s="103" t="s">
        <v>92</v>
      </c>
      <c r="C31" s="104" t="s">
        <v>360</v>
      </c>
      <c r="F31" s="105"/>
    </row>
    <row r="32">
      <c r="B32" s="103" t="s">
        <v>84</v>
      </c>
      <c r="C32" s="104" t="s">
        <v>361</v>
      </c>
      <c r="F32" s="105"/>
    </row>
    <row r="33">
      <c r="B33" s="103" t="s">
        <v>85</v>
      </c>
      <c r="C33" s="104" t="s">
        <v>362</v>
      </c>
      <c r="F33" s="105"/>
    </row>
    <row r="34">
      <c r="B34" s="106" t="s">
        <v>87</v>
      </c>
      <c r="C34" s="107" t="s">
        <v>363</v>
      </c>
      <c r="D34" s="108"/>
      <c r="E34" s="108"/>
      <c r="F34" s="109"/>
    </row>
  </sheetData>
  <mergeCells count="22">
    <mergeCell ref="Z5:AB5"/>
    <mergeCell ref="AC5:AE5"/>
    <mergeCell ref="AF5:AH5"/>
    <mergeCell ref="AI5:AK5"/>
    <mergeCell ref="AL5:AN5"/>
    <mergeCell ref="AO5:AQ5"/>
    <mergeCell ref="AR5:AT5"/>
    <mergeCell ref="AU5:AW5"/>
    <mergeCell ref="B28:F28"/>
    <mergeCell ref="C29:F29"/>
    <mergeCell ref="C30:F30"/>
    <mergeCell ref="C31:F31"/>
    <mergeCell ref="C32:F32"/>
    <mergeCell ref="C33:F33"/>
    <mergeCell ref="C34:F34"/>
    <mergeCell ref="E5:G5"/>
    <mergeCell ref="H5:J5"/>
    <mergeCell ref="K5:M5"/>
    <mergeCell ref="N5:P5"/>
    <mergeCell ref="Q5:S5"/>
    <mergeCell ref="T5:V5"/>
    <mergeCell ref="W5:Y5"/>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3.25"/>
    <col customWidth="1" min="2" max="2" width="102.38"/>
  </cols>
  <sheetData>
    <row r="1">
      <c r="A1" s="110" t="s">
        <v>575</v>
      </c>
    </row>
    <row r="3">
      <c r="A3" s="111" t="s">
        <v>576</v>
      </c>
      <c r="B3" s="112" t="s">
        <v>577</v>
      </c>
      <c r="C3" s="112" t="s">
        <v>578</v>
      </c>
      <c r="D3" s="113" t="s">
        <v>579</v>
      </c>
      <c r="E3" s="113" t="s">
        <v>30</v>
      </c>
      <c r="F3" s="114"/>
    </row>
    <row r="4" ht="220.5" customHeight="1">
      <c r="A4" s="115" t="s">
        <v>580</v>
      </c>
      <c r="B4" s="116" t="s">
        <v>581</v>
      </c>
      <c r="C4" s="117" t="s">
        <v>582</v>
      </c>
      <c r="D4" s="113" t="s">
        <v>588</v>
      </c>
      <c r="E4" s="113" t="s">
        <v>589</v>
      </c>
      <c r="F4" s="118" t="s">
        <v>58</v>
      </c>
    </row>
    <row r="5">
      <c r="A5" s="115" t="s">
        <v>592</v>
      </c>
      <c r="B5" s="119" t="s">
        <v>596</v>
      </c>
      <c r="C5" s="117" t="s">
        <v>592</v>
      </c>
      <c r="D5" s="113" t="s">
        <v>588</v>
      </c>
      <c r="E5" s="113" t="s">
        <v>589</v>
      </c>
      <c r="F5" s="118" t="s">
        <v>601</v>
      </c>
    </row>
    <row r="6">
      <c r="A6" s="118" t="s">
        <v>602</v>
      </c>
      <c r="B6" s="104" t="s">
        <v>603</v>
      </c>
      <c r="C6" s="120" t="s">
        <v>602</v>
      </c>
      <c r="D6" s="17" t="s">
        <v>588</v>
      </c>
      <c r="E6" s="17" t="s">
        <v>604</v>
      </c>
      <c r="F6" s="118" t="s">
        <v>58</v>
      </c>
    </row>
    <row r="7">
      <c r="A7" s="118" t="s">
        <v>606</v>
      </c>
      <c r="B7" s="118" t="s">
        <v>607</v>
      </c>
      <c r="C7" s="3"/>
      <c r="D7" s="3"/>
      <c r="E7" s="3"/>
      <c r="F7" s="114"/>
    </row>
    <row r="8">
      <c r="A8" s="118" t="s">
        <v>609</v>
      </c>
      <c r="B8" s="104" t="s">
        <v>610</v>
      </c>
      <c r="C8" s="17"/>
      <c r="D8" s="17" t="s">
        <v>611</v>
      </c>
      <c r="E8" s="17" t="s">
        <v>612</v>
      </c>
      <c r="F8" s="118" t="s">
        <v>58</v>
      </c>
    </row>
    <row r="9">
      <c r="A9" s="118" t="s">
        <v>613</v>
      </c>
      <c r="B9" s="104" t="s">
        <v>615</v>
      </c>
      <c r="C9" s="3"/>
      <c r="D9" s="3"/>
      <c r="E9" s="3"/>
      <c r="F9" s="114"/>
    </row>
    <row r="10">
      <c r="A10" s="118" t="s">
        <v>616</v>
      </c>
      <c r="B10" s="104" t="s">
        <v>617</v>
      </c>
      <c r="C10" s="3"/>
      <c r="D10" s="3"/>
      <c r="E10" s="3"/>
      <c r="F10" s="114"/>
    </row>
    <row r="11">
      <c r="A11" s="118" t="s">
        <v>619</v>
      </c>
      <c r="B11" s="104" t="s">
        <v>620</v>
      </c>
      <c r="C11" s="3"/>
      <c r="D11" s="3"/>
      <c r="E11" s="3"/>
      <c r="F11" s="114"/>
    </row>
    <row r="12">
      <c r="A12" s="114"/>
      <c r="C12" s="3"/>
      <c r="D12" s="3"/>
      <c r="E12" s="3"/>
      <c r="F12" s="114"/>
    </row>
    <row r="13">
      <c r="A13" s="114"/>
      <c r="C13" s="3"/>
      <c r="D13" s="3"/>
      <c r="E13" s="3"/>
      <c r="F13" s="114"/>
    </row>
    <row r="14">
      <c r="A14" s="114"/>
      <c r="C14" s="3"/>
      <c r="D14" s="3"/>
      <c r="E14" s="3"/>
      <c r="F14" s="114"/>
    </row>
    <row r="15">
      <c r="A15" s="114"/>
      <c r="C15" s="3"/>
      <c r="D15" s="3"/>
      <c r="E15" s="3"/>
      <c r="F15" s="114"/>
    </row>
    <row r="16">
      <c r="A16" s="114"/>
      <c r="C16" s="3"/>
      <c r="D16" s="3"/>
      <c r="E16" s="3"/>
      <c r="F16" s="114"/>
    </row>
    <row r="17">
      <c r="A17" s="114"/>
      <c r="C17" s="3"/>
      <c r="D17" s="3"/>
      <c r="E17" s="3"/>
      <c r="F17" s="114"/>
    </row>
    <row r="18">
      <c r="A18" s="114"/>
      <c r="C18" s="3"/>
      <c r="D18" s="3"/>
      <c r="E18" s="3"/>
      <c r="F18" s="114"/>
    </row>
    <row r="19">
      <c r="A19" s="114"/>
      <c r="C19" s="3"/>
      <c r="D19" s="3"/>
      <c r="E19" s="3"/>
      <c r="F19" s="114"/>
    </row>
    <row r="20">
      <c r="A20" s="114"/>
      <c r="C20" s="3"/>
      <c r="D20" s="3"/>
      <c r="E20" s="3"/>
      <c r="F20" s="114"/>
    </row>
    <row r="21">
      <c r="A21" s="114"/>
      <c r="C21" s="3"/>
      <c r="D21" s="3"/>
      <c r="E21" s="3"/>
      <c r="F21" s="114"/>
    </row>
    <row r="22">
      <c r="A22" s="114"/>
      <c r="C22" s="3"/>
      <c r="D22" s="3"/>
      <c r="E22" s="3"/>
      <c r="F22" s="114"/>
    </row>
    <row r="23">
      <c r="A23" s="114"/>
      <c r="C23" s="3"/>
      <c r="D23" s="3"/>
      <c r="E23" s="3"/>
      <c r="F23" s="114"/>
    </row>
    <row r="24">
      <c r="A24" s="114"/>
      <c r="C24" s="3"/>
      <c r="D24" s="3"/>
      <c r="E24" s="3"/>
      <c r="F24" s="114"/>
    </row>
    <row r="25">
      <c r="A25" s="114"/>
      <c r="C25" s="3"/>
      <c r="D25" s="3"/>
      <c r="E25" s="3"/>
      <c r="F25" s="114"/>
    </row>
    <row r="26">
      <c r="A26" s="114"/>
      <c r="C26" s="3"/>
      <c r="D26" s="3"/>
      <c r="E26" s="3"/>
      <c r="F26" s="114"/>
    </row>
    <row r="27">
      <c r="A27" s="114"/>
      <c r="C27" s="3"/>
      <c r="D27" s="3"/>
      <c r="E27" s="3"/>
      <c r="F27" s="114"/>
    </row>
    <row r="28">
      <c r="A28" s="114"/>
      <c r="C28" s="3"/>
      <c r="D28" s="3"/>
      <c r="E28" s="3"/>
      <c r="F28" s="114"/>
    </row>
    <row r="29">
      <c r="A29" s="114"/>
      <c r="C29" s="3"/>
      <c r="D29" s="3"/>
      <c r="E29" s="3"/>
      <c r="F29" s="114"/>
    </row>
    <row r="30">
      <c r="A30" s="114"/>
      <c r="C30" s="3"/>
      <c r="D30" s="3"/>
      <c r="E30" s="3"/>
      <c r="F30" s="114"/>
    </row>
    <row r="31">
      <c r="A31" s="114"/>
      <c r="C31" s="3"/>
      <c r="D31" s="3"/>
      <c r="E31" s="3"/>
      <c r="F31" s="114"/>
    </row>
    <row r="32">
      <c r="A32" s="114"/>
      <c r="C32" s="3"/>
      <c r="D32" s="3"/>
      <c r="E32" s="3"/>
      <c r="F32" s="114"/>
    </row>
    <row r="33">
      <c r="A33" s="114"/>
      <c r="C33" s="3"/>
      <c r="D33" s="3"/>
      <c r="E33" s="3"/>
      <c r="F33" s="114"/>
    </row>
    <row r="34">
      <c r="A34" s="114"/>
      <c r="C34" s="3"/>
      <c r="D34" s="3"/>
      <c r="E34" s="3"/>
      <c r="F34" s="114"/>
    </row>
    <row r="35">
      <c r="A35" s="114"/>
      <c r="C35" s="3"/>
      <c r="D35" s="3"/>
      <c r="E35" s="3"/>
      <c r="F35" s="114"/>
    </row>
    <row r="36">
      <c r="A36" s="114"/>
      <c r="C36" s="3"/>
      <c r="D36" s="3"/>
      <c r="E36" s="3"/>
      <c r="F36" s="114"/>
    </row>
    <row r="37">
      <c r="A37" s="114"/>
      <c r="C37" s="3"/>
      <c r="D37" s="3"/>
      <c r="E37" s="3"/>
      <c r="F37" s="114"/>
    </row>
    <row r="38">
      <c r="A38" s="114"/>
      <c r="C38" s="3"/>
      <c r="D38" s="3"/>
      <c r="E38" s="3"/>
      <c r="F38" s="114"/>
    </row>
    <row r="39">
      <c r="A39" s="114"/>
      <c r="C39" s="3"/>
      <c r="D39" s="3"/>
      <c r="E39" s="3"/>
      <c r="F39" s="114"/>
    </row>
    <row r="40">
      <c r="A40" s="114"/>
      <c r="C40" s="3"/>
      <c r="D40" s="3"/>
      <c r="E40" s="3"/>
      <c r="F40" s="114"/>
    </row>
    <row r="41">
      <c r="A41" s="114"/>
      <c r="C41" s="3"/>
      <c r="D41" s="3"/>
      <c r="E41" s="3"/>
      <c r="F41" s="114"/>
    </row>
    <row r="42">
      <c r="A42" s="114"/>
      <c r="C42" s="3"/>
      <c r="D42" s="3"/>
      <c r="E42" s="3"/>
      <c r="F42" s="114"/>
    </row>
    <row r="43">
      <c r="A43" s="114"/>
      <c r="C43" s="3"/>
      <c r="D43" s="3"/>
      <c r="E43" s="3"/>
      <c r="F43" s="114"/>
    </row>
    <row r="44">
      <c r="A44" s="114"/>
      <c r="C44" s="3"/>
      <c r="D44" s="3"/>
      <c r="E44" s="3"/>
      <c r="F44" s="114"/>
    </row>
    <row r="45">
      <c r="A45" s="114"/>
      <c r="C45" s="3"/>
      <c r="D45" s="3"/>
      <c r="E45" s="3"/>
      <c r="F45" s="114"/>
    </row>
    <row r="46">
      <c r="A46" s="114"/>
      <c r="C46" s="3"/>
      <c r="D46" s="3"/>
      <c r="E46" s="3"/>
      <c r="F46" s="114"/>
    </row>
    <row r="47">
      <c r="A47" s="114"/>
      <c r="C47" s="3"/>
      <c r="D47" s="3"/>
      <c r="E47" s="3"/>
      <c r="F47" s="114"/>
    </row>
    <row r="48">
      <c r="A48" s="114"/>
      <c r="C48" s="3"/>
      <c r="D48" s="3"/>
      <c r="E48" s="3"/>
      <c r="F48" s="114"/>
    </row>
    <row r="49">
      <c r="A49" s="114"/>
      <c r="C49" s="3"/>
      <c r="D49" s="3"/>
      <c r="E49" s="3"/>
      <c r="F49" s="114"/>
    </row>
    <row r="50">
      <c r="A50" s="114"/>
      <c r="C50" s="3"/>
      <c r="D50" s="3"/>
      <c r="E50" s="3"/>
      <c r="F50" s="114"/>
    </row>
    <row r="51">
      <c r="A51" s="114"/>
      <c r="C51" s="3"/>
      <c r="D51" s="3"/>
      <c r="E51" s="3"/>
      <c r="F51" s="114"/>
    </row>
    <row r="52">
      <c r="A52" s="114"/>
      <c r="C52" s="3"/>
      <c r="D52" s="3"/>
      <c r="E52" s="3"/>
      <c r="F52" s="114"/>
    </row>
    <row r="53">
      <c r="A53" s="114"/>
      <c r="C53" s="3"/>
      <c r="D53" s="3"/>
      <c r="E53" s="3"/>
      <c r="F53" s="114"/>
    </row>
    <row r="54">
      <c r="A54" s="114"/>
      <c r="C54" s="3"/>
      <c r="D54" s="3"/>
      <c r="E54" s="3"/>
      <c r="F54" s="114"/>
    </row>
    <row r="55">
      <c r="A55" s="114"/>
      <c r="C55" s="3"/>
      <c r="D55" s="3"/>
      <c r="E55" s="3"/>
      <c r="F55" s="114"/>
    </row>
    <row r="56">
      <c r="A56" s="114"/>
      <c r="C56" s="3"/>
      <c r="D56" s="3"/>
      <c r="E56" s="3"/>
      <c r="F56" s="114"/>
    </row>
    <row r="57">
      <c r="A57" s="114"/>
      <c r="C57" s="3"/>
      <c r="D57" s="3"/>
      <c r="E57" s="3"/>
      <c r="F57" s="114"/>
    </row>
    <row r="58">
      <c r="A58" s="114"/>
      <c r="C58" s="3"/>
      <c r="D58" s="3"/>
      <c r="E58" s="3"/>
      <c r="F58" s="114"/>
    </row>
    <row r="59">
      <c r="A59" s="114"/>
      <c r="C59" s="3"/>
      <c r="D59" s="3"/>
      <c r="E59" s="3"/>
      <c r="F59" s="114"/>
    </row>
    <row r="60">
      <c r="A60" s="114"/>
      <c r="C60" s="3"/>
      <c r="D60" s="3"/>
      <c r="E60" s="3"/>
      <c r="F60" s="114"/>
    </row>
    <row r="61">
      <c r="A61" s="114"/>
      <c r="C61" s="3"/>
      <c r="D61" s="3"/>
      <c r="E61" s="3"/>
      <c r="F61" s="114"/>
    </row>
    <row r="62">
      <c r="A62" s="114"/>
      <c r="C62" s="3"/>
      <c r="D62" s="3"/>
      <c r="E62" s="3"/>
      <c r="F62" s="114"/>
    </row>
    <row r="63">
      <c r="A63" s="114"/>
      <c r="C63" s="3"/>
      <c r="D63" s="3"/>
      <c r="E63" s="3"/>
      <c r="F63" s="114"/>
    </row>
    <row r="64">
      <c r="A64" s="114"/>
      <c r="C64" s="3"/>
      <c r="D64" s="3"/>
      <c r="E64" s="3"/>
      <c r="F64" s="114"/>
    </row>
    <row r="65">
      <c r="A65" s="114"/>
      <c r="C65" s="3"/>
      <c r="D65" s="3"/>
      <c r="E65" s="3"/>
      <c r="F65" s="114"/>
    </row>
    <row r="66">
      <c r="A66" s="114"/>
      <c r="C66" s="3"/>
      <c r="D66" s="3"/>
      <c r="E66" s="3"/>
      <c r="F66" s="114"/>
    </row>
    <row r="67">
      <c r="A67" s="114"/>
      <c r="C67" s="3"/>
      <c r="D67" s="3"/>
      <c r="E67" s="3"/>
      <c r="F67" s="114"/>
    </row>
    <row r="68">
      <c r="A68" s="114"/>
      <c r="C68" s="3"/>
      <c r="D68" s="3"/>
      <c r="E68" s="3"/>
      <c r="F68" s="114"/>
    </row>
    <row r="69">
      <c r="A69" s="114"/>
      <c r="C69" s="3"/>
      <c r="D69" s="3"/>
      <c r="E69" s="3"/>
      <c r="F69" s="114"/>
    </row>
    <row r="70">
      <c r="A70" s="114"/>
      <c r="C70" s="3"/>
      <c r="D70" s="3"/>
      <c r="E70" s="3"/>
      <c r="F70" s="114"/>
    </row>
    <row r="71">
      <c r="A71" s="114"/>
      <c r="C71" s="3"/>
      <c r="D71" s="3"/>
      <c r="E71" s="3"/>
      <c r="F71" s="114"/>
    </row>
    <row r="72">
      <c r="A72" s="114"/>
      <c r="C72" s="3"/>
      <c r="D72" s="3"/>
      <c r="E72" s="3"/>
      <c r="F72" s="114"/>
    </row>
    <row r="73">
      <c r="A73" s="114"/>
      <c r="C73" s="3"/>
      <c r="D73" s="3"/>
      <c r="E73" s="3"/>
      <c r="F73" s="114"/>
    </row>
    <row r="74">
      <c r="A74" s="114"/>
      <c r="C74" s="3"/>
      <c r="D74" s="3"/>
      <c r="E74" s="3"/>
      <c r="F74" s="114"/>
    </row>
    <row r="75">
      <c r="A75" s="114"/>
      <c r="C75" s="3"/>
      <c r="D75" s="3"/>
      <c r="E75" s="3"/>
      <c r="F75" s="114"/>
    </row>
    <row r="76">
      <c r="A76" s="114"/>
      <c r="C76" s="3"/>
      <c r="D76" s="3"/>
      <c r="E76" s="3"/>
      <c r="F76" s="114"/>
    </row>
    <row r="77">
      <c r="A77" s="114"/>
      <c r="C77" s="3"/>
      <c r="D77" s="3"/>
      <c r="E77" s="3"/>
      <c r="F77" s="114"/>
    </row>
    <row r="78">
      <c r="A78" s="114"/>
      <c r="C78" s="3"/>
      <c r="D78" s="3"/>
      <c r="E78" s="3"/>
      <c r="F78" s="114"/>
    </row>
    <row r="79">
      <c r="A79" s="114"/>
      <c r="C79" s="3"/>
      <c r="D79" s="3"/>
      <c r="E79" s="3"/>
      <c r="F79" s="114"/>
    </row>
    <row r="80">
      <c r="A80" s="114"/>
      <c r="C80" s="3"/>
      <c r="D80" s="3"/>
      <c r="E80" s="3"/>
      <c r="F80" s="114"/>
    </row>
    <row r="81">
      <c r="A81" s="114"/>
      <c r="C81" s="3"/>
      <c r="D81" s="3"/>
      <c r="E81" s="3"/>
      <c r="F81" s="114"/>
    </row>
    <row r="82">
      <c r="A82" s="114"/>
      <c r="C82" s="3"/>
      <c r="D82" s="3"/>
      <c r="E82" s="3"/>
      <c r="F82" s="114"/>
    </row>
    <row r="83">
      <c r="A83" s="114"/>
      <c r="C83" s="3"/>
      <c r="D83" s="3"/>
      <c r="E83" s="3"/>
      <c r="F83" s="114"/>
    </row>
    <row r="84">
      <c r="A84" s="114"/>
      <c r="C84" s="3"/>
      <c r="D84" s="3"/>
      <c r="E84" s="3"/>
      <c r="F84" s="114"/>
    </row>
    <row r="85">
      <c r="A85" s="114"/>
      <c r="C85" s="3"/>
      <c r="D85" s="3"/>
      <c r="E85" s="3"/>
      <c r="F85" s="114"/>
    </row>
    <row r="86">
      <c r="A86" s="114"/>
      <c r="C86" s="3"/>
      <c r="D86" s="3"/>
      <c r="E86" s="3"/>
      <c r="F86" s="114"/>
    </row>
    <row r="87">
      <c r="A87" s="114"/>
      <c r="C87" s="3"/>
      <c r="D87" s="3"/>
      <c r="E87" s="3"/>
      <c r="F87" s="114"/>
    </row>
    <row r="88">
      <c r="A88" s="114"/>
      <c r="C88" s="3"/>
      <c r="D88" s="3"/>
      <c r="E88" s="3"/>
      <c r="F88" s="114"/>
    </row>
    <row r="89">
      <c r="A89" s="114"/>
      <c r="C89" s="3"/>
      <c r="D89" s="3"/>
      <c r="E89" s="3"/>
      <c r="F89" s="114"/>
    </row>
    <row r="90">
      <c r="A90" s="114"/>
      <c r="C90" s="3"/>
      <c r="D90" s="3"/>
      <c r="E90" s="3"/>
      <c r="F90" s="114"/>
    </row>
    <row r="91">
      <c r="A91" s="114"/>
      <c r="C91" s="3"/>
      <c r="D91" s="3"/>
      <c r="E91" s="3"/>
      <c r="F91" s="114"/>
    </row>
    <row r="92">
      <c r="A92" s="114"/>
      <c r="C92" s="3"/>
      <c r="D92" s="3"/>
      <c r="E92" s="3"/>
      <c r="F92" s="114"/>
    </row>
    <row r="93">
      <c r="A93" s="114"/>
      <c r="C93" s="3"/>
      <c r="D93" s="3"/>
      <c r="E93" s="3"/>
      <c r="F93" s="114"/>
    </row>
    <row r="94">
      <c r="A94" s="114"/>
      <c r="C94" s="3"/>
      <c r="D94" s="3"/>
      <c r="E94" s="3"/>
      <c r="F94" s="114"/>
    </row>
    <row r="95">
      <c r="A95" s="114"/>
      <c r="C95" s="3"/>
      <c r="D95" s="3"/>
      <c r="E95" s="3"/>
      <c r="F95" s="114"/>
    </row>
    <row r="96">
      <c r="A96" s="114"/>
      <c r="C96" s="3"/>
      <c r="D96" s="3"/>
      <c r="E96" s="3"/>
      <c r="F96" s="114"/>
    </row>
    <row r="97">
      <c r="A97" s="114"/>
      <c r="C97" s="3"/>
      <c r="D97" s="3"/>
      <c r="E97" s="3"/>
      <c r="F97" s="114"/>
    </row>
    <row r="98">
      <c r="A98" s="114"/>
      <c r="C98" s="3"/>
      <c r="D98" s="3"/>
      <c r="E98" s="3"/>
      <c r="F98" s="114"/>
    </row>
    <row r="99">
      <c r="A99" s="114"/>
      <c r="C99" s="3"/>
      <c r="D99" s="3"/>
      <c r="E99" s="3"/>
      <c r="F99" s="114"/>
    </row>
    <row r="100">
      <c r="A100" s="114"/>
      <c r="C100" s="3"/>
      <c r="D100" s="3"/>
      <c r="E100" s="3"/>
      <c r="F100" s="114"/>
    </row>
    <row r="101">
      <c r="A101" s="114"/>
      <c r="C101" s="3"/>
      <c r="D101" s="3"/>
      <c r="E101" s="3"/>
      <c r="F101" s="114"/>
    </row>
    <row r="102">
      <c r="A102" s="114"/>
      <c r="C102" s="3"/>
      <c r="D102" s="3"/>
      <c r="E102" s="3"/>
      <c r="F102" s="114"/>
    </row>
    <row r="103">
      <c r="A103" s="114"/>
      <c r="C103" s="3"/>
      <c r="D103" s="3"/>
      <c r="E103" s="3"/>
      <c r="F103" s="114"/>
    </row>
    <row r="104">
      <c r="A104" s="114"/>
      <c r="C104" s="3"/>
      <c r="D104" s="3"/>
      <c r="E104" s="3"/>
      <c r="F104" s="114"/>
    </row>
    <row r="105">
      <c r="A105" s="114"/>
      <c r="C105" s="3"/>
      <c r="D105" s="3"/>
      <c r="E105" s="3"/>
      <c r="F105" s="114"/>
    </row>
    <row r="106">
      <c r="A106" s="114"/>
      <c r="C106" s="3"/>
      <c r="D106" s="3"/>
      <c r="E106" s="3"/>
      <c r="F106" s="114"/>
    </row>
    <row r="107">
      <c r="A107" s="114"/>
      <c r="C107" s="3"/>
      <c r="D107" s="3"/>
      <c r="E107" s="3"/>
      <c r="F107" s="114"/>
    </row>
    <row r="108">
      <c r="A108" s="114"/>
      <c r="C108" s="3"/>
      <c r="D108" s="3"/>
      <c r="E108" s="3"/>
      <c r="F108" s="114"/>
    </row>
    <row r="109">
      <c r="A109" s="114"/>
      <c r="C109" s="3"/>
      <c r="D109" s="3"/>
      <c r="E109" s="3"/>
      <c r="F109" s="114"/>
    </row>
    <row r="110">
      <c r="A110" s="114"/>
      <c r="C110" s="3"/>
      <c r="D110" s="3"/>
      <c r="E110" s="3"/>
      <c r="F110" s="114"/>
    </row>
    <row r="111">
      <c r="A111" s="114"/>
      <c r="C111" s="3"/>
      <c r="D111" s="3"/>
      <c r="E111" s="3"/>
      <c r="F111" s="114"/>
    </row>
    <row r="112">
      <c r="A112" s="114"/>
      <c r="C112" s="3"/>
      <c r="D112" s="3"/>
      <c r="E112" s="3"/>
      <c r="F112" s="114"/>
    </row>
    <row r="113">
      <c r="A113" s="114"/>
      <c r="C113" s="3"/>
      <c r="D113" s="3"/>
      <c r="E113" s="3"/>
      <c r="F113" s="114"/>
    </row>
    <row r="114">
      <c r="A114" s="114"/>
      <c r="C114" s="3"/>
      <c r="D114" s="3"/>
      <c r="E114" s="3"/>
      <c r="F114" s="114"/>
    </row>
    <row r="115">
      <c r="A115" s="114"/>
      <c r="C115" s="3"/>
      <c r="D115" s="3"/>
      <c r="E115" s="3"/>
      <c r="F115" s="114"/>
    </row>
    <row r="116">
      <c r="A116" s="114"/>
      <c r="C116" s="3"/>
      <c r="D116" s="3"/>
      <c r="E116" s="3"/>
      <c r="F116" s="114"/>
    </row>
    <row r="117">
      <c r="A117" s="114"/>
      <c r="C117" s="3"/>
      <c r="D117" s="3"/>
      <c r="E117" s="3"/>
      <c r="F117" s="114"/>
    </row>
    <row r="118">
      <c r="A118" s="114"/>
      <c r="C118" s="3"/>
      <c r="D118" s="3"/>
      <c r="E118" s="3"/>
      <c r="F118" s="114"/>
    </row>
    <row r="119">
      <c r="A119" s="114"/>
      <c r="C119" s="3"/>
      <c r="D119" s="3"/>
      <c r="E119" s="3"/>
      <c r="F119" s="114"/>
    </row>
    <row r="120">
      <c r="A120" s="114"/>
      <c r="C120" s="3"/>
      <c r="D120" s="3"/>
      <c r="E120" s="3"/>
      <c r="F120" s="114"/>
    </row>
    <row r="121">
      <c r="A121" s="114"/>
      <c r="C121" s="3"/>
      <c r="D121" s="3"/>
      <c r="E121" s="3"/>
      <c r="F121" s="114"/>
    </row>
    <row r="122">
      <c r="A122" s="114"/>
      <c r="C122" s="3"/>
      <c r="D122" s="3"/>
      <c r="E122" s="3"/>
      <c r="F122" s="114"/>
    </row>
    <row r="123">
      <c r="A123" s="114"/>
      <c r="C123" s="3"/>
      <c r="D123" s="3"/>
      <c r="E123" s="3"/>
      <c r="F123" s="114"/>
    </row>
    <row r="124">
      <c r="A124" s="114"/>
      <c r="C124" s="3"/>
      <c r="D124" s="3"/>
      <c r="E124" s="3"/>
      <c r="F124" s="114"/>
    </row>
    <row r="125">
      <c r="A125" s="114"/>
      <c r="C125" s="3"/>
      <c r="D125" s="3"/>
      <c r="E125" s="3"/>
      <c r="F125" s="114"/>
    </row>
    <row r="126">
      <c r="A126" s="114"/>
      <c r="C126" s="3"/>
      <c r="D126" s="3"/>
      <c r="E126" s="3"/>
      <c r="F126" s="114"/>
    </row>
    <row r="127">
      <c r="A127" s="114"/>
      <c r="C127" s="3"/>
      <c r="D127" s="3"/>
      <c r="E127" s="3"/>
      <c r="F127" s="114"/>
    </row>
    <row r="128">
      <c r="A128" s="114"/>
      <c r="C128" s="3"/>
      <c r="D128" s="3"/>
      <c r="E128" s="3"/>
      <c r="F128" s="114"/>
    </row>
    <row r="129">
      <c r="A129" s="114"/>
      <c r="C129" s="3"/>
      <c r="D129" s="3"/>
      <c r="E129" s="3"/>
      <c r="F129" s="114"/>
    </row>
    <row r="130">
      <c r="A130" s="114"/>
      <c r="C130" s="3"/>
      <c r="D130" s="3"/>
      <c r="E130" s="3"/>
      <c r="F130" s="114"/>
    </row>
    <row r="131">
      <c r="A131" s="114"/>
      <c r="C131" s="3"/>
      <c r="D131" s="3"/>
      <c r="E131" s="3"/>
      <c r="F131" s="114"/>
    </row>
    <row r="132">
      <c r="A132" s="114"/>
      <c r="C132" s="3"/>
      <c r="D132" s="3"/>
      <c r="E132" s="3"/>
      <c r="F132" s="114"/>
    </row>
    <row r="133">
      <c r="A133" s="114"/>
      <c r="C133" s="3"/>
      <c r="D133" s="3"/>
      <c r="E133" s="3"/>
      <c r="F133" s="114"/>
    </row>
    <row r="134">
      <c r="A134" s="114"/>
      <c r="C134" s="3"/>
      <c r="D134" s="3"/>
      <c r="E134" s="3"/>
      <c r="F134" s="114"/>
    </row>
    <row r="135">
      <c r="A135" s="114"/>
      <c r="C135" s="3"/>
      <c r="D135" s="3"/>
      <c r="E135" s="3"/>
      <c r="F135" s="114"/>
    </row>
    <row r="136">
      <c r="A136" s="114"/>
      <c r="C136" s="3"/>
      <c r="D136" s="3"/>
      <c r="E136" s="3"/>
      <c r="F136" s="114"/>
    </row>
    <row r="137">
      <c r="A137" s="114"/>
      <c r="C137" s="3"/>
      <c r="D137" s="3"/>
      <c r="E137" s="3"/>
      <c r="F137" s="114"/>
    </row>
    <row r="138">
      <c r="A138" s="114"/>
      <c r="C138" s="3"/>
      <c r="D138" s="3"/>
      <c r="E138" s="3"/>
      <c r="F138" s="114"/>
    </row>
    <row r="139">
      <c r="A139" s="114"/>
      <c r="C139" s="3"/>
      <c r="D139" s="3"/>
      <c r="E139" s="3"/>
      <c r="F139" s="114"/>
    </row>
    <row r="140">
      <c r="A140" s="114"/>
      <c r="C140" s="3"/>
      <c r="D140" s="3"/>
      <c r="E140" s="3"/>
      <c r="F140" s="114"/>
    </row>
    <row r="141">
      <c r="A141" s="114"/>
      <c r="C141" s="3"/>
      <c r="D141" s="3"/>
      <c r="E141" s="3"/>
      <c r="F141" s="114"/>
    </row>
    <row r="142">
      <c r="A142" s="114"/>
      <c r="C142" s="3"/>
      <c r="D142" s="3"/>
      <c r="E142" s="3"/>
      <c r="F142" s="114"/>
    </row>
    <row r="143">
      <c r="A143" s="114"/>
      <c r="C143" s="3"/>
      <c r="D143" s="3"/>
      <c r="E143" s="3"/>
      <c r="F143" s="114"/>
    </row>
    <row r="144">
      <c r="A144" s="114"/>
      <c r="C144" s="3"/>
      <c r="D144" s="3"/>
      <c r="E144" s="3"/>
      <c r="F144" s="114"/>
    </row>
    <row r="145">
      <c r="A145" s="114"/>
      <c r="C145" s="3"/>
      <c r="D145" s="3"/>
      <c r="E145" s="3"/>
      <c r="F145" s="114"/>
    </row>
    <row r="146">
      <c r="A146" s="114"/>
      <c r="C146" s="3"/>
      <c r="D146" s="3"/>
      <c r="E146" s="3"/>
      <c r="F146" s="114"/>
    </row>
    <row r="147">
      <c r="A147" s="114"/>
      <c r="C147" s="3"/>
      <c r="D147" s="3"/>
      <c r="E147" s="3"/>
      <c r="F147" s="114"/>
    </row>
    <row r="148">
      <c r="A148" s="114"/>
      <c r="C148" s="3"/>
      <c r="D148" s="3"/>
      <c r="E148" s="3"/>
      <c r="F148" s="114"/>
    </row>
    <row r="149">
      <c r="A149" s="114"/>
      <c r="C149" s="3"/>
      <c r="D149" s="3"/>
      <c r="E149" s="3"/>
      <c r="F149" s="114"/>
    </row>
    <row r="150">
      <c r="A150" s="114"/>
      <c r="C150" s="3"/>
      <c r="D150" s="3"/>
      <c r="E150" s="3"/>
      <c r="F150" s="114"/>
    </row>
    <row r="151">
      <c r="A151" s="114"/>
      <c r="C151" s="3"/>
      <c r="D151" s="3"/>
      <c r="E151" s="3"/>
      <c r="F151" s="114"/>
    </row>
    <row r="152">
      <c r="A152" s="114"/>
      <c r="C152" s="3"/>
      <c r="D152" s="3"/>
      <c r="E152" s="3"/>
      <c r="F152" s="114"/>
    </row>
    <row r="153">
      <c r="A153" s="114"/>
      <c r="C153" s="3"/>
      <c r="D153" s="3"/>
      <c r="E153" s="3"/>
      <c r="F153" s="114"/>
    </row>
    <row r="154">
      <c r="A154" s="114"/>
      <c r="C154" s="3"/>
      <c r="D154" s="3"/>
      <c r="E154" s="3"/>
      <c r="F154" s="114"/>
    </row>
    <row r="155">
      <c r="A155" s="114"/>
      <c r="C155" s="3"/>
      <c r="D155" s="3"/>
      <c r="E155" s="3"/>
      <c r="F155" s="114"/>
    </row>
    <row r="156">
      <c r="A156" s="114"/>
      <c r="C156" s="3"/>
      <c r="D156" s="3"/>
      <c r="E156" s="3"/>
      <c r="F156" s="114"/>
    </row>
    <row r="157">
      <c r="A157" s="114"/>
      <c r="C157" s="3"/>
      <c r="D157" s="3"/>
      <c r="E157" s="3"/>
      <c r="F157" s="114"/>
    </row>
    <row r="158">
      <c r="A158" s="114"/>
      <c r="C158" s="3"/>
      <c r="D158" s="3"/>
      <c r="E158" s="3"/>
      <c r="F158" s="114"/>
    </row>
    <row r="159">
      <c r="A159" s="114"/>
      <c r="C159" s="3"/>
      <c r="D159" s="3"/>
      <c r="E159" s="3"/>
      <c r="F159" s="114"/>
    </row>
    <row r="160">
      <c r="A160" s="114"/>
      <c r="C160" s="3"/>
      <c r="D160" s="3"/>
      <c r="E160" s="3"/>
      <c r="F160" s="114"/>
    </row>
    <row r="161">
      <c r="A161" s="114"/>
      <c r="C161" s="3"/>
      <c r="D161" s="3"/>
      <c r="E161" s="3"/>
      <c r="F161" s="114"/>
    </row>
    <row r="162">
      <c r="A162" s="114"/>
      <c r="C162" s="3"/>
      <c r="D162" s="3"/>
      <c r="E162" s="3"/>
      <c r="F162" s="114"/>
    </row>
    <row r="163">
      <c r="A163" s="114"/>
      <c r="C163" s="3"/>
      <c r="D163" s="3"/>
      <c r="E163" s="3"/>
      <c r="F163" s="114"/>
    </row>
    <row r="164">
      <c r="A164" s="114"/>
      <c r="C164" s="3"/>
      <c r="D164" s="3"/>
      <c r="E164" s="3"/>
      <c r="F164" s="114"/>
    </row>
    <row r="165">
      <c r="A165" s="114"/>
      <c r="C165" s="3"/>
      <c r="D165" s="3"/>
      <c r="E165" s="3"/>
      <c r="F165" s="114"/>
    </row>
    <row r="166">
      <c r="A166" s="114"/>
      <c r="C166" s="3"/>
      <c r="D166" s="3"/>
      <c r="E166" s="3"/>
      <c r="F166" s="114"/>
    </row>
    <row r="167">
      <c r="A167" s="114"/>
      <c r="C167" s="3"/>
      <c r="D167" s="3"/>
      <c r="E167" s="3"/>
      <c r="F167" s="114"/>
    </row>
    <row r="168">
      <c r="A168" s="114"/>
      <c r="C168" s="3"/>
      <c r="D168" s="3"/>
      <c r="E168" s="3"/>
      <c r="F168" s="114"/>
    </row>
    <row r="169">
      <c r="A169" s="114"/>
      <c r="C169" s="3"/>
      <c r="D169" s="3"/>
      <c r="E169" s="3"/>
      <c r="F169" s="114"/>
    </row>
    <row r="170">
      <c r="A170" s="114"/>
      <c r="C170" s="3"/>
      <c r="D170" s="3"/>
      <c r="E170" s="3"/>
      <c r="F170" s="114"/>
    </row>
    <row r="171">
      <c r="A171" s="114"/>
      <c r="C171" s="3"/>
      <c r="D171" s="3"/>
      <c r="E171" s="3"/>
      <c r="F171" s="114"/>
    </row>
    <row r="172">
      <c r="A172" s="114"/>
      <c r="C172" s="3"/>
      <c r="D172" s="3"/>
      <c r="E172" s="3"/>
      <c r="F172" s="114"/>
    </row>
    <row r="173">
      <c r="A173" s="114"/>
      <c r="C173" s="3"/>
      <c r="D173" s="3"/>
      <c r="E173" s="3"/>
      <c r="F173" s="114"/>
    </row>
    <row r="174">
      <c r="A174" s="114"/>
      <c r="C174" s="3"/>
      <c r="D174" s="3"/>
      <c r="E174" s="3"/>
      <c r="F174" s="114"/>
    </row>
    <row r="175">
      <c r="A175" s="114"/>
      <c r="C175" s="3"/>
      <c r="D175" s="3"/>
      <c r="E175" s="3"/>
      <c r="F175" s="114"/>
    </row>
    <row r="176">
      <c r="A176" s="114"/>
      <c r="C176" s="3"/>
      <c r="D176" s="3"/>
      <c r="E176" s="3"/>
      <c r="F176" s="114"/>
    </row>
    <row r="177">
      <c r="A177" s="114"/>
      <c r="C177" s="3"/>
      <c r="D177" s="3"/>
      <c r="E177" s="3"/>
      <c r="F177" s="114"/>
    </row>
    <row r="178">
      <c r="A178" s="114"/>
      <c r="C178" s="3"/>
      <c r="D178" s="3"/>
      <c r="E178" s="3"/>
      <c r="F178" s="114"/>
    </row>
    <row r="179">
      <c r="A179" s="114"/>
      <c r="C179" s="3"/>
      <c r="D179" s="3"/>
      <c r="E179" s="3"/>
      <c r="F179" s="114"/>
    </row>
    <row r="180">
      <c r="A180" s="114"/>
      <c r="C180" s="3"/>
      <c r="D180" s="3"/>
      <c r="E180" s="3"/>
      <c r="F180" s="114"/>
    </row>
    <row r="181">
      <c r="A181" s="114"/>
      <c r="C181" s="3"/>
      <c r="D181" s="3"/>
      <c r="E181" s="3"/>
      <c r="F181" s="114"/>
    </row>
    <row r="182">
      <c r="A182" s="114"/>
      <c r="C182" s="3"/>
      <c r="D182" s="3"/>
      <c r="E182" s="3"/>
      <c r="F182" s="114"/>
    </row>
    <row r="183">
      <c r="A183" s="114"/>
      <c r="C183" s="3"/>
      <c r="D183" s="3"/>
      <c r="E183" s="3"/>
      <c r="F183" s="114"/>
    </row>
    <row r="184">
      <c r="A184" s="114"/>
      <c r="C184" s="3"/>
      <c r="D184" s="3"/>
      <c r="E184" s="3"/>
      <c r="F184" s="114"/>
    </row>
    <row r="185">
      <c r="A185" s="114"/>
      <c r="C185" s="3"/>
      <c r="D185" s="3"/>
      <c r="E185" s="3"/>
      <c r="F185" s="114"/>
    </row>
    <row r="186">
      <c r="A186" s="114"/>
      <c r="C186" s="3"/>
      <c r="D186" s="3"/>
      <c r="E186" s="3"/>
      <c r="F186" s="114"/>
    </row>
    <row r="187">
      <c r="A187" s="114"/>
      <c r="C187" s="3"/>
      <c r="D187" s="3"/>
      <c r="E187" s="3"/>
      <c r="F187" s="114"/>
    </row>
    <row r="188">
      <c r="A188" s="114"/>
      <c r="C188" s="3"/>
      <c r="D188" s="3"/>
      <c r="E188" s="3"/>
      <c r="F188" s="114"/>
    </row>
    <row r="189">
      <c r="A189" s="114"/>
      <c r="C189" s="3"/>
      <c r="D189" s="3"/>
      <c r="E189" s="3"/>
      <c r="F189" s="114"/>
    </row>
    <row r="190">
      <c r="A190" s="114"/>
      <c r="C190" s="3"/>
      <c r="D190" s="3"/>
      <c r="E190" s="3"/>
      <c r="F190" s="114"/>
    </row>
    <row r="191">
      <c r="A191" s="114"/>
      <c r="C191" s="3"/>
      <c r="D191" s="3"/>
      <c r="E191" s="3"/>
      <c r="F191" s="114"/>
    </row>
    <row r="192">
      <c r="A192" s="114"/>
      <c r="C192" s="3"/>
      <c r="D192" s="3"/>
      <c r="E192" s="3"/>
      <c r="F192" s="114"/>
    </row>
    <row r="193">
      <c r="A193" s="114"/>
      <c r="C193" s="3"/>
      <c r="D193" s="3"/>
      <c r="E193" s="3"/>
      <c r="F193" s="114"/>
    </row>
    <row r="194">
      <c r="A194" s="114"/>
      <c r="C194" s="3"/>
      <c r="D194" s="3"/>
      <c r="E194" s="3"/>
      <c r="F194" s="114"/>
    </row>
    <row r="195">
      <c r="A195" s="114"/>
      <c r="C195" s="3"/>
      <c r="D195" s="3"/>
      <c r="E195" s="3"/>
      <c r="F195" s="114"/>
    </row>
    <row r="196">
      <c r="A196" s="114"/>
      <c r="C196" s="3"/>
      <c r="D196" s="3"/>
      <c r="E196" s="3"/>
      <c r="F196" s="114"/>
    </row>
    <row r="197">
      <c r="A197" s="114"/>
      <c r="C197" s="3"/>
      <c r="D197" s="3"/>
      <c r="E197" s="3"/>
      <c r="F197" s="114"/>
    </row>
    <row r="198">
      <c r="A198" s="114"/>
      <c r="C198" s="3"/>
      <c r="D198" s="3"/>
      <c r="E198" s="3"/>
      <c r="F198" s="114"/>
    </row>
    <row r="199">
      <c r="A199" s="114"/>
      <c r="C199" s="3"/>
      <c r="D199" s="3"/>
      <c r="E199" s="3"/>
      <c r="F199" s="114"/>
    </row>
    <row r="200">
      <c r="A200" s="114"/>
      <c r="C200" s="3"/>
      <c r="D200" s="3"/>
      <c r="E200" s="3"/>
      <c r="F200" s="114"/>
    </row>
    <row r="201">
      <c r="A201" s="114"/>
      <c r="C201" s="3"/>
      <c r="D201" s="3"/>
      <c r="E201" s="3"/>
      <c r="F201" s="114"/>
    </row>
    <row r="202">
      <c r="A202" s="114"/>
      <c r="C202" s="3"/>
      <c r="D202" s="3"/>
      <c r="E202" s="3"/>
      <c r="F202" s="114"/>
    </row>
    <row r="203">
      <c r="A203" s="114"/>
      <c r="C203" s="3"/>
      <c r="D203" s="3"/>
      <c r="E203" s="3"/>
      <c r="F203" s="114"/>
    </row>
    <row r="204">
      <c r="A204" s="114"/>
      <c r="C204" s="3"/>
      <c r="D204" s="3"/>
      <c r="E204" s="3"/>
      <c r="F204" s="114"/>
    </row>
    <row r="205">
      <c r="A205" s="114"/>
      <c r="C205" s="3"/>
      <c r="D205" s="3"/>
      <c r="E205" s="3"/>
      <c r="F205" s="114"/>
    </row>
    <row r="206">
      <c r="A206" s="114"/>
      <c r="C206" s="3"/>
      <c r="D206" s="3"/>
      <c r="E206" s="3"/>
      <c r="F206" s="114"/>
    </row>
    <row r="207">
      <c r="A207" s="114"/>
      <c r="C207" s="3"/>
      <c r="D207" s="3"/>
      <c r="E207" s="3"/>
      <c r="F207" s="114"/>
    </row>
    <row r="208">
      <c r="A208" s="114"/>
      <c r="C208" s="3"/>
      <c r="D208" s="3"/>
      <c r="E208" s="3"/>
      <c r="F208" s="114"/>
    </row>
    <row r="209">
      <c r="A209" s="114"/>
      <c r="C209" s="3"/>
      <c r="D209" s="3"/>
      <c r="E209" s="3"/>
      <c r="F209" s="114"/>
    </row>
    <row r="210">
      <c r="A210" s="114"/>
      <c r="C210" s="3"/>
      <c r="D210" s="3"/>
      <c r="E210" s="3"/>
      <c r="F210" s="114"/>
    </row>
    <row r="211">
      <c r="A211" s="114"/>
      <c r="C211" s="3"/>
      <c r="D211" s="3"/>
      <c r="E211" s="3"/>
      <c r="F211" s="114"/>
    </row>
    <row r="212">
      <c r="A212" s="114"/>
      <c r="C212" s="3"/>
      <c r="D212" s="3"/>
      <c r="E212" s="3"/>
      <c r="F212" s="114"/>
    </row>
    <row r="213">
      <c r="A213" s="114"/>
      <c r="C213" s="3"/>
      <c r="D213" s="3"/>
      <c r="E213" s="3"/>
      <c r="F213" s="114"/>
    </row>
    <row r="214">
      <c r="A214" s="114"/>
      <c r="C214" s="3"/>
      <c r="D214" s="3"/>
      <c r="E214" s="3"/>
      <c r="F214" s="114"/>
    </row>
    <row r="215">
      <c r="A215" s="114"/>
      <c r="C215" s="3"/>
      <c r="D215" s="3"/>
      <c r="E215" s="3"/>
      <c r="F215" s="114"/>
    </row>
    <row r="216">
      <c r="A216" s="114"/>
      <c r="C216" s="3"/>
      <c r="D216" s="3"/>
      <c r="E216" s="3"/>
      <c r="F216" s="114"/>
    </row>
    <row r="217">
      <c r="A217" s="114"/>
      <c r="C217" s="3"/>
      <c r="D217" s="3"/>
      <c r="E217" s="3"/>
      <c r="F217" s="114"/>
    </row>
    <row r="218">
      <c r="A218" s="114"/>
      <c r="C218" s="3"/>
      <c r="D218" s="3"/>
      <c r="E218" s="3"/>
      <c r="F218" s="114"/>
    </row>
    <row r="219">
      <c r="A219" s="114"/>
      <c r="C219" s="3"/>
      <c r="D219" s="3"/>
      <c r="E219" s="3"/>
      <c r="F219" s="114"/>
    </row>
    <row r="220">
      <c r="A220" s="114"/>
      <c r="C220" s="3"/>
      <c r="D220" s="3"/>
      <c r="E220" s="3"/>
      <c r="F220" s="114"/>
    </row>
    <row r="221">
      <c r="A221" s="114"/>
      <c r="C221" s="3"/>
      <c r="D221" s="3"/>
      <c r="E221" s="3"/>
      <c r="F221" s="114"/>
    </row>
    <row r="222">
      <c r="A222" s="114"/>
      <c r="C222" s="3"/>
      <c r="D222" s="3"/>
      <c r="E222" s="3"/>
      <c r="F222" s="114"/>
    </row>
    <row r="223">
      <c r="A223" s="114"/>
      <c r="C223" s="3"/>
      <c r="D223" s="3"/>
      <c r="E223" s="3"/>
      <c r="F223" s="114"/>
    </row>
    <row r="224">
      <c r="A224" s="114"/>
      <c r="C224" s="3"/>
      <c r="D224" s="3"/>
      <c r="E224" s="3"/>
      <c r="F224" s="114"/>
    </row>
    <row r="225">
      <c r="A225" s="114"/>
      <c r="C225" s="3"/>
      <c r="D225" s="3"/>
      <c r="E225" s="3"/>
      <c r="F225" s="114"/>
    </row>
    <row r="226">
      <c r="A226" s="114"/>
      <c r="C226" s="3"/>
      <c r="D226" s="3"/>
      <c r="E226" s="3"/>
      <c r="F226" s="114"/>
    </row>
    <row r="227">
      <c r="A227" s="114"/>
      <c r="C227" s="3"/>
      <c r="D227" s="3"/>
      <c r="E227" s="3"/>
      <c r="F227" s="114"/>
    </row>
    <row r="228">
      <c r="A228" s="114"/>
      <c r="C228" s="3"/>
      <c r="D228" s="3"/>
      <c r="E228" s="3"/>
      <c r="F228" s="114"/>
    </row>
    <row r="229">
      <c r="A229" s="114"/>
      <c r="C229" s="3"/>
      <c r="D229" s="3"/>
      <c r="E229" s="3"/>
      <c r="F229" s="114"/>
    </row>
    <row r="230">
      <c r="A230" s="114"/>
      <c r="C230" s="3"/>
      <c r="D230" s="3"/>
      <c r="E230" s="3"/>
      <c r="F230" s="114"/>
    </row>
    <row r="231">
      <c r="A231" s="114"/>
      <c r="C231" s="3"/>
      <c r="D231" s="3"/>
      <c r="E231" s="3"/>
      <c r="F231" s="114"/>
    </row>
    <row r="232">
      <c r="A232" s="114"/>
      <c r="C232" s="3"/>
      <c r="D232" s="3"/>
      <c r="E232" s="3"/>
      <c r="F232" s="114"/>
    </row>
    <row r="233">
      <c r="A233" s="114"/>
      <c r="C233" s="3"/>
      <c r="D233" s="3"/>
      <c r="E233" s="3"/>
      <c r="F233" s="114"/>
    </row>
    <row r="234">
      <c r="A234" s="114"/>
      <c r="C234" s="3"/>
      <c r="D234" s="3"/>
      <c r="E234" s="3"/>
      <c r="F234" s="114"/>
    </row>
    <row r="235">
      <c r="A235" s="114"/>
      <c r="C235" s="3"/>
      <c r="D235" s="3"/>
      <c r="E235" s="3"/>
      <c r="F235" s="114"/>
    </row>
    <row r="236">
      <c r="A236" s="114"/>
      <c r="C236" s="3"/>
      <c r="D236" s="3"/>
      <c r="E236" s="3"/>
      <c r="F236" s="114"/>
    </row>
    <row r="237">
      <c r="A237" s="114"/>
      <c r="C237" s="3"/>
      <c r="D237" s="3"/>
      <c r="E237" s="3"/>
      <c r="F237" s="114"/>
    </row>
    <row r="238">
      <c r="A238" s="114"/>
      <c r="C238" s="3"/>
      <c r="D238" s="3"/>
      <c r="E238" s="3"/>
      <c r="F238" s="114"/>
    </row>
    <row r="239">
      <c r="A239" s="114"/>
      <c r="C239" s="3"/>
      <c r="D239" s="3"/>
      <c r="E239" s="3"/>
      <c r="F239" s="114"/>
    </row>
    <row r="240">
      <c r="A240" s="114"/>
      <c r="C240" s="3"/>
      <c r="D240" s="3"/>
      <c r="E240" s="3"/>
      <c r="F240" s="114"/>
    </row>
    <row r="241">
      <c r="A241" s="114"/>
      <c r="C241" s="3"/>
      <c r="D241" s="3"/>
      <c r="E241" s="3"/>
      <c r="F241" s="114"/>
    </row>
    <row r="242">
      <c r="A242" s="114"/>
      <c r="C242" s="3"/>
      <c r="D242" s="3"/>
      <c r="E242" s="3"/>
      <c r="F242" s="114"/>
    </row>
    <row r="243">
      <c r="A243" s="114"/>
      <c r="C243" s="3"/>
      <c r="D243" s="3"/>
      <c r="E243" s="3"/>
      <c r="F243" s="114"/>
    </row>
    <row r="244">
      <c r="A244" s="114"/>
      <c r="C244" s="3"/>
      <c r="D244" s="3"/>
      <c r="E244" s="3"/>
      <c r="F244" s="114"/>
    </row>
    <row r="245">
      <c r="A245" s="114"/>
      <c r="C245" s="3"/>
      <c r="D245" s="3"/>
      <c r="E245" s="3"/>
      <c r="F245" s="114"/>
    </row>
    <row r="246">
      <c r="A246" s="114"/>
      <c r="C246" s="3"/>
      <c r="D246" s="3"/>
      <c r="E246" s="3"/>
      <c r="F246" s="114"/>
    </row>
    <row r="247">
      <c r="A247" s="114"/>
      <c r="C247" s="3"/>
      <c r="D247" s="3"/>
      <c r="E247" s="3"/>
      <c r="F247" s="114"/>
    </row>
    <row r="248">
      <c r="A248" s="114"/>
      <c r="C248" s="3"/>
      <c r="D248" s="3"/>
      <c r="E248" s="3"/>
      <c r="F248" s="114"/>
    </row>
    <row r="249">
      <c r="A249" s="114"/>
      <c r="C249" s="3"/>
      <c r="D249" s="3"/>
      <c r="E249" s="3"/>
      <c r="F249" s="114"/>
    </row>
    <row r="250">
      <c r="A250" s="114"/>
      <c r="C250" s="3"/>
      <c r="D250" s="3"/>
      <c r="E250" s="3"/>
      <c r="F250" s="114"/>
    </row>
    <row r="251">
      <c r="A251" s="114"/>
      <c r="C251" s="3"/>
      <c r="D251" s="3"/>
      <c r="E251" s="3"/>
      <c r="F251" s="114"/>
    </row>
    <row r="252">
      <c r="A252" s="114"/>
      <c r="C252" s="3"/>
      <c r="D252" s="3"/>
      <c r="E252" s="3"/>
      <c r="F252" s="114"/>
    </row>
    <row r="253">
      <c r="A253" s="114"/>
      <c r="C253" s="3"/>
      <c r="D253" s="3"/>
      <c r="E253" s="3"/>
      <c r="F253" s="114"/>
    </row>
    <row r="254">
      <c r="A254" s="114"/>
      <c r="C254" s="3"/>
      <c r="D254" s="3"/>
      <c r="E254" s="3"/>
      <c r="F254" s="114"/>
    </row>
    <row r="255">
      <c r="A255" s="114"/>
      <c r="C255" s="3"/>
      <c r="D255" s="3"/>
      <c r="E255" s="3"/>
      <c r="F255" s="114"/>
    </row>
    <row r="256">
      <c r="A256" s="114"/>
      <c r="C256" s="3"/>
      <c r="D256" s="3"/>
      <c r="E256" s="3"/>
      <c r="F256" s="114"/>
    </row>
    <row r="257">
      <c r="A257" s="114"/>
      <c r="C257" s="3"/>
      <c r="D257" s="3"/>
      <c r="E257" s="3"/>
      <c r="F257" s="114"/>
    </row>
    <row r="258">
      <c r="A258" s="114"/>
      <c r="C258" s="3"/>
      <c r="D258" s="3"/>
      <c r="E258" s="3"/>
      <c r="F258" s="114"/>
    </row>
    <row r="259">
      <c r="A259" s="114"/>
      <c r="C259" s="3"/>
      <c r="D259" s="3"/>
      <c r="E259" s="3"/>
      <c r="F259" s="114"/>
    </row>
    <row r="260">
      <c r="A260" s="114"/>
      <c r="C260" s="3"/>
      <c r="D260" s="3"/>
      <c r="E260" s="3"/>
      <c r="F260" s="114"/>
    </row>
    <row r="261">
      <c r="A261" s="114"/>
      <c r="C261" s="3"/>
      <c r="D261" s="3"/>
      <c r="E261" s="3"/>
      <c r="F261" s="114"/>
    </row>
    <row r="262">
      <c r="A262" s="114"/>
      <c r="C262" s="3"/>
      <c r="D262" s="3"/>
      <c r="E262" s="3"/>
      <c r="F262" s="114"/>
    </row>
    <row r="263">
      <c r="A263" s="114"/>
      <c r="C263" s="3"/>
      <c r="D263" s="3"/>
      <c r="E263" s="3"/>
      <c r="F263" s="114"/>
    </row>
    <row r="264">
      <c r="A264" s="114"/>
      <c r="C264" s="3"/>
      <c r="D264" s="3"/>
      <c r="E264" s="3"/>
      <c r="F264" s="114"/>
    </row>
    <row r="265">
      <c r="A265" s="114"/>
      <c r="C265" s="3"/>
      <c r="D265" s="3"/>
      <c r="E265" s="3"/>
      <c r="F265" s="114"/>
    </row>
    <row r="266">
      <c r="A266" s="114"/>
      <c r="C266" s="3"/>
      <c r="D266" s="3"/>
      <c r="E266" s="3"/>
      <c r="F266" s="114"/>
    </row>
    <row r="267">
      <c r="A267" s="114"/>
      <c r="C267" s="3"/>
      <c r="D267" s="3"/>
      <c r="E267" s="3"/>
      <c r="F267" s="114"/>
    </row>
    <row r="268">
      <c r="A268" s="114"/>
      <c r="C268" s="3"/>
      <c r="D268" s="3"/>
      <c r="E268" s="3"/>
      <c r="F268" s="114"/>
    </row>
    <row r="269">
      <c r="A269" s="114"/>
      <c r="C269" s="3"/>
      <c r="D269" s="3"/>
      <c r="E269" s="3"/>
      <c r="F269" s="114"/>
    </row>
    <row r="270">
      <c r="A270" s="114"/>
      <c r="C270" s="3"/>
      <c r="D270" s="3"/>
      <c r="E270" s="3"/>
      <c r="F270" s="114"/>
    </row>
    <row r="271">
      <c r="A271" s="114"/>
      <c r="C271" s="3"/>
      <c r="D271" s="3"/>
      <c r="E271" s="3"/>
      <c r="F271" s="114"/>
    </row>
    <row r="272">
      <c r="A272" s="114"/>
      <c r="C272" s="3"/>
      <c r="D272" s="3"/>
      <c r="E272" s="3"/>
      <c r="F272" s="114"/>
    </row>
    <row r="273">
      <c r="A273" s="114"/>
      <c r="C273" s="3"/>
      <c r="D273" s="3"/>
      <c r="E273" s="3"/>
      <c r="F273" s="114"/>
    </row>
    <row r="274">
      <c r="A274" s="114"/>
      <c r="C274" s="3"/>
      <c r="D274" s="3"/>
      <c r="E274" s="3"/>
      <c r="F274" s="114"/>
    </row>
    <row r="275">
      <c r="A275" s="114"/>
      <c r="C275" s="3"/>
      <c r="D275" s="3"/>
      <c r="E275" s="3"/>
      <c r="F275" s="114"/>
    </row>
    <row r="276">
      <c r="A276" s="114"/>
      <c r="C276" s="3"/>
      <c r="D276" s="3"/>
      <c r="E276" s="3"/>
      <c r="F276" s="114"/>
    </row>
    <row r="277">
      <c r="A277" s="114"/>
      <c r="C277" s="3"/>
      <c r="D277" s="3"/>
      <c r="E277" s="3"/>
      <c r="F277" s="114"/>
    </row>
    <row r="278">
      <c r="A278" s="114"/>
      <c r="C278" s="3"/>
      <c r="D278" s="3"/>
      <c r="E278" s="3"/>
      <c r="F278" s="114"/>
    </row>
    <row r="279">
      <c r="A279" s="114"/>
      <c r="C279" s="3"/>
      <c r="D279" s="3"/>
      <c r="E279" s="3"/>
      <c r="F279" s="114"/>
    </row>
    <row r="280">
      <c r="A280" s="114"/>
      <c r="C280" s="3"/>
      <c r="D280" s="3"/>
      <c r="E280" s="3"/>
      <c r="F280" s="114"/>
    </row>
    <row r="281">
      <c r="A281" s="114"/>
      <c r="C281" s="3"/>
      <c r="D281" s="3"/>
      <c r="E281" s="3"/>
      <c r="F281" s="114"/>
    </row>
    <row r="282">
      <c r="A282" s="114"/>
      <c r="C282" s="3"/>
      <c r="D282" s="3"/>
      <c r="E282" s="3"/>
      <c r="F282" s="114"/>
    </row>
    <row r="283">
      <c r="A283" s="114"/>
      <c r="C283" s="3"/>
      <c r="D283" s="3"/>
      <c r="E283" s="3"/>
      <c r="F283" s="114"/>
    </row>
    <row r="284">
      <c r="A284" s="114"/>
      <c r="C284" s="3"/>
      <c r="D284" s="3"/>
      <c r="E284" s="3"/>
      <c r="F284" s="114"/>
    </row>
    <row r="285">
      <c r="A285" s="114"/>
      <c r="C285" s="3"/>
      <c r="D285" s="3"/>
      <c r="E285" s="3"/>
      <c r="F285" s="114"/>
    </row>
    <row r="286">
      <c r="A286" s="114"/>
      <c r="C286" s="3"/>
      <c r="D286" s="3"/>
      <c r="E286" s="3"/>
      <c r="F286" s="114"/>
    </row>
    <row r="287">
      <c r="A287" s="114"/>
      <c r="C287" s="3"/>
      <c r="D287" s="3"/>
      <c r="E287" s="3"/>
      <c r="F287" s="114"/>
    </row>
    <row r="288">
      <c r="A288" s="114"/>
      <c r="C288" s="3"/>
      <c r="D288" s="3"/>
      <c r="E288" s="3"/>
      <c r="F288" s="114"/>
    </row>
    <row r="289">
      <c r="A289" s="114"/>
      <c r="C289" s="3"/>
      <c r="D289" s="3"/>
      <c r="E289" s="3"/>
      <c r="F289" s="114"/>
    </row>
    <row r="290">
      <c r="A290" s="114"/>
      <c r="C290" s="3"/>
      <c r="D290" s="3"/>
      <c r="E290" s="3"/>
      <c r="F290" s="114"/>
    </row>
    <row r="291">
      <c r="A291" s="114"/>
      <c r="C291" s="3"/>
      <c r="D291" s="3"/>
      <c r="E291" s="3"/>
      <c r="F291" s="114"/>
    </row>
    <row r="292">
      <c r="A292" s="114"/>
      <c r="C292" s="3"/>
      <c r="D292" s="3"/>
      <c r="E292" s="3"/>
      <c r="F292" s="114"/>
    </row>
    <row r="293">
      <c r="A293" s="114"/>
      <c r="C293" s="3"/>
      <c r="D293" s="3"/>
      <c r="E293" s="3"/>
      <c r="F293" s="114"/>
    </row>
    <row r="294">
      <c r="A294" s="114"/>
      <c r="C294" s="3"/>
      <c r="D294" s="3"/>
      <c r="E294" s="3"/>
      <c r="F294" s="114"/>
    </row>
    <row r="295">
      <c r="A295" s="114"/>
      <c r="C295" s="3"/>
      <c r="D295" s="3"/>
      <c r="E295" s="3"/>
      <c r="F295" s="114"/>
    </row>
    <row r="296">
      <c r="A296" s="114"/>
      <c r="C296" s="3"/>
      <c r="D296" s="3"/>
      <c r="E296" s="3"/>
      <c r="F296" s="114"/>
    </row>
    <row r="297">
      <c r="A297" s="114"/>
      <c r="C297" s="3"/>
      <c r="D297" s="3"/>
      <c r="E297" s="3"/>
      <c r="F297" s="114"/>
    </row>
    <row r="298">
      <c r="A298" s="114"/>
      <c r="C298" s="3"/>
      <c r="D298" s="3"/>
      <c r="E298" s="3"/>
      <c r="F298" s="114"/>
    </row>
    <row r="299">
      <c r="A299" s="114"/>
      <c r="C299" s="3"/>
      <c r="D299" s="3"/>
      <c r="E299" s="3"/>
      <c r="F299" s="114"/>
    </row>
    <row r="300">
      <c r="A300" s="114"/>
      <c r="C300" s="3"/>
      <c r="D300" s="3"/>
      <c r="E300" s="3"/>
      <c r="F300" s="114"/>
    </row>
    <row r="301">
      <c r="A301" s="114"/>
      <c r="C301" s="3"/>
      <c r="D301" s="3"/>
      <c r="E301" s="3"/>
      <c r="F301" s="114"/>
    </row>
    <row r="302">
      <c r="A302" s="114"/>
      <c r="C302" s="3"/>
      <c r="D302" s="3"/>
      <c r="E302" s="3"/>
      <c r="F302" s="114"/>
    </row>
    <row r="303">
      <c r="A303" s="114"/>
      <c r="C303" s="3"/>
      <c r="D303" s="3"/>
      <c r="E303" s="3"/>
      <c r="F303" s="114"/>
    </row>
    <row r="304">
      <c r="A304" s="114"/>
      <c r="C304" s="3"/>
      <c r="D304" s="3"/>
      <c r="E304" s="3"/>
      <c r="F304" s="114"/>
    </row>
    <row r="305">
      <c r="A305" s="114"/>
      <c r="C305" s="3"/>
      <c r="D305" s="3"/>
      <c r="E305" s="3"/>
      <c r="F305" s="114"/>
    </row>
    <row r="306">
      <c r="A306" s="114"/>
      <c r="C306" s="3"/>
      <c r="D306" s="3"/>
      <c r="E306" s="3"/>
      <c r="F306" s="114"/>
    </row>
    <row r="307">
      <c r="A307" s="114"/>
      <c r="C307" s="3"/>
      <c r="D307" s="3"/>
      <c r="E307" s="3"/>
      <c r="F307" s="114"/>
    </row>
    <row r="308">
      <c r="A308" s="114"/>
      <c r="C308" s="3"/>
      <c r="D308" s="3"/>
      <c r="E308" s="3"/>
      <c r="F308" s="114"/>
    </row>
    <row r="309">
      <c r="A309" s="114"/>
      <c r="C309" s="3"/>
      <c r="D309" s="3"/>
      <c r="E309" s="3"/>
      <c r="F309" s="114"/>
    </row>
    <row r="310">
      <c r="A310" s="114"/>
      <c r="C310" s="3"/>
      <c r="D310" s="3"/>
      <c r="E310" s="3"/>
      <c r="F310" s="114"/>
    </row>
    <row r="311">
      <c r="A311" s="114"/>
      <c r="C311" s="3"/>
      <c r="D311" s="3"/>
      <c r="E311" s="3"/>
      <c r="F311" s="114"/>
    </row>
    <row r="312">
      <c r="A312" s="114"/>
      <c r="C312" s="3"/>
      <c r="D312" s="3"/>
      <c r="E312" s="3"/>
      <c r="F312" s="114"/>
    </row>
    <row r="313">
      <c r="A313" s="114"/>
      <c r="C313" s="3"/>
      <c r="D313" s="3"/>
      <c r="E313" s="3"/>
      <c r="F313" s="114"/>
    </row>
    <row r="314">
      <c r="A314" s="114"/>
      <c r="C314" s="3"/>
      <c r="D314" s="3"/>
      <c r="E314" s="3"/>
      <c r="F314" s="114"/>
    </row>
    <row r="315">
      <c r="A315" s="114"/>
      <c r="C315" s="3"/>
      <c r="D315" s="3"/>
      <c r="E315" s="3"/>
      <c r="F315" s="114"/>
    </row>
    <row r="316">
      <c r="A316" s="114"/>
      <c r="C316" s="3"/>
      <c r="D316" s="3"/>
      <c r="E316" s="3"/>
      <c r="F316" s="114"/>
    </row>
    <row r="317">
      <c r="A317" s="114"/>
      <c r="C317" s="3"/>
      <c r="D317" s="3"/>
      <c r="E317" s="3"/>
      <c r="F317" s="114"/>
    </row>
    <row r="318">
      <c r="A318" s="114"/>
      <c r="C318" s="3"/>
      <c r="D318" s="3"/>
      <c r="E318" s="3"/>
      <c r="F318" s="114"/>
    </row>
    <row r="319">
      <c r="A319" s="114"/>
      <c r="C319" s="3"/>
      <c r="D319" s="3"/>
      <c r="E319" s="3"/>
      <c r="F319" s="114"/>
    </row>
    <row r="320">
      <c r="A320" s="114"/>
      <c r="C320" s="3"/>
      <c r="D320" s="3"/>
      <c r="E320" s="3"/>
      <c r="F320" s="114"/>
    </row>
    <row r="321">
      <c r="A321" s="114"/>
      <c r="C321" s="3"/>
      <c r="D321" s="3"/>
      <c r="E321" s="3"/>
      <c r="F321" s="114"/>
    </row>
    <row r="322">
      <c r="A322" s="114"/>
      <c r="C322" s="3"/>
      <c r="D322" s="3"/>
      <c r="E322" s="3"/>
      <c r="F322" s="114"/>
    </row>
    <row r="323">
      <c r="A323" s="114"/>
      <c r="C323" s="3"/>
      <c r="D323" s="3"/>
      <c r="E323" s="3"/>
      <c r="F323" s="114"/>
    </row>
    <row r="324">
      <c r="A324" s="114"/>
      <c r="C324" s="3"/>
      <c r="D324" s="3"/>
      <c r="E324" s="3"/>
      <c r="F324" s="114"/>
    </row>
    <row r="325">
      <c r="A325" s="114"/>
      <c r="C325" s="3"/>
      <c r="D325" s="3"/>
      <c r="E325" s="3"/>
      <c r="F325" s="114"/>
    </row>
    <row r="326">
      <c r="A326" s="114"/>
      <c r="C326" s="3"/>
      <c r="D326" s="3"/>
      <c r="E326" s="3"/>
      <c r="F326" s="114"/>
    </row>
    <row r="327">
      <c r="A327" s="114"/>
      <c r="C327" s="3"/>
      <c r="D327" s="3"/>
      <c r="E327" s="3"/>
      <c r="F327" s="114"/>
    </row>
    <row r="328">
      <c r="A328" s="114"/>
      <c r="C328" s="3"/>
      <c r="D328" s="3"/>
      <c r="E328" s="3"/>
      <c r="F328" s="114"/>
    </row>
    <row r="329">
      <c r="A329" s="114"/>
      <c r="C329" s="3"/>
      <c r="D329" s="3"/>
      <c r="E329" s="3"/>
      <c r="F329" s="114"/>
    </row>
    <row r="330">
      <c r="A330" s="114"/>
      <c r="C330" s="3"/>
      <c r="D330" s="3"/>
      <c r="E330" s="3"/>
      <c r="F330" s="114"/>
    </row>
    <row r="331">
      <c r="A331" s="114"/>
      <c r="C331" s="3"/>
      <c r="D331" s="3"/>
      <c r="E331" s="3"/>
      <c r="F331" s="114"/>
    </row>
    <row r="332">
      <c r="A332" s="114"/>
      <c r="C332" s="3"/>
      <c r="D332" s="3"/>
      <c r="E332" s="3"/>
      <c r="F332" s="114"/>
    </row>
    <row r="333">
      <c r="A333" s="114"/>
      <c r="C333" s="3"/>
      <c r="D333" s="3"/>
      <c r="E333" s="3"/>
      <c r="F333" s="114"/>
    </row>
    <row r="334">
      <c r="A334" s="114"/>
      <c r="C334" s="3"/>
      <c r="D334" s="3"/>
      <c r="E334" s="3"/>
      <c r="F334" s="114"/>
    </row>
    <row r="335">
      <c r="A335" s="114"/>
      <c r="C335" s="3"/>
      <c r="D335" s="3"/>
      <c r="E335" s="3"/>
      <c r="F335" s="114"/>
    </row>
    <row r="336">
      <c r="A336" s="114"/>
      <c r="C336" s="3"/>
      <c r="D336" s="3"/>
      <c r="E336" s="3"/>
      <c r="F336" s="114"/>
    </row>
    <row r="337">
      <c r="A337" s="114"/>
      <c r="C337" s="3"/>
      <c r="D337" s="3"/>
      <c r="E337" s="3"/>
      <c r="F337" s="114"/>
    </row>
    <row r="338">
      <c r="A338" s="114"/>
      <c r="C338" s="3"/>
      <c r="D338" s="3"/>
      <c r="E338" s="3"/>
      <c r="F338" s="114"/>
    </row>
    <row r="339">
      <c r="A339" s="114"/>
      <c r="C339" s="3"/>
      <c r="D339" s="3"/>
      <c r="E339" s="3"/>
      <c r="F339" s="114"/>
    </row>
    <row r="340">
      <c r="A340" s="114"/>
      <c r="C340" s="3"/>
      <c r="D340" s="3"/>
      <c r="E340" s="3"/>
      <c r="F340" s="114"/>
    </row>
    <row r="341">
      <c r="A341" s="114"/>
      <c r="C341" s="3"/>
      <c r="D341" s="3"/>
      <c r="E341" s="3"/>
      <c r="F341" s="114"/>
    </row>
    <row r="342">
      <c r="A342" s="114"/>
      <c r="C342" s="3"/>
      <c r="D342" s="3"/>
      <c r="E342" s="3"/>
      <c r="F342" s="114"/>
    </row>
    <row r="343">
      <c r="A343" s="114"/>
      <c r="C343" s="3"/>
      <c r="D343" s="3"/>
      <c r="E343" s="3"/>
      <c r="F343" s="114"/>
    </row>
    <row r="344">
      <c r="A344" s="114"/>
      <c r="C344" s="3"/>
      <c r="D344" s="3"/>
      <c r="E344" s="3"/>
      <c r="F344" s="114"/>
    </row>
    <row r="345">
      <c r="A345" s="114"/>
      <c r="C345" s="3"/>
      <c r="D345" s="3"/>
      <c r="E345" s="3"/>
      <c r="F345" s="114"/>
    </row>
    <row r="346">
      <c r="A346" s="114"/>
      <c r="C346" s="3"/>
      <c r="D346" s="3"/>
      <c r="E346" s="3"/>
      <c r="F346" s="114"/>
    </row>
    <row r="347">
      <c r="A347" s="114"/>
      <c r="C347" s="3"/>
      <c r="D347" s="3"/>
      <c r="E347" s="3"/>
      <c r="F347" s="114"/>
    </row>
    <row r="348">
      <c r="A348" s="114"/>
      <c r="C348" s="3"/>
      <c r="D348" s="3"/>
      <c r="E348" s="3"/>
      <c r="F348" s="114"/>
    </row>
    <row r="349">
      <c r="A349" s="114"/>
      <c r="C349" s="3"/>
      <c r="D349" s="3"/>
      <c r="E349" s="3"/>
      <c r="F349" s="114"/>
    </row>
    <row r="350">
      <c r="A350" s="114"/>
      <c r="C350" s="3"/>
      <c r="D350" s="3"/>
      <c r="E350" s="3"/>
      <c r="F350" s="114"/>
    </row>
    <row r="351">
      <c r="A351" s="114"/>
      <c r="C351" s="3"/>
      <c r="D351" s="3"/>
      <c r="E351" s="3"/>
      <c r="F351" s="114"/>
    </row>
    <row r="352">
      <c r="A352" s="114"/>
      <c r="C352" s="3"/>
      <c r="D352" s="3"/>
      <c r="E352" s="3"/>
      <c r="F352" s="114"/>
    </row>
    <row r="353">
      <c r="A353" s="114"/>
      <c r="C353" s="3"/>
      <c r="D353" s="3"/>
      <c r="E353" s="3"/>
      <c r="F353" s="114"/>
    </row>
    <row r="354">
      <c r="A354" s="114"/>
      <c r="C354" s="3"/>
      <c r="D354" s="3"/>
      <c r="E354" s="3"/>
      <c r="F354" s="114"/>
    </row>
    <row r="355">
      <c r="A355" s="114"/>
      <c r="C355" s="3"/>
      <c r="D355" s="3"/>
      <c r="E355" s="3"/>
      <c r="F355" s="114"/>
    </row>
    <row r="356">
      <c r="A356" s="114"/>
      <c r="C356" s="3"/>
      <c r="D356" s="3"/>
      <c r="E356" s="3"/>
      <c r="F356" s="114"/>
    </row>
    <row r="357">
      <c r="A357" s="114"/>
      <c r="C357" s="3"/>
      <c r="D357" s="3"/>
      <c r="E357" s="3"/>
      <c r="F357" s="114"/>
    </row>
    <row r="358">
      <c r="A358" s="114"/>
      <c r="C358" s="3"/>
      <c r="D358" s="3"/>
      <c r="E358" s="3"/>
      <c r="F358" s="114"/>
    </row>
    <row r="359">
      <c r="A359" s="114"/>
      <c r="C359" s="3"/>
      <c r="D359" s="3"/>
      <c r="E359" s="3"/>
      <c r="F359" s="114"/>
    </row>
    <row r="360">
      <c r="A360" s="114"/>
      <c r="C360" s="3"/>
      <c r="D360" s="3"/>
      <c r="E360" s="3"/>
      <c r="F360" s="114"/>
    </row>
    <row r="361">
      <c r="A361" s="114"/>
      <c r="C361" s="3"/>
      <c r="D361" s="3"/>
      <c r="E361" s="3"/>
      <c r="F361" s="114"/>
    </row>
    <row r="362">
      <c r="A362" s="114"/>
      <c r="C362" s="3"/>
      <c r="D362" s="3"/>
      <c r="E362" s="3"/>
      <c r="F362" s="114"/>
    </row>
    <row r="363">
      <c r="A363" s="114"/>
      <c r="C363" s="3"/>
      <c r="D363" s="3"/>
      <c r="E363" s="3"/>
      <c r="F363" s="114"/>
    </row>
    <row r="364">
      <c r="A364" s="114"/>
      <c r="C364" s="3"/>
      <c r="D364" s="3"/>
      <c r="E364" s="3"/>
      <c r="F364" s="114"/>
    </row>
    <row r="365">
      <c r="A365" s="114"/>
      <c r="C365" s="3"/>
      <c r="D365" s="3"/>
      <c r="E365" s="3"/>
      <c r="F365" s="114"/>
    </row>
    <row r="366">
      <c r="A366" s="114"/>
      <c r="C366" s="3"/>
      <c r="D366" s="3"/>
      <c r="E366" s="3"/>
      <c r="F366" s="114"/>
    </row>
    <row r="367">
      <c r="A367" s="114"/>
      <c r="C367" s="3"/>
      <c r="D367" s="3"/>
      <c r="E367" s="3"/>
      <c r="F367" s="114"/>
    </row>
    <row r="368">
      <c r="A368" s="114"/>
      <c r="C368" s="3"/>
      <c r="D368" s="3"/>
      <c r="E368" s="3"/>
      <c r="F368" s="114"/>
    </row>
    <row r="369">
      <c r="A369" s="114"/>
      <c r="C369" s="3"/>
      <c r="D369" s="3"/>
      <c r="E369" s="3"/>
      <c r="F369" s="114"/>
    </row>
    <row r="370">
      <c r="A370" s="114"/>
      <c r="C370" s="3"/>
      <c r="D370" s="3"/>
      <c r="E370" s="3"/>
      <c r="F370" s="114"/>
    </row>
    <row r="371">
      <c r="A371" s="114"/>
      <c r="C371" s="3"/>
      <c r="D371" s="3"/>
      <c r="E371" s="3"/>
      <c r="F371" s="114"/>
    </row>
    <row r="372">
      <c r="A372" s="114"/>
      <c r="C372" s="3"/>
      <c r="D372" s="3"/>
      <c r="E372" s="3"/>
      <c r="F372" s="114"/>
    </row>
    <row r="373">
      <c r="A373" s="114"/>
      <c r="C373" s="3"/>
      <c r="D373" s="3"/>
      <c r="E373" s="3"/>
      <c r="F373" s="114"/>
    </row>
    <row r="374">
      <c r="A374" s="114"/>
      <c r="C374" s="3"/>
      <c r="D374" s="3"/>
      <c r="E374" s="3"/>
      <c r="F374" s="114"/>
    </row>
    <row r="375">
      <c r="A375" s="114"/>
      <c r="C375" s="3"/>
      <c r="D375" s="3"/>
      <c r="E375" s="3"/>
      <c r="F375" s="114"/>
    </row>
    <row r="376">
      <c r="A376" s="114"/>
      <c r="C376" s="3"/>
      <c r="D376" s="3"/>
      <c r="E376" s="3"/>
      <c r="F376" s="114"/>
    </row>
    <row r="377">
      <c r="A377" s="114"/>
      <c r="C377" s="3"/>
      <c r="D377" s="3"/>
      <c r="E377" s="3"/>
      <c r="F377" s="114"/>
    </row>
    <row r="378">
      <c r="A378" s="114"/>
      <c r="C378" s="3"/>
      <c r="D378" s="3"/>
      <c r="E378" s="3"/>
      <c r="F378" s="114"/>
    </row>
    <row r="379">
      <c r="A379" s="114"/>
      <c r="C379" s="3"/>
      <c r="D379" s="3"/>
      <c r="E379" s="3"/>
      <c r="F379" s="114"/>
    </row>
    <row r="380">
      <c r="A380" s="114"/>
      <c r="C380" s="3"/>
      <c r="D380" s="3"/>
      <c r="E380" s="3"/>
      <c r="F380" s="114"/>
    </row>
    <row r="381">
      <c r="A381" s="114"/>
      <c r="C381" s="3"/>
      <c r="D381" s="3"/>
      <c r="E381" s="3"/>
      <c r="F381" s="114"/>
    </row>
    <row r="382">
      <c r="A382" s="114"/>
      <c r="C382" s="3"/>
      <c r="D382" s="3"/>
      <c r="E382" s="3"/>
      <c r="F382" s="114"/>
    </row>
    <row r="383">
      <c r="A383" s="114"/>
      <c r="C383" s="3"/>
      <c r="D383" s="3"/>
      <c r="E383" s="3"/>
      <c r="F383" s="114"/>
    </row>
    <row r="384">
      <c r="A384" s="114"/>
      <c r="C384" s="3"/>
      <c r="D384" s="3"/>
      <c r="E384" s="3"/>
      <c r="F384" s="114"/>
    </row>
    <row r="385">
      <c r="A385" s="114"/>
      <c r="C385" s="3"/>
      <c r="D385" s="3"/>
      <c r="E385" s="3"/>
      <c r="F385" s="114"/>
    </row>
    <row r="386">
      <c r="A386" s="114"/>
      <c r="C386" s="3"/>
      <c r="D386" s="3"/>
      <c r="E386" s="3"/>
      <c r="F386" s="114"/>
    </row>
    <row r="387">
      <c r="A387" s="114"/>
      <c r="C387" s="3"/>
      <c r="D387" s="3"/>
      <c r="E387" s="3"/>
      <c r="F387" s="114"/>
    </row>
    <row r="388">
      <c r="A388" s="114"/>
      <c r="C388" s="3"/>
      <c r="D388" s="3"/>
      <c r="E388" s="3"/>
      <c r="F388" s="114"/>
    </row>
    <row r="389">
      <c r="A389" s="114"/>
      <c r="C389" s="3"/>
      <c r="D389" s="3"/>
      <c r="E389" s="3"/>
      <c r="F389" s="114"/>
    </row>
    <row r="390">
      <c r="A390" s="114"/>
      <c r="C390" s="3"/>
      <c r="D390" s="3"/>
      <c r="E390" s="3"/>
      <c r="F390" s="114"/>
    </row>
    <row r="391">
      <c r="A391" s="114"/>
      <c r="C391" s="3"/>
      <c r="D391" s="3"/>
      <c r="E391" s="3"/>
      <c r="F391" s="114"/>
    </row>
    <row r="392">
      <c r="A392" s="114"/>
      <c r="C392" s="3"/>
      <c r="D392" s="3"/>
      <c r="E392" s="3"/>
      <c r="F392" s="114"/>
    </row>
    <row r="393">
      <c r="A393" s="114"/>
      <c r="C393" s="3"/>
      <c r="D393" s="3"/>
      <c r="E393" s="3"/>
      <c r="F393" s="114"/>
    </row>
    <row r="394">
      <c r="A394" s="114"/>
      <c r="C394" s="3"/>
      <c r="D394" s="3"/>
      <c r="E394" s="3"/>
      <c r="F394" s="114"/>
    </row>
    <row r="395">
      <c r="A395" s="114"/>
      <c r="C395" s="3"/>
      <c r="D395" s="3"/>
      <c r="E395" s="3"/>
      <c r="F395" s="114"/>
    </row>
    <row r="396">
      <c r="A396" s="114"/>
      <c r="C396" s="3"/>
      <c r="D396" s="3"/>
      <c r="E396" s="3"/>
      <c r="F396" s="114"/>
    </row>
    <row r="397">
      <c r="A397" s="114"/>
      <c r="C397" s="3"/>
      <c r="D397" s="3"/>
      <c r="E397" s="3"/>
      <c r="F397" s="114"/>
    </row>
    <row r="398">
      <c r="A398" s="114"/>
      <c r="C398" s="3"/>
      <c r="D398" s="3"/>
      <c r="E398" s="3"/>
      <c r="F398" s="114"/>
    </row>
    <row r="399">
      <c r="A399" s="114"/>
      <c r="C399" s="3"/>
      <c r="D399" s="3"/>
      <c r="E399" s="3"/>
      <c r="F399" s="114"/>
    </row>
    <row r="400">
      <c r="A400" s="114"/>
      <c r="C400" s="3"/>
      <c r="D400" s="3"/>
      <c r="E400" s="3"/>
      <c r="F400" s="114"/>
    </row>
    <row r="401">
      <c r="A401" s="114"/>
      <c r="C401" s="3"/>
      <c r="D401" s="3"/>
      <c r="E401" s="3"/>
      <c r="F401" s="114"/>
    </row>
    <row r="402">
      <c r="A402" s="114"/>
      <c r="C402" s="3"/>
      <c r="D402" s="3"/>
      <c r="E402" s="3"/>
      <c r="F402" s="114"/>
    </row>
    <row r="403">
      <c r="A403" s="114"/>
      <c r="C403" s="3"/>
      <c r="D403" s="3"/>
      <c r="E403" s="3"/>
      <c r="F403" s="114"/>
    </row>
    <row r="404">
      <c r="A404" s="114"/>
      <c r="C404" s="3"/>
      <c r="D404" s="3"/>
      <c r="E404" s="3"/>
      <c r="F404" s="114"/>
    </row>
    <row r="405">
      <c r="A405" s="114"/>
      <c r="C405" s="3"/>
      <c r="D405" s="3"/>
      <c r="E405" s="3"/>
      <c r="F405" s="114"/>
    </row>
    <row r="406">
      <c r="A406" s="114"/>
      <c r="C406" s="3"/>
      <c r="D406" s="3"/>
      <c r="E406" s="3"/>
      <c r="F406" s="114"/>
    </row>
    <row r="407">
      <c r="A407" s="114"/>
      <c r="C407" s="3"/>
      <c r="D407" s="3"/>
      <c r="E407" s="3"/>
      <c r="F407" s="114"/>
    </row>
    <row r="408">
      <c r="A408" s="114"/>
      <c r="C408" s="3"/>
      <c r="D408" s="3"/>
      <c r="E408" s="3"/>
      <c r="F408" s="114"/>
    </row>
    <row r="409">
      <c r="A409" s="114"/>
      <c r="C409" s="3"/>
      <c r="D409" s="3"/>
      <c r="E409" s="3"/>
      <c r="F409" s="114"/>
    </row>
    <row r="410">
      <c r="A410" s="114"/>
      <c r="C410" s="3"/>
      <c r="D410" s="3"/>
      <c r="E410" s="3"/>
      <c r="F410" s="114"/>
    </row>
    <row r="411">
      <c r="A411" s="114"/>
      <c r="C411" s="3"/>
      <c r="D411" s="3"/>
      <c r="E411" s="3"/>
      <c r="F411" s="114"/>
    </row>
    <row r="412">
      <c r="A412" s="114"/>
      <c r="C412" s="3"/>
      <c r="D412" s="3"/>
      <c r="E412" s="3"/>
      <c r="F412" s="114"/>
    </row>
    <row r="413">
      <c r="A413" s="114"/>
      <c r="C413" s="3"/>
      <c r="D413" s="3"/>
      <c r="E413" s="3"/>
      <c r="F413" s="114"/>
    </row>
    <row r="414">
      <c r="A414" s="114"/>
      <c r="C414" s="3"/>
      <c r="D414" s="3"/>
      <c r="E414" s="3"/>
      <c r="F414" s="114"/>
    </row>
    <row r="415">
      <c r="A415" s="114"/>
      <c r="C415" s="3"/>
      <c r="D415" s="3"/>
      <c r="E415" s="3"/>
      <c r="F415" s="114"/>
    </row>
    <row r="416">
      <c r="A416" s="114"/>
      <c r="C416" s="3"/>
      <c r="D416" s="3"/>
      <c r="E416" s="3"/>
      <c r="F416" s="114"/>
    </row>
    <row r="417">
      <c r="A417" s="114"/>
      <c r="C417" s="3"/>
      <c r="D417" s="3"/>
      <c r="E417" s="3"/>
      <c r="F417" s="114"/>
    </row>
    <row r="418">
      <c r="A418" s="114"/>
      <c r="C418" s="3"/>
      <c r="D418" s="3"/>
      <c r="E418" s="3"/>
      <c r="F418" s="114"/>
    </row>
    <row r="419">
      <c r="A419" s="114"/>
      <c r="C419" s="3"/>
      <c r="D419" s="3"/>
      <c r="E419" s="3"/>
      <c r="F419" s="114"/>
    </row>
    <row r="420">
      <c r="A420" s="114"/>
      <c r="C420" s="3"/>
      <c r="D420" s="3"/>
      <c r="E420" s="3"/>
      <c r="F420" s="114"/>
    </row>
    <row r="421">
      <c r="A421" s="114"/>
      <c r="C421" s="3"/>
      <c r="D421" s="3"/>
      <c r="E421" s="3"/>
      <c r="F421" s="114"/>
    </row>
    <row r="422">
      <c r="A422" s="114"/>
      <c r="C422" s="3"/>
      <c r="D422" s="3"/>
      <c r="E422" s="3"/>
      <c r="F422" s="114"/>
    </row>
    <row r="423">
      <c r="A423" s="114"/>
      <c r="C423" s="3"/>
      <c r="D423" s="3"/>
      <c r="E423" s="3"/>
      <c r="F423" s="114"/>
    </row>
    <row r="424">
      <c r="A424" s="114"/>
      <c r="C424" s="3"/>
      <c r="D424" s="3"/>
      <c r="E424" s="3"/>
      <c r="F424" s="114"/>
    </row>
    <row r="425">
      <c r="A425" s="114"/>
      <c r="C425" s="3"/>
      <c r="D425" s="3"/>
      <c r="E425" s="3"/>
      <c r="F425" s="114"/>
    </row>
    <row r="426">
      <c r="A426" s="114"/>
      <c r="C426" s="3"/>
      <c r="D426" s="3"/>
      <c r="E426" s="3"/>
      <c r="F426" s="114"/>
    </row>
    <row r="427">
      <c r="A427" s="114"/>
      <c r="C427" s="3"/>
      <c r="D427" s="3"/>
      <c r="E427" s="3"/>
      <c r="F427" s="114"/>
    </row>
    <row r="428">
      <c r="A428" s="114"/>
      <c r="C428" s="3"/>
      <c r="D428" s="3"/>
      <c r="E428" s="3"/>
      <c r="F428" s="114"/>
    </row>
    <row r="429">
      <c r="A429" s="114"/>
      <c r="C429" s="3"/>
      <c r="D429" s="3"/>
      <c r="E429" s="3"/>
      <c r="F429" s="114"/>
    </row>
    <row r="430">
      <c r="A430" s="114"/>
      <c r="C430" s="3"/>
      <c r="D430" s="3"/>
      <c r="E430" s="3"/>
      <c r="F430" s="114"/>
    </row>
    <row r="431">
      <c r="A431" s="114"/>
      <c r="C431" s="3"/>
      <c r="D431" s="3"/>
      <c r="E431" s="3"/>
      <c r="F431" s="114"/>
    </row>
    <row r="432">
      <c r="A432" s="114"/>
      <c r="C432" s="3"/>
      <c r="D432" s="3"/>
      <c r="E432" s="3"/>
      <c r="F432" s="114"/>
    </row>
    <row r="433">
      <c r="A433" s="114"/>
      <c r="C433" s="3"/>
      <c r="D433" s="3"/>
      <c r="E433" s="3"/>
      <c r="F433" s="114"/>
    </row>
    <row r="434">
      <c r="A434" s="114"/>
      <c r="C434" s="3"/>
      <c r="D434" s="3"/>
      <c r="E434" s="3"/>
      <c r="F434" s="114"/>
    </row>
    <row r="435">
      <c r="A435" s="114"/>
      <c r="C435" s="3"/>
      <c r="D435" s="3"/>
      <c r="E435" s="3"/>
      <c r="F435" s="114"/>
    </row>
    <row r="436">
      <c r="A436" s="114"/>
      <c r="C436" s="3"/>
      <c r="D436" s="3"/>
      <c r="E436" s="3"/>
      <c r="F436" s="114"/>
    </row>
    <row r="437">
      <c r="A437" s="114"/>
      <c r="C437" s="3"/>
      <c r="D437" s="3"/>
      <c r="E437" s="3"/>
      <c r="F437" s="114"/>
    </row>
    <row r="438">
      <c r="A438" s="114"/>
      <c r="C438" s="3"/>
      <c r="D438" s="3"/>
      <c r="E438" s="3"/>
      <c r="F438" s="114"/>
    </row>
    <row r="439">
      <c r="A439" s="114"/>
      <c r="C439" s="3"/>
      <c r="D439" s="3"/>
      <c r="E439" s="3"/>
      <c r="F439" s="114"/>
    </row>
    <row r="440">
      <c r="A440" s="114"/>
      <c r="C440" s="3"/>
      <c r="D440" s="3"/>
      <c r="E440" s="3"/>
      <c r="F440" s="114"/>
    </row>
    <row r="441">
      <c r="A441" s="114"/>
      <c r="C441" s="3"/>
      <c r="D441" s="3"/>
      <c r="E441" s="3"/>
      <c r="F441" s="114"/>
    </row>
    <row r="442">
      <c r="A442" s="114"/>
      <c r="C442" s="3"/>
      <c r="D442" s="3"/>
      <c r="E442" s="3"/>
      <c r="F442" s="114"/>
    </row>
    <row r="443">
      <c r="A443" s="114"/>
      <c r="C443" s="3"/>
      <c r="D443" s="3"/>
      <c r="E443" s="3"/>
      <c r="F443" s="114"/>
    </row>
    <row r="444">
      <c r="A444" s="114"/>
      <c r="C444" s="3"/>
      <c r="D444" s="3"/>
      <c r="E444" s="3"/>
      <c r="F444" s="114"/>
    </row>
    <row r="445">
      <c r="A445" s="114"/>
      <c r="C445" s="3"/>
      <c r="D445" s="3"/>
      <c r="E445" s="3"/>
      <c r="F445" s="114"/>
    </row>
    <row r="446">
      <c r="A446" s="114"/>
      <c r="C446" s="3"/>
      <c r="D446" s="3"/>
      <c r="E446" s="3"/>
      <c r="F446" s="114"/>
    </row>
    <row r="447">
      <c r="A447" s="114"/>
      <c r="C447" s="3"/>
      <c r="D447" s="3"/>
      <c r="E447" s="3"/>
      <c r="F447" s="114"/>
    </row>
    <row r="448">
      <c r="A448" s="114"/>
      <c r="C448" s="3"/>
      <c r="D448" s="3"/>
      <c r="E448" s="3"/>
      <c r="F448" s="114"/>
    </row>
    <row r="449">
      <c r="A449" s="114"/>
      <c r="C449" s="3"/>
      <c r="D449" s="3"/>
      <c r="E449" s="3"/>
      <c r="F449" s="114"/>
    </row>
    <row r="450">
      <c r="A450" s="114"/>
      <c r="C450" s="3"/>
      <c r="D450" s="3"/>
      <c r="E450" s="3"/>
      <c r="F450" s="114"/>
    </row>
    <row r="451">
      <c r="A451" s="114"/>
      <c r="C451" s="3"/>
      <c r="D451" s="3"/>
      <c r="E451" s="3"/>
      <c r="F451" s="114"/>
    </row>
    <row r="452">
      <c r="A452" s="114"/>
      <c r="C452" s="3"/>
      <c r="D452" s="3"/>
      <c r="E452" s="3"/>
      <c r="F452" s="114"/>
    </row>
    <row r="453">
      <c r="A453" s="114"/>
      <c r="C453" s="3"/>
      <c r="D453" s="3"/>
      <c r="E453" s="3"/>
      <c r="F453" s="114"/>
    </row>
    <row r="454">
      <c r="A454" s="114"/>
      <c r="C454" s="3"/>
      <c r="D454" s="3"/>
      <c r="E454" s="3"/>
      <c r="F454" s="114"/>
    </row>
    <row r="455">
      <c r="A455" s="114"/>
      <c r="C455" s="3"/>
      <c r="D455" s="3"/>
      <c r="E455" s="3"/>
      <c r="F455" s="114"/>
    </row>
    <row r="456">
      <c r="A456" s="114"/>
      <c r="C456" s="3"/>
      <c r="D456" s="3"/>
      <c r="E456" s="3"/>
      <c r="F456" s="114"/>
    </row>
    <row r="457">
      <c r="A457" s="114"/>
      <c r="C457" s="3"/>
      <c r="D457" s="3"/>
      <c r="E457" s="3"/>
      <c r="F457" s="114"/>
    </row>
    <row r="458">
      <c r="A458" s="114"/>
      <c r="C458" s="3"/>
      <c r="D458" s="3"/>
      <c r="E458" s="3"/>
      <c r="F458" s="114"/>
    </row>
    <row r="459">
      <c r="A459" s="114"/>
      <c r="C459" s="3"/>
      <c r="D459" s="3"/>
      <c r="E459" s="3"/>
      <c r="F459" s="114"/>
    </row>
    <row r="460">
      <c r="A460" s="114"/>
      <c r="C460" s="3"/>
      <c r="D460" s="3"/>
      <c r="E460" s="3"/>
      <c r="F460" s="114"/>
    </row>
    <row r="461">
      <c r="A461" s="114"/>
      <c r="C461" s="3"/>
      <c r="D461" s="3"/>
      <c r="E461" s="3"/>
      <c r="F461" s="114"/>
    </row>
    <row r="462">
      <c r="A462" s="114"/>
      <c r="C462" s="3"/>
      <c r="D462" s="3"/>
      <c r="E462" s="3"/>
      <c r="F462" s="114"/>
    </row>
    <row r="463">
      <c r="A463" s="114"/>
      <c r="C463" s="3"/>
      <c r="D463" s="3"/>
      <c r="E463" s="3"/>
      <c r="F463" s="114"/>
    </row>
    <row r="464">
      <c r="A464" s="114"/>
      <c r="C464" s="3"/>
      <c r="D464" s="3"/>
      <c r="E464" s="3"/>
      <c r="F464" s="114"/>
    </row>
    <row r="465">
      <c r="A465" s="114"/>
      <c r="C465" s="3"/>
      <c r="D465" s="3"/>
      <c r="E465" s="3"/>
      <c r="F465" s="114"/>
    </row>
    <row r="466">
      <c r="A466" s="114"/>
      <c r="C466" s="3"/>
      <c r="D466" s="3"/>
      <c r="E466" s="3"/>
      <c r="F466" s="114"/>
    </row>
    <row r="467">
      <c r="A467" s="114"/>
      <c r="C467" s="3"/>
      <c r="D467" s="3"/>
      <c r="E467" s="3"/>
      <c r="F467" s="114"/>
    </row>
    <row r="468">
      <c r="A468" s="114"/>
      <c r="C468" s="3"/>
      <c r="D468" s="3"/>
      <c r="E468" s="3"/>
      <c r="F468" s="114"/>
    </row>
    <row r="469">
      <c r="A469" s="114"/>
      <c r="C469" s="3"/>
      <c r="D469" s="3"/>
      <c r="E469" s="3"/>
      <c r="F469" s="114"/>
    </row>
    <row r="470">
      <c r="A470" s="114"/>
      <c r="C470" s="3"/>
      <c r="D470" s="3"/>
      <c r="E470" s="3"/>
      <c r="F470" s="114"/>
    </row>
    <row r="471">
      <c r="A471" s="114"/>
      <c r="C471" s="3"/>
      <c r="D471" s="3"/>
      <c r="E471" s="3"/>
      <c r="F471" s="114"/>
    </row>
    <row r="472">
      <c r="A472" s="114"/>
      <c r="C472" s="3"/>
      <c r="D472" s="3"/>
      <c r="E472" s="3"/>
      <c r="F472" s="114"/>
    </row>
    <row r="473">
      <c r="A473" s="114"/>
      <c r="C473" s="3"/>
      <c r="D473" s="3"/>
      <c r="E473" s="3"/>
      <c r="F473" s="114"/>
    </row>
    <row r="474">
      <c r="A474" s="114"/>
      <c r="C474" s="3"/>
      <c r="D474" s="3"/>
      <c r="E474" s="3"/>
      <c r="F474" s="114"/>
    </row>
    <row r="475">
      <c r="A475" s="114"/>
      <c r="C475" s="3"/>
      <c r="D475" s="3"/>
      <c r="E475" s="3"/>
      <c r="F475" s="114"/>
    </row>
    <row r="476">
      <c r="A476" s="114"/>
      <c r="C476" s="3"/>
      <c r="D476" s="3"/>
      <c r="E476" s="3"/>
      <c r="F476" s="114"/>
    </row>
    <row r="477">
      <c r="A477" s="114"/>
      <c r="C477" s="3"/>
      <c r="D477" s="3"/>
      <c r="E477" s="3"/>
      <c r="F477" s="114"/>
    </row>
    <row r="478">
      <c r="A478" s="114"/>
      <c r="C478" s="3"/>
      <c r="D478" s="3"/>
      <c r="E478" s="3"/>
      <c r="F478" s="114"/>
    </row>
    <row r="479">
      <c r="A479" s="114"/>
      <c r="C479" s="3"/>
      <c r="D479" s="3"/>
      <c r="E479" s="3"/>
      <c r="F479" s="114"/>
    </row>
    <row r="480">
      <c r="A480" s="114"/>
      <c r="C480" s="3"/>
      <c r="D480" s="3"/>
      <c r="E480" s="3"/>
      <c r="F480" s="114"/>
    </row>
    <row r="481">
      <c r="A481" s="114"/>
      <c r="C481" s="3"/>
      <c r="D481" s="3"/>
      <c r="E481" s="3"/>
      <c r="F481" s="114"/>
    </row>
    <row r="482">
      <c r="A482" s="114"/>
      <c r="C482" s="3"/>
      <c r="D482" s="3"/>
      <c r="E482" s="3"/>
      <c r="F482" s="114"/>
    </row>
    <row r="483">
      <c r="A483" s="114"/>
      <c r="C483" s="3"/>
      <c r="D483" s="3"/>
      <c r="E483" s="3"/>
      <c r="F483" s="114"/>
    </row>
    <row r="484">
      <c r="A484" s="114"/>
      <c r="C484" s="3"/>
      <c r="D484" s="3"/>
      <c r="E484" s="3"/>
      <c r="F484" s="114"/>
    </row>
    <row r="485">
      <c r="A485" s="114"/>
      <c r="C485" s="3"/>
      <c r="D485" s="3"/>
      <c r="E485" s="3"/>
      <c r="F485" s="114"/>
    </row>
    <row r="486">
      <c r="A486" s="114"/>
      <c r="C486" s="3"/>
      <c r="D486" s="3"/>
      <c r="E486" s="3"/>
      <c r="F486" s="114"/>
    </row>
    <row r="487">
      <c r="A487" s="114"/>
      <c r="C487" s="3"/>
      <c r="D487" s="3"/>
      <c r="E487" s="3"/>
      <c r="F487" s="114"/>
    </row>
    <row r="488">
      <c r="A488" s="114"/>
      <c r="C488" s="3"/>
      <c r="D488" s="3"/>
      <c r="E488" s="3"/>
      <c r="F488" s="114"/>
    </row>
    <row r="489">
      <c r="A489" s="114"/>
      <c r="C489" s="3"/>
      <c r="D489" s="3"/>
      <c r="E489" s="3"/>
      <c r="F489" s="114"/>
    </row>
    <row r="490">
      <c r="A490" s="114"/>
      <c r="C490" s="3"/>
      <c r="D490" s="3"/>
      <c r="E490" s="3"/>
      <c r="F490" s="114"/>
    </row>
    <row r="491">
      <c r="A491" s="114"/>
      <c r="C491" s="3"/>
      <c r="D491" s="3"/>
      <c r="E491" s="3"/>
      <c r="F491" s="114"/>
    </row>
    <row r="492">
      <c r="A492" s="114"/>
      <c r="C492" s="3"/>
      <c r="D492" s="3"/>
      <c r="E492" s="3"/>
      <c r="F492" s="114"/>
    </row>
    <row r="493">
      <c r="A493" s="114"/>
      <c r="C493" s="3"/>
      <c r="D493" s="3"/>
      <c r="E493" s="3"/>
      <c r="F493" s="114"/>
    </row>
    <row r="494">
      <c r="A494" s="114"/>
      <c r="C494" s="3"/>
      <c r="D494" s="3"/>
      <c r="E494" s="3"/>
      <c r="F494" s="114"/>
    </row>
    <row r="495">
      <c r="A495" s="114"/>
      <c r="C495" s="3"/>
      <c r="D495" s="3"/>
      <c r="E495" s="3"/>
      <c r="F495" s="114"/>
    </row>
    <row r="496">
      <c r="A496" s="114"/>
      <c r="C496" s="3"/>
      <c r="D496" s="3"/>
      <c r="E496" s="3"/>
      <c r="F496" s="114"/>
    </row>
    <row r="497">
      <c r="A497" s="114"/>
      <c r="C497" s="3"/>
      <c r="D497" s="3"/>
      <c r="E497" s="3"/>
      <c r="F497" s="114"/>
    </row>
    <row r="498">
      <c r="A498" s="114"/>
      <c r="C498" s="3"/>
      <c r="D498" s="3"/>
      <c r="E498" s="3"/>
      <c r="F498" s="114"/>
    </row>
    <row r="499">
      <c r="A499" s="114"/>
      <c r="C499" s="3"/>
      <c r="D499" s="3"/>
      <c r="E499" s="3"/>
      <c r="F499" s="114"/>
    </row>
    <row r="500">
      <c r="A500" s="114"/>
      <c r="C500" s="3"/>
      <c r="D500" s="3"/>
      <c r="E500" s="3"/>
      <c r="F500" s="114"/>
    </row>
    <row r="501">
      <c r="A501" s="114"/>
      <c r="C501" s="3"/>
      <c r="D501" s="3"/>
      <c r="E501" s="3"/>
      <c r="F501" s="114"/>
    </row>
    <row r="502">
      <c r="A502" s="114"/>
      <c r="C502" s="3"/>
      <c r="D502" s="3"/>
      <c r="E502" s="3"/>
      <c r="F502" s="114"/>
    </row>
    <row r="503">
      <c r="A503" s="114"/>
      <c r="C503" s="3"/>
      <c r="D503" s="3"/>
      <c r="E503" s="3"/>
      <c r="F503" s="114"/>
    </row>
    <row r="504">
      <c r="A504" s="114"/>
      <c r="C504" s="3"/>
      <c r="D504" s="3"/>
      <c r="E504" s="3"/>
      <c r="F504" s="114"/>
    </row>
    <row r="505">
      <c r="A505" s="114"/>
      <c r="C505" s="3"/>
      <c r="D505" s="3"/>
      <c r="E505" s="3"/>
      <c r="F505" s="114"/>
    </row>
    <row r="506">
      <c r="A506" s="114"/>
      <c r="C506" s="3"/>
      <c r="D506" s="3"/>
      <c r="E506" s="3"/>
      <c r="F506" s="114"/>
    </row>
    <row r="507">
      <c r="A507" s="114"/>
      <c r="C507" s="3"/>
      <c r="D507" s="3"/>
      <c r="E507" s="3"/>
      <c r="F507" s="114"/>
    </row>
    <row r="508">
      <c r="A508" s="114"/>
      <c r="C508" s="3"/>
      <c r="D508" s="3"/>
      <c r="E508" s="3"/>
      <c r="F508" s="114"/>
    </row>
    <row r="509">
      <c r="A509" s="114"/>
      <c r="C509" s="3"/>
      <c r="D509" s="3"/>
      <c r="E509" s="3"/>
      <c r="F509" s="114"/>
    </row>
    <row r="510">
      <c r="A510" s="114"/>
      <c r="C510" s="3"/>
      <c r="D510" s="3"/>
      <c r="E510" s="3"/>
      <c r="F510" s="114"/>
    </row>
    <row r="511">
      <c r="A511" s="114"/>
      <c r="C511" s="3"/>
      <c r="D511" s="3"/>
      <c r="E511" s="3"/>
      <c r="F511" s="114"/>
    </row>
    <row r="512">
      <c r="A512" s="114"/>
      <c r="C512" s="3"/>
      <c r="D512" s="3"/>
      <c r="E512" s="3"/>
      <c r="F512" s="114"/>
    </row>
    <row r="513">
      <c r="A513" s="114"/>
      <c r="C513" s="3"/>
      <c r="D513" s="3"/>
      <c r="E513" s="3"/>
      <c r="F513" s="114"/>
    </row>
    <row r="514">
      <c r="A514" s="114"/>
      <c r="C514" s="3"/>
      <c r="D514" s="3"/>
      <c r="E514" s="3"/>
      <c r="F514" s="114"/>
    </row>
    <row r="515">
      <c r="A515" s="114"/>
      <c r="C515" s="3"/>
      <c r="D515" s="3"/>
      <c r="E515" s="3"/>
      <c r="F515" s="114"/>
    </row>
    <row r="516">
      <c r="A516" s="114"/>
      <c r="C516" s="3"/>
      <c r="D516" s="3"/>
      <c r="E516" s="3"/>
      <c r="F516" s="114"/>
    </row>
    <row r="517">
      <c r="A517" s="114"/>
      <c r="C517" s="3"/>
      <c r="D517" s="3"/>
      <c r="E517" s="3"/>
      <c r="F517" s="114"/>
    </row>
    <row r="518">
      <c r="A518" s="114"/>
      <c r="C518" s="3"/>
      <c r="D518" s="3"/>
      <c r="E518" s="3"/>
      <c r="F518" s="114"/>
    </row>
    <row r="519">
      <c r="A519" s="114"/>
      <c r="C519" s="3"/>
      <c r="D519" s="3"/>
      <c r="E519" s="3"/>
      <c r="F519" s="114"/>
    </row>
    <row r="520">
      <c r="A520" s="114"/>
      <c r="C520" s="3"/>
      <c r="D520" s="3"/>
      <c r="E520" s="3"/>
      <c r="F520" s="114"/>
    </row>
    <row r="521">
      <c r="A521" s="114"/>
      <c r="C521" s="3"/>
      <c r="D521" s="3"/>
      <c r="E521" s="3"/>
      <c r="F521" s="114"/>
    </row>
    <row r="522">
      <c r="A522" s="114"/>
      <c r="C522" s="3"/>
      <c r="D522" s="3"/>
      <c r="E522" s="3"/>
      <c r="F522" s="114"/>
    </row>
    <row r="523">
      <c r="A523" s="114"/>
      <c r="C523" s="3"/>
      <c r="D523" s="3"/>
      <c r="E523" s="3"/>
      <c r="F523" s="114"/>
    </row>
    <row r="524">
      <c r="A524" s="114"/>
      <c r="C524" s="3"/>
      <c r="D524" s="3"/>
      <c r="E524" s="3"/>
      <c r="F524" s="114"/>
    </row>
    <row r="525">
      <c r="A525" s="114"/>
      <c r="C525" s="3"/>
      <c r="D525" s="3"/>
      <c r="E525" s="3"/>
      <c r="F525" s="114"/>
    </row>
    <row r="526">
      <c r="A526" s="114"/>
      <c r="C526" s="3"/>
      <c r="D526" s="3"/>
      <c r="E526" s="3"/>
      <c r="F526" s="114"/>
    </row>
    <row r="527">
      <c r="A527" s="114"/>
      <c r="C527" s="3"/>
      <c r="D527" s="3"/>
      <c r="E527" s="3"/>
      <c r="F527" s="114"/>
    </row>
    <row r="528">
      <c r="A528" s="114"/>
      <c r="C528" s="3"/>
      <c r="D528" s="3"/>
      <c r="E528" s="3"/>
      <c r="F528" s="114"/>
    </row>
    <row r="529">
      <c r="A529" s="114"/>
      <c r="C529" s="3"/>
      <c r="D529" s="3"/>
      <c r="E529" s="3"/>
      <c r="F529" s="114"/>
    </row>
    <row r="530">
      <c r="A530" s="114"/>
      <c r="C530" s="3"/>
      <c r="D530" s="3"/>
      <c r="E530" s="3"/>
      <c r="F530" s="114"/>
    </row>
    <row r="531">
      <c r="A531" s="114"/>
      <c r="C531" s="3"/>
      <c r="D531" s="3"/>
      <c r="E531" s="3"/>
      <c r="F531" s="114"/>
    </row>
    <row r="532">
      <c r="A532" s="114"/>
      <c r="C532" s="3"/>
      <c r="D532" s="3"/>
      <c r="E532" s="3"/>
      <c r="F532" s="114"/>
    </row>
    <row r="533">
      <c r="A533" s="114"/>
      <c r="C533" s="3"/>
      <c r="D533" s="3"/>
      <c r="E533" s="3"/>
      <c r="F533" s="114"/>
    </row>
    <row r="534">
      <c r="A534" s="114"/>
      <c r="C534" s="3"/>
      <c r="D534" s="3"/>
      <c r="E534" s="3"/>
      <c r="F534" s="114"/>
    </row>
    <row r="535">
      <c r="A535" s="114"/>
      <c r="C535" s="3"/>
      <c r="D535" s="3"/>
      <c r="E535" s="3"/>
      <c r="F535" s="114"/>
    </row>
    <row r="536">
      <c r="A536" s="114"/>
      <c r="C536" s="3"/>
      <c r="D536" s="3"/>
      <c r="E536" s="3"/>
      <c r="F536" s="114"/>
    </row>
    <row r="537">
      <c r="A537" s="114"/>
      <c r="C537" s="3"/>
      <c r="D537" s="3"/>
      <c r="E537" s="3"/>
      <c r="F537" s="114"/>
    </row>
    <row r="538">
      <c r="A538" s="114"/>
      <c r="C538" s="3"/>
      <c r="D538" s="3"/>
      <c r="E538" s="3"/>
      <c r="F538" s="114"/>
    </row>
    <row r="539">
      <c r="A539" s="114"/>
      <c r="C539" s="3"/>
      <c r="D539" s="3"/>
      <c r="E539" s="3"/>
      <c r="F539" s="114"/>
    </row>
    <row r="540">
      <c r="A540" s="114"/>
      <c r="C540" s="3"/>
      <c r="D540" s="3"/>
      <c r="E540" s="3"/>
      <c r="F540" s="114"/>
    </row>
    <row r="541">
      <c r="A541" s="114"/>
      <c r="C541" s="3"/>
      <c r="D541" s="3"/>
      <c r="E541" s="3"/>
      <c r="F541" s="114"/>
    </row>
    <row r="542">
      <c r="A542" s="114"/>
      <c r="C542" s="3"/>
      <c r="D542" s="3"/>
      <c r="E542" s="3"/>
      <c r="F542" s="114"/>
    </row>
    <row r="543">
      <c r="A543" s="114"/>
      <c r="C543" s="3"/>
      <c r="D543" s="3"/>
      <c r="E543" s="3"/>
      <c r="F543" s="114"/>
    </row>
    <row r="544">
      <c r="A544" s="114"/>
      <c r="C544" s="3"/>
      <c r="D544" s="3"/>
      <c r="E544" s="3"/>
      <c r="F544" s="114"/>
    </row>
    <row r="545">
      <c r="A545" s="114"/>
      <c r="C545" s="3"/>
      <c r="D545" s="3"/>
      <c r="E545" s="3"/>
      <c r="F545" s="114"/>
    </row>
    <row r="546">
      <c r="A546" s="114"/>
      <c r="C546" s="3"/>
      <c r="D546" s="3"/>
      <c r="E546" s="3"/>
      <c r="F546" s="114"/>
    </row>
    <row r="547">
      <c r="A547" s="114"/>
      <c r="C547" s="3"/>
      <c r="D547" s="3"/>
      <c r="E547" s="3"/>
      <c r="F547" s="114"/>
    </row>
    <row r="548">
      <c r="A548" s="114"/>
      <c r="C548" s="3"/>
      <c r="D548" s="3"/>
      <c r="E548" s="3"/>
      <c r="F548" s="114"/>
    </row>
    <row r="549">
      <c r="A549" s="114"/>
      <c r="C549" s="3"/>
      <c r="D549" s="3"/>
      <c r="E549" s="3"/>
      <c r="F549" s="114"/>
    </row>
    <row r="550">
      <c r="A550" s="114"/>
      <c r="C550" s="3"/>
      <c r="D550" s="3"/>
      <c r="E550" s="3"/>
      <c r="F550" s="114"/>
    </row>
    <row r="551">
      <c r="A551" s="114"/>
      <c r="C551" s="3"/>
      <c r="D551" s="3"/>
      <c r="E551" s="3"/>
      <c r="F551" s="114"/>
    </row>
    <row r="552">
      <c r="A552" s="114"/>
      <c r="C552" s="3"/>
      <c r="D552" s="3"/>
      <c r="E552" s="3"/>
      <c r="F552" s="114"/>
    </row>
    <row r="553">
      <c r="A553" s="114"/>
      <c r="C553" s="3"/>
      <c r="D553" s="3"/>
      <c r="E553" s="3"/>
      <c r="F553" s="114"/>
    </row>
    <row r="554">
      <c r="A554" s="114"/>
      <c r="C554" s="3"/>
      <c r="D554" s="3"/>
      <c r="E554" s="3"/>
      <c r="F554" s="114"/>
    </row>
    <row r="555">
      <c r="A555" s="114"/>
      <c r="C555" s="3"/>
      <c r="D555" s="3"/>
      <c r="E555" s="3"/>
      <c r="F555" s="114"/>
    </row>
    <row r="556">
      <c r="A556" s="114"/>
      <c r="C556" s="3"/>
      <c r="D556" s="3"/>
      <c r="E556" s="3"/>
      <c r="F556" s="114"/>
    </row>
    <row r="557">
      <c r="A557" s="114"/>
      <c r="C557" s="3"/>
      <c r="D557" s="3"/>
      <c r="E557" s="3"/>
      <c r="F557" s="114"/>
    </row>
    <row r="558">
      <c r="A558" s="114"/>
      <c r="C558" s="3"/>
      <c r="D558" s="3"/>
      <c r="E558" s="3"/>
      <c r="F558" s="114"/>
    </row>
    <row r="559">
      <c r="A559" s="114"/>
      <c r="C559" s="3"/>
      <c r="D559" s="3"/>
      <c r="E559" s="3"/>
      <c r="F559" s="114"/>
    </row>
    <row r="560">
      <c r="A560" s="114"/>
      <c r="C560" s="3"/>
      <c r="D560" s="3"/>
      <c r="E560" s="3"/>
      <c r="F560" s="114"/>
    </row>
    <row r="561">
      <c r="A561" s="114"/>
      <c r="C561" s="3"/>
      <c r="D561" s="3"/>
      <c r="E561" s="3"/>
      <c r="F561" s="114"/>
    </row>
    <row r="562">
      <c r="A562" s="114"/>
      <c r="C562" s="3"/>
      <c r="D562" s="3"/>
      <c r="E562" s="3"/>
      <c r="F562" s="114"/>
    </row>
    <row r="563">
      <c r="A563" s="114"/>
      <c r="C563" s="3"/>
      <c r="D563" s="3"/>
      <c r="E563" s="3"/>
      <c r="F563" s="114"/>
    </row>
    <row r="564">
      <c r="A564" s="114"/>
      <c r="C564" s="3"/>
      <c r="D564" s="3"/>
      <c r="E564" s="3"/>
      <c r="F564" s="114"/>
    </row>
    <row r="565">
      <c r="A565" s="114"/>
      <c r="C565" s="3"/>
      <c r="D565" s="3"/>
      <c r="E565" s="3"/>
      <c r="F565" s="114"/>
    </row>
    <row r="566">
      <c r="A566" s="114"/>
      <c r="C566" s="3"/>
      <c r="D566" s="3"/>
      <c r="E566" s="3"/>
      <c r="F566" s="114"/>
    </row>
    <row r="567">
      <c r="A567" s="114"/>
      <c r="C567" s="3"/>
      <c r="D567" s="3"/>
      <c r="E567" s="3"/>
      <c r="F567" s="114"/>
    </row>
    <row r="568">
      <c r="A568" s="114"/>
      <c r="C568" s="3"/>
      <c r="D568" s="3"/>
      <c r="E568" s="3"/>
      <c r="F568" s="114"/>
    </row>
    <row r="569">
      <c r="A569" s="114"/>
      <c r="C569" s="3"/>
      <c r="D569" s="3"/>
      <c r="E569" s="3"/>
      <c r="F569" s="114"/>
    </row>
    <row r="570">
      <c r="A570" s="114"/>
      <c r="C570" s="3"/>
      <c r="D570" s="3"/>
      <c r="E570" s="3"/>
      <c r="F570" s="114"/>
    </row>
    <row r="571">
      <c r="A571" s="114"/>
      <c r="C571" s="3"/>
      <c r="D571" s="3"/>
      <c r="E571" s="3"/>
      <c r="F571" s="114"/>
    </row>
    <row r="572">
      <c r="A572" s="114"/>
      <c r="C572" s="3"/>
      <c r="D572" s="3"/>
      <c r="E572" s="3"/>
      <c r="F572" s="114"/>
    </row>
    <row r="573">
      <c r="A573" s="114"/>
      <c r="C573" s="3"/>
      <c r="D573" s="3"/>
      <c r="E573" s="3"/>
      <c r="F573" s="114"/>
    </row>
    <row r="574">
      <c r="A574" s="114"/>
      <c r="C574" s="3"/>
      <c r="D574" s="3"/>
      <c r="E574" s="3"/>
      <c r="F574" s="114"/>
    </row>
    <row r="575">
      <c r="A575" s="114"/>
      <c r="C575" s="3"/>
      <c r="D575" s="3"/>
      <c r="E575" s="3"/>
      <c r="F575" s="114"/>
    </row>
    <row r="576">
      <c r="A576" s="114"/>
      <c r="C576" s="3"/>
      <c r="D576" s="3"/>
      <c r="E576" s="3"/>
      <c r="F576" s="114"/>
    </row>
    <row r="577">
      <c r="A577" s="114"/>
      <c r="C577" s="3"/>
      <c r="D577" s="3"/>
      <c r="E577" s="3"/>
      <c r="F577" s="114"/>
    </row>
    <row r="578">
      <c r="A578" s="114"/>
      <c r="C578" s="3"/>
      <c r="D578" s="3"/>
      <c r="E578" s="3"/>
      <c r="F578" s="114"/>
    </row>
    <row r="579">
      <c r="A579" s="114"/>
      <c r="C579" s="3"/>
      <c r="D579" s="3"/>
      <c r="E579" s="3"/>
      <c r="F579" s="114"/>
    </row>
    <row r="580">
      <c r="A580" s="114"/>
      <c r="C580" s="3"/>
      <c r="D580" s="3"/>
      <c r="E580" s="3"/>
      <c r="F580" s="114"/>
    </row>
    <row r="581">
      <c r="A581" s="114"/>
      <c r="C581" s="3"/>
      <c r="D581" s="3"/>
      <c r="E581" s="3"/>
      <c r="F581" s="114"/>
    </row>
    <row r="582">
      <c r="A582" s="114"/>
      <c r="C582" s="3"/>
      <c r="D582" s="3"/>
      <c r="E582" s="3"/>
      <c r="F582" s="114"/>
    </row>
    <row r="583">
      <c r="A583" s="114"/>
      <c r="C583" s="3"/>
      <c r="D583" s="3"/>
      <c r="E583" s="3"/>
      <c r="F583" s="114"/>
    </row>
    <row r="584">
      <c r="A584" s="114"/>
      <c r="C584" s="3"/>
      <c r="D584" s="3"/>
      <c r="E584" s="3"/>
      <c r="F584" s="114"/>
    </row>
    <row r="585">
      <c r="A585" s="114"/>
      <c r="C585" s="3"/>
      <c r="D585" s="3"/>
      <c r="E585" s="3"/>
      <c r="F585" s="114"/>
    </row>
    <row r="586">
      <c r="A586" s="114"/>
      <c r="C586" s="3"/>
      <c r="D586" s="3"/>
      <c r="E586" s="3"/>
      <c r="F586" s="114"/>
    </row>
    <row r="587">
      <c r="A587" s="114"/>
      <c r="C587" s="3"/>
      <c r="D587" s="3"/>
      <c r="E587" s="3"/>
      <c r="F587" s="114"/>
    </row>
    <row r="588">
      <c r="A588" s="114"/>
      <c r="C588" s="3"/>
      <c r="D588" s="3"/>
      <c r="E588" s="3"/>
      <c r="F588" s="114"/>
    </row>
    <row r="589">
      <c r="A589" s="114"/>
      <c r="C589" s="3"/>
      <c r="D589" s="3"/>
      <c r="E589" s="3"/>
      <c r="F589" s="114"/>
    </row>
    <row r="590">
      <c r="A590" s="114"/>
      <c r="C590" s="3"/>
      <c r="D590" s="3"/>
      <c r="E590" s="3"/>
      <c r="F590" s="114"/>
    </row>
    <row r="591">
      <c r="A591" s="114"/>
      <c r="C591" s="3"/>
      <c r="D591" s="3"/>
      <c r="E591" s="3"/>
      <c r="F591" s="114"/>
    </row>
    <row r="592">
      <c r="A592" s="114"/>
      <c r="C592" s="3"/>
      <c r="D592" s="3"/>
      <c r="E592" s="3"/>
      <c r="F592" s="114"/>
    </row>
    <row r="593">
      <c r="A593" s="114"/>
      <c r="C593" s="3"/>
      <c r="D593" s="3"/>
      <c r="E593" s="3"/>
      <c r="F593" s="114"/>
    </row>
    <row r="594">
      <c r="A594" s="114"/>
      <c r="C594" s="3"/>
      <c r="D594" s="3"/>
      <c r="E594" s="3"/>
      <c r="F594" s="114"/>
    </row>
    <row r="595">
      <c r="A595" s="114"/>
      <c r="C595" s="3"/>
      <c r="D595" s="3"/>
      <c r="E595" s="3"/>
      <c r="F595" s="114"/>
    </row>
    <row r="596">
      <c r="A596" s="114"/>
      <c r="C596" s="3"/>
      <c r="D596" s="3"/>
      <c r="E596" s="3"/>
      <c r="F596" s="114"/>
    </row>
    <row r="597">
      <c r="A597" s="114"/>
      <c r="C597" s="3"/>
      <c r="D597" s="3"/>
      <c r="E597" s="3"/>
      <c r="F597" s="114"/>
    </row>
    <row r="598">
      <c r="A598" s="114"/>
      <c r="C598" s="3"/>
      <c r="D598" s="3"/>
      <c r="E598" s="3"/>
      <c r="F598" s="114"/>
    </row>
    <row r="599">
      <c r="A599" s="114"/>
      <c r="C599" s="3"/>
      <c r="D599" s="3"/>
      <c r="E599" s="3"/>
      <c r="F599" s="114"/>
    </row>
    <row r="600">
      <c r="A600" s="114"/>
      <c r="C600" s="3"/>
      <c r="D600" s="3"/>
      <c r="E600" s="3"/>
      <c r="F600" s="114"/>
    </row>
    <row r="601">
      <c r="A601" s="114"/>
      <c r="C601" s="3"/>
      <c r="D601" s="3"/>
      <c r="E601" s="3"/>
      <c r="F601" s="114"/>
    </row>
    <row r="602">
      <c r="A602" s="114"/>
      <c r="C602" s="3"/>
      <c r="D602" s="3"/>
      <c r="E602" s="3"/>
      <c r="F602" s="114"/>
    </row>
    <row r="603">
      <c r="A603" s="114"/>
      <c r="C603" s="3"/>
      <c r="D603" s="3"/>
      <c r="E603" s="3"/>
      <c r="F603" s="114"/>
    </row>
    <row r="604">
      <c r="A604" s="114"/>
      <c r="C604" s="3"/>
      <c r="D604" s="3"/>
      <c r="E604" s="3"/>
      <c r="F604" s="114"/>
    </row>
    <row r="605">
      <c r="A605" s="114"/>
      <c r="C605" s="3"/>
      <c r="D605" s="3"/>
      <c r="E605" s="3"/>
      <c r="F605" s="114"/>
    </row>
    <row r="606">
      <c r="A606" s="114"/>
      <c r="C606" s="3"/>
      <c r="D606" s="3"/>
      <c r="E606" s="3"/>
      <c r="F606" s="114"/>
    </row>
    <row r="607">
      <c r="A607" s="114"/>
      <c r="C607" s="3"/>
      <c r="D607" s="3"/>
      <c r="E607" s="3"/>
      <c r="F607" s="114"/>
    </row>
    <row r="608">
      <c r="A608" s="114"/>
      <c r="C608" s="3"/>
      <c r="D608" s="3"/>
      <c r="E608" s="3"/>
      <c r="F608" s="114"/>
    </row>
    <row r="609">
      <c r="A609" s="114"/>
      <c r="C609" s="3"/>
      <c r="D609" s="3"/>
      <c r="E609" s="3"/>
      <c r="F609" s="114"/>
    </row>
    <row r="610">
      <c r="A610" s="114"/>
      <c r="C610" s="3"/>
      <c r="D610" s="3"/>
      <c r="E610" s="3"/>
      <c r="F610" s="114"/>
    </row>
    <row r="611">
      <c r="A611" s="114"/>
      <c r="C611" s="3"/>
      <c r="D611" s="3"/>
      <c r="E611" s="3"/>
      <c r="F611" s="114"/>
    </row>
    <row r="612">
      <c r="A612" s="114"/>
      <c r="C612" s="3"/>
      <c r="D612" s="3"/>
      <c r="E612" s="3"/>
      <c r="F612" s="114"/>
    </row>
    <row r="613">
      <c r="A613" s="114"/>
      <c r="C613" s="3"/>
      <c r="D613" s="3"/>
      <c r="E613" s="3"/>
      <c r="F613" s="114"/>
    </row>
    <row r="614">
      <c r="A614" s="114"/>
      <c r="C614" s="3"/>
      <c r="D614" s="3"/>
      <c r="E614" s="3"/>
      <c r="F614" s="114"/>
    </row>
    <row r="615">
      <c r="A615" s="114"/>
      <c r="C615" s="3"/>
      <c r="D615" s="3"/>
      <c r="E615" s="3"/>
      <c r="F615" s="114"/>
    </row>
    <row r="616">
      <c r="A616" s="114"/>
      <c r="C616" s="3"/>
      <c r="D616" s="3"/>
      <c r="E616" s="3"/>
      <c r="F616" s="114"/>
    </row>
    <row r="617">
      <c r="A617" s="114"/>
      <c r="C617" s="3"/>
      <c r="D617" s="3"/>
      <c r="E617" s="3"/>
      <c r="F617" s="114"/>
    </row>
    <row r="618">
      <c r="A618" s="114"/>
      <c r="C618" s="3"/>
      <c r="D618" s="3"/>
      <c r="E618" s="3"/>
      <c r="F618" s="114"/>
    </row>
    <row r="619">
      <c r="A619" s="114"/>
      <c r="C619" s="3"/>
      <c r="D619" s="3"/>
      <c r="E619" s="3"/>
      <c r="F619" s="114"/>
    </row>
    <row r="620">
      <c r="A620" s="114"/>
      <c r="C620" s="3"/>
      <c r="D620" s="3"/>
      <c r="E620" s="3"/>
      <c r="F620" s="114"/>
    </row>
    <row r="621">
      <c r="A621" s="114"/>
      <c r="C621" s="3"/>
      <c r="D621" s="3"/>
      <c r="E621" s="3"/>
      <c r="F621" s="114"/>
    </row>
    <row r="622">
      <c r="A622" s="114"/>
      <c r="C622" s="3"/>
      <c r="D622" s="3"/>
      <c r="E622" s="3"/>
      <c r="F622" s="114"/>
    </row>
    <row r="623">
      <c r="A623" s="114"/>
      <c r="C623" s="3"/>
      <c r="D623" s="3"/>
      <c r="E623" s="3"/>
      <c r="F623" s="114"/>
    </row>
    <row r="624">
      <c r="A624" s="114"/>
      <c r="C624" s="3"/>
      <c r="D624" s="3"/>
      <c r="E624" s="3"/>
      <c r="F624" s="114"/>
    </row>
    <row r="625">
      <c r="A625" s="114"/>
      <c r="C625" s="3"/>
      <c r="D625" s="3"/>
      <c r="E625" s="3"/>
      <c r="F625" s="114"/>
    </row>
    <row r="626">
      <c r="A626" s="114"/>
      <c r="C626" s="3"/>
      <c r="D626" s="3"/>
      <c r="E626" s="3"/>
      <c r="F626" s="114"/>
    </row>
    <row r="627">
      <c r="A627" s="114"/>
      <c r="C627" s="3"/>
      <c r="D627" s="3"/>
      <c r="E627" s="3"/>
      <c r="F627" s="114"/>
    </row>
    <row r="628">
      <c r="A628" s="114"/>
      <c r="C628" s="3"/>
      <c r="D628" s="3"/>
      <c r="E628" s="3"/>
      <c r="F628" s="114"/>
    </row>
    <row r="629">
      <c r="A629" s="114"/>
      <c r="C629" s="3"/>
      <c r="D629" s="3"/>
      <c r="E629" s="3"/>
      <c r="F629" s="114"/>
    </row>
    <row r="630">
      <c r="A630" s="114"/>
      <c r="C630" s="3"/>
      <c r="D630" s="3"/>
      <c r="E630" s="3"/>
      <c r="F630" s="114"/>
    </row>
    <row r="631">
      <c r="A631" s="114"/>
      <c r="C631" s="3"/>
      <c r="D631" s="3"/>
      <c r="E631" s="3"/>
      <c r="F631" s="114"/>
    </row>
    <row r="632">
      <c r="A632" s="114"/>
      <c r="C632" s="3"/>
      <c r="D632" s="3"/>
      <c r="E632" s="3"/>
      <c r="F632" s="114"/>
    </row>
    <row r="633">
      <c r="A633" s="114"/>
      <c r="C633" s="3"/>
      <c r="D633" s="3"/>
      <c r="E633" s="3"/>
      <c r="F633" s="114"/>
    </row>
    <row r="634">
      <c r="A634" s="114"/>
      <c r="C634" s="3"/>
      <c r="D634" s="3"/>
      <c r="E634" s="3"/>
      <c r="F634" s="114"/>
    </row>
    <row r="635">
      <c r="A635" s="114"/>
      <c r="C635" s="3"/>
      <c r="D635" s="3"/>
      <c r="E635" s="3"/>
      <c r="F635" s="114"/>
    </row>
    <row r="636">
      <c r="A636" s="114"/>
      <c r="C636" s="3"/>
      <c r="D636" s="3"/>
      <c r="E636" s="3"/>
      <c r="F636" s="114"/>
    </row>
    <row r="637">
      <c r="A637" s="114"/>
      <c r="C637" s="3"/>
      <c r="D637" s="3"/>
      <c r="E637" s="3"/>
      <c r="F637" s="114"/>
    </row>
    <row r="638">
      <c r="A638" s="114"/>
      <c r="C638" s="3"/>
      <c r="D638" s="3"/>
      <c r="E638" s="3"/>
      <c r="F638" s="114"/>
    </row>
    <row r="639">
      <c r="A639" s="114"/>
      <c r="C639" s="3"/>
      <c r="D639" s="3"/>
      <c r="E639" s="3"/>
      <c r="F639" s="114"/>
    </row>
    <row r="640">
      <c r="A640" s="114"/>
      <c r="C640" s="3"/>
      <c r="D640" s="3"/>
      <c r="E640" s="3"/>
      <c r="F640" s="114"/>
    </row>
    <row r="641">
      <c r="A641" s="114"/>
      <c r="C641" s="3"/>
      <c r="D641" s="3"/>
      <c r="E641" s="3"/>
      <c r="F641" s="114"/>
    </row>
    <row r="642">
      <c r="A642" s="114"/>
      <c r="C642" s="3"/>
      <c r="D642" s="3"/>
      <c r="E642" s="3"/>
      <c r="F642" s="114"/>
    </row>
    <row r="643">
      <c r="A643" s="114"/>
      <c r="C643" s="3"/>
      <c r="D643" s="3"/>
      <c r="E643" s="3"/>
      <c r="F643" s="114"/>
    </row>
    <row r="644">
      <c r="A644" s="114"/>
      <c r="C644" s="3"/>
      <c r="D644" s="3"/>
      <c r="E644" s="3"/>
      <c r="F644" s="114"/>
    </row>
    <row r="645">
      <c r="A645" s="114"/>
      <c r="C645" s="3"/>
      <c r="D645" s="3"/>
      <c r="E645" s="3"/>
      <c r="F645" s="114"/>
    </row>
    <row r="646">
      <c r="A646" s="114"/>
      <c r="C646" s="3"/>
      <c r="D646" s="3"/>
      <c r="E646" s="3"/>
      <c r="F646" s="114"/>
    </row>
    <row r="647">
      <c r="A647" s="114"/>
      <c r="C647" s="3"/>
      <c r="D647" s="3"/>
      <c r="E647" s="3"/>
      <c r="F647" s="114"/>
    </row>
    <row r="648">
      <c r="A648" s="114"/>
      <c r="C648" s="3"/>
      <c r="D648" s="3"/>
      <c r="E648" s="3"/>
      <c r="F648" s="114"/>
    </row>
    <row r="649">
      <c r="A649" s="114"/>
      <c r="C649" s="3"/>
      <c r="D649" s="3"/>
      <c r="E649" s="3"/>
      <c r="F649" s="114"/>
    </row>
    <row r="650">
      <c r="A650" s="114"/>
      <c r="C650" s="3"/>
      <c r="D650" s="3"/>
      <c r="E650" s="3"/>
      <c r="F650" s="114"/>
    </row>
    <row r="651">
      <c r="A651" s="114"/>
      <c r="C651" s="3"/>
      <c r="D651" s="3"/>
      <c r="E651" s="3"/>
      <c r="F651" s="114"/>
    </row>
    <row r="652">
      <c r="A652" s="114"/>
      <c r="C652" s="3"/>
      <c r="D652" s="3"/>
      <c r="E652" s="3"/>
      <c r="F652" s="114"/>
    </row>
    <row r="653">
      <c r="A653" s="114"/>
      <c r="C653" s="3"/>
      <c r="D653" s="3"/>
      <c r="E653" s="3"/>
      <c r="F653" s="114"/>
    </row>
    <row r="654">
      <c r="A654" s="114"/>
      <c r="C654" s="3"/>
      <c r="D654" s="3"/>
      <c r="E654" s="3"/>
      <c r="F654" s="114"/>
    </row>
    <row r="655">
      <c r="A655" s="114"/>
      <c r="C655" s="3"/>
      <c r="D655" s="3"/>
      <c r="E655" s="3"/>
      <c r="F655" s="114"/>
    </row>
    <row r="656">
      <c r="A656" s="114"/>
      <c r="C656" s="3"/>
      <c r="D656" s="3"/>
      <c r="E656" s="3"/>
      <c r="F656" s="114"/>
    </row>
    <row r="657">
      <c r="A657" s="114"/>
      <c r="C657" s="3"/>
      <c r="D657" s="3"/>
      <c r="E657" s="3"/>
      <c r="F657" s="114"/>
    </row>
    <row r="658">
      <c r="A658" s="114"/>
      <c r="C658" s="3"/>
      <c r="D658" s="3"/>
      <c r="E658" s="3"/>
      <c r="F658" s="114"/>
    </row>
    <row r="659">
      <c r="A659" s="114"/>
      <c r="C659" s="3"/>
      <c r="D659" s="3"/>
      <c r="E659" s="3"/>
      <c r="F659" s="114"/>
    </row>
    <row r="660">
      <c r="A660" s="114"/>
      <c r="C660" s="3"/>
      <c r="D660" s="3"/>
      <c r="E660" s="3"/>
      <c r="F660" s="114"/>
    </row>
    <row r="661">
      <c r="A661" s="114"/>
      <c r="C661" s="3"/>
      <c r="D661" s="3"/>
      <c r="E661" s="3"/>
      <c r="F661" s="114"/>
    </row>
    <row r="662">
      <c r="A662" s="114"/>
      <c r="C662" s="3"/>
      <c r="D662" s="3"/>
      <c r="E662" s="3"/>
      <c r="F662" s="114"/>
    </row>
    <row r="663">
      <c r="A663" s="114"/>
      <c r="C663" s="3"/>
      <c r="D663" s="3"/>
      <c r="E663" s="3"/>
      <c r="F663" s="114"/>
    </row>
    <row r="664">
      <c r="A664" s="114"/>
      <c r="C664" s="3"/>
      <c r="D664" s="3"/>
      <c r="E664" s="3"/>
      <c r="F664" s="114"/>
    </row>
    <row r="665">
      <c r="A665" s="114"/>
      <c r="C665" s="3"/>
      <c r="D665" s="3"/>
      <c r="E665" s="3"/>
      <c r="F665" s="114"/>
    </row>
    <row r="666">
      <c r="A666" s="114"/>
      <c r="C666" s="3"/>
      <c r="D666" s="3"/>
      <c r="E666" s="3"/>
      <c r="F666" s="114"/>
    </row>
    <row r="667">
      <c r="A667" s="114"/>
      <c r="C667" s="3"/>
      <c r="D667" s="3"/>
      <c r="E667" s="3"/>
      <c r="F667" s="114"/>
    </row>
    <row r="668">
      <c r="A668" s="114"/>
      <c r="C668" s="3"/>
      <c r="D668" s="3"/>
      <c r="E668" s="3"/>
      <c r="F668" s="114"/>
    </row>
    <row r="669">
      <c r="A669" s="114"/>
      <c r="C669" s="3"/>
      <c r="D669" s="3"/>
      <c r="E669" s="3"/>
      <c r="F669" s="114"/>
    </row>
    <row r="670">
      <c r="A670" s="114"/>
      <c r="C670" s="3"/>
      <c r="D670" s="3"/>
      <c r="E670" s="3"/>
      <c r="F670" s="114"/>
    </row>
    <row r="671">
      <c r="A671" s="114"/>
      <c r="C671" s="3"/>
      <c r="D671" s="3"/>
      <c r="E671" s="3"/>
      <c r="F671" s="114"/>
    </row>
    <row r="672">
      <c r="A672" s="114"/>
      <c r="C672" s="3"/>
      <c r="D672" s="3"/>
      <c r="E672" s="3"/>
      <c r="F672" s="114"/>
    </row>
    <row r="673">
      <c r="A673" s="114"/>
      <c r="C673" s="3"/>
      <c r="D673" s="3"/>
      <c r="E673" s="3"/>
      <c r="F673" s="114"/>
    </row>
    <row r="674">
      <c r="A674" s="114"/>
      <c r="C674" s="3"/>
      <c r="D674" s="3"/>
      <c r="E674" s="3"/>
      <c r="F674" s="114"/>
    </row>
    <row r="675">
      <c r="A675" s="114"/>
      <c r="C675" s="3"/>
      <c r="D675" s="3"/>
      <c r="E675" s="3"/>
      <c r="F675" s="114"/>
    </row>
    <row r="676">
      <c r="A676" s="114"/>
      <c r="C676" s="3"/>
      <c r="D676" s="3"/>
      <c r="E676" s="3"/>
      <c r="F676" s="114"/>
    </row>
    <row r="677">
      <c r="A677" s="114"/>
      <c r="C677" s="3"/>
      <c r="D677" s="3"/>
      <c r="E677" s="3"/>
      <c r="F677" s="114"/>
    </row>
    <row r="678">
      <c r="A678" s="114"/>
      <c r="C678" s="3"/>
      <c r="D678" s="3"/>
      <c r="E678" s="3"/>
      <c r="F678" s="114"/>
    </row>
    <row r="679">
      <c r="A679" s="114"/>
      <c r="C679" s="3"/>
      <c r="D679" s="3"/>
      <c r="E679" s="3"/>
      <c r="F679" s="114"/>
    </row>
    <row r="680">
      <c r="A680" s="114"/>
      <c r="C680" s="3"/>
      <c r="D680" s="3"/>
      <c r="E680" s="3"/>
      <c r="F680" s="114"/>
    </row>
    <row r="681">
      <c r="A681" s="114"/>
      <c r="C681" s="3"/>
      <c r="D681" s="3"/>
      <c r="E681" s="3"/>
      <c r="F681" s="114"/>
    </row>
    <row r="682">
      <c r="A682" s="114"/>
      <c r="C682" s="3"/>
      <c r="D682" s="3"/>
      <c r="E682" s="3"/>
      <c r="F682" s="114"/>
    </row>
    <row r="683">
      <c r="A683" s="114"/>
      <c r="C683" s="3"/>
      <c r="D683" s="3"/>
      <c r="E683" s="3"/>
      <c r="F683" s="114"/>
    </row>
    <row r="684">
      <c r="A684" s="114"/>
      <c r="C684" s="3"/>
      <c r="D684" s="3"/>
      <c r="E684" s="3"/>
      <c r="F684" s="114"/>
    </row>
    <row r="685">
      <c r="A685" s="114"/>
      <c r="C685" s="3"/>
      <c r="D685" s="3"/>
      <c r="E685" s="3"/>
      <c r="F685" s="114"/>
    </row>
    <row r="686">
      <c r="A686" s="114"/>
      <c r="C686" s="3"/>
      <c r="D686" s="3"/>
      <c r="E686" s="3"/>
      <c r="F686" s="114"/>
    </row>
    <row r="687">
      <c r="A687" s="114"/>
      <c r="C687" s="3"/>
      <c r="D687" s="3"/>
      <c r="E687" s="3"/>
      <c r="F687" s="114"/>
    </row>
    <row r="688">
      <c r="A688" s="114"/>
      <c r="C688" s="3"/>
      <c r="D688" s="3"/>
      <c r="E688" s="3"/>
      <c r="F688" s="114"/>
    </row>
    <row r="689">
      <c r="A689" s="114"/>
      <c r="C689" s="3"/>
      <c r="D689" s="3"/>
      <c r="E689" s="3"/>
      <c r="F689" s="114"/>
    </row>
    <row r="690">
      <c r="A690" s="114"/>
      <c r="C690" s="3"/>
      <c r="D690" s="3"/>
      <c r="E690" s="3"/>
      <c r="F690" s="114"/>
    </row>
    <row r="691">
      <c r="A691" s="114"/>
      <c r="C691" s="3"/>
      <c r="D691" s="3"/>
      <c r="E691" s="3"/>
      <c r="F691" s="114"/>
    </row>
    <row r="692">
      <c r="A692" s="114"/>
      <c r="C692" s="3"/>
      <c r="D692" s="3"/>
      <c r="E692" s="3"/>
      <c r="F692" s="114"/>
    </row>
    <row r="693">
      <c r="A693" s="114"/>
      <c r="C693" s="3"/>
      <c r="D693" s="3"/>
      <c r="E693" s="3"/>
      <c r="F693" s="114"/>
    </row>
    <row r="694">
      <c r="A694" s="114"/>
      <c r="C694" s="3"/>
      <c r="D694" s="3"/>
      <c r="E694" s="3"/>
      <c r="F694" s="114"/>
    </row>
    <row r="695">
      <c r="A695" s="114"/>
      <c r="C695" s="3"/>
      <c r="D695" s="3"/>
      <c r="E695" s="3"/>
      <c r="F695" s="114"/>
    </row>
    <row r="696">
      <c r="A696" s="114"/>
      <c r="C696" s="3"/>
      <c r="D696" s="3"/>
      <c r="E696" s="3"/>
      <c r="F696" s="114"/>
    </row>
    <row r="697">
      <c r="A697" s="114"/>
      <c r="C697" s="3"/>
      <c r="D697" s="3"/>
      <c r="E697" s="3"/>
      <c r="F697" s="114"/>
    </row>
    <row r="698">
      <c r="A698" s="114"/>
      <c r="C698" s="3"/>
      <c r="D698" s="3"/>
      <c r="E698" s="3"/>
      <c r="F698" s="114"/>
    </row>
    <row r="699">
      <c r="A699" s="114"/>
      <c r="C699" s="3"/>
      <c r="D699" s="3"/>
      <c r="E699" s="3"/>
      <c r="F699" s="114"/>
    </row>
    <row r="700">
      <c r="A700" s="114"/>
      <c r="C700" s="3"/>
      <c r="D700" s="3"/>
      <c r="E700" s="3"/>
      <c r="F700" s="114"/>
    </row>
    <row r="701">
      <c r="A701" s="114"/>
      <c r="C701" s="3"/>
      <c r="D701" s="3"/>
      <c r="E701" s="3"/>
      <c r="F701" s="114"/>
    </row>
    <row r="702">
      <c r="A702" s="114"/>
      <c r="C702" s="3"/>
      <c r="D702" s="3"/>
      <c r="E702" s="3"/>
      <c r="F702" s="114"/>
    </row>
    <row r="703">
      <c r="A703" s="114"/>
      <c r="C703" s="3"/>
      <c r="D703" s="3"/>
      <c r="E703" s="3"/>
      <c r="F703" s="114"/>
    </row>
    <row r="704">
      <c r="A704" s="114"/>
      <c r="C704" s="3"/>
      <c r="D704" s="3"/>
      <c r="E704" s="3"/>
      <c r="F704" s="114"/>
    </row>
    <row r="705">
      <c r="A705" s="114"/>
      <c r="C705" s="3"/>
      <c r="D705" s="3"/>
      <c r="E705" s="3"/>
      <c r="F705" s="114"/>
    </row>
    <row r="706">
      <c r="A706" s="114"/>
      <c r="C706" s="3"/>
      <c r="D706" s="3"/>
      <c r="E706" s="3"/>
      <c r="F706" s="114"/>
    </row>
    <row r="707">
      <c r="A707" s="114"/>
      <c r="C707" s="3"/>
      <c r="D707" s="3"/>
      <c r="E707" s="3"/>
      <c r="F707" s="114"/>
    </row>
    <row r="708">
      <c r="A708" s="114"/>
      <c r="C708" s="3"/>
      <c r="D708" s="3"/>
      <c r="E708" s="3"/>
      <c r="F708" s="114"/>
    </row>
    <row r="709">
      <c r="A709" s="114"/>
      <c r="C709" s="3"/>
      <c r="D709" s="3"/>
      <c r="E709" s="3"/>
      <c r="F709" s="114"/>
    </row>
    <row r="710">
      <c r="A710" s="114"/>
      <c r="C710" s="3"/>
      <c r="D710" s="3"/>
      <c r="E710" s="3"/>
      <c r="F710" s="114"/>
    </row>
    <row r="711">
      <c r="A711" s="114"/>
      <c r="C711" s="3"/>
      <c r="D711" s="3"/>
      <c r="E711" s="3"/>
      <c r="F711" s="114"/>
    </row>
    <row r="712">
      <c r="A712" s="114"/>
      <c r="C712" s="3"/>
      <c r="D712" s="3"/>
      <c r="E712" s="3"/>
      <c r="F712" s="114"/>
    </row>
    <row r="713">
      <c r="A713" s="114"/>
      <c r="C713" s="3"/>
      <c r="D713" s="3"/>
      <c r="E713" s="3"/>
      <c r="F713" s="114"/>
    </row>
    <row r="714">
      <c r="A714" s="114"/>
      <c r="C714" s="3"/>
      <c r="D714" s="3"/>
      <c r="E714" s="3"/>
      <c r="F714" s="114"/>
    </row>
    <row r="715">
      <c r="A715" s="114"/>
      <c r="C715" s="3"/>
      <c r="D715" s="3"/>
      <c r="E715" s="3"/>
      <c r="F715" s="114"/>
    </row>
    <row r="716">
      <c r="A716" s="114"/>
      <c r="C716" s="3"/>
      <c r="D716" s="3"/>
      <c r="E716" s="3"/>
      <c r="F716" s="114"/>
    </row>
    <row r="717">
      <c r="A717" s="114"/>
      <c r="C717" s="3"/>
      <c r="D717" s="3"/>
      <c r="E717" s="3"/>
      <c r="F717" s="114"/>
    </row>
    <row r="718">
      <c r="A718" s="114"/>
      <c r="C718" s="3"/>
      <c r="D718" s="3"/>
      <c r="E718" s="3"/>
      <c r="F718" s="114"/>
    </row>
    <row r="719">
      <c r="A719" s="114"/>
      <c r="C719" s="3"/>
      <c r="D719" s="3"/>
      <c r="E719" s="3"/>
      <c r="F719" s="114"/>
    </row>
    <row r="720">
      <c r="A720" s="114"/>
      <c r="C720" s="3"/>
      <c r="D720" s="3"/>
      <c r="E720" s="3"/>
      <c r="F720" s="114"/>
    </row>
    <row r="721">
      <c r="A721" s="114"/>
      <c r="C721" s="3"/>
      <c r="D721" s="3"/>
      <c r="E721" s="3"/>
      <c r="F721" s="114"/>
    </row>
    <row r="722">
      <c r="A722" s="114"/>
      <c r="C722" s="3"/>
      <c r="D722" s="3"/>
      <c r="E722" s="3"/>
      <c r="F722" s="114"/>
    </row>
    <row r="723">
      <c r="A723" s="114"/>
      <c r="C723" s="3"/>
      <c r="D723" s="3"/>
      <c r="E723" s="3"/>
      <c r="F723" s="114"/>
    </row>
    <row r="724">
      <c r="A724" s="114"/>
      <c r="C724" s="3"/>
      <c r="D724" s="3"/>
      <c r="E724" s="3"/>
      <c r="F724" s="114"/>
    </row>
    <row r="725">
      <c r="A725" s="114"/>
      <c r="C725" s="3"/>
      <c r="D725" s="3"/>
      <c r="E725" s="3"/>
      <c r="F725" s="114"/>
    </row>
    <row r="726">
      <c r="A726" s="114"/>
      <c r="C726" s="3"/>
      <c r="D726" s="3"/>
      <c r="E726" s="3"/>
      <c r="F726" s="114"/>
    </row>
    <row r="727">
      <c r="A727" s="114"/>
      <c r="C727" s="3"/>
      <c r="D727" s="3"/>
      <c r="E727" s="3"/>
      <c r="F727" s="114"/>
    </row>
    <row r="728">
      <c r="A728" s="114"/>
      <c r="C728" s="3"/>
      <c r="D728" s="3"/>
      <c r="E728" s="3"/>
      <c r="F728" s="114"/>
    </row>
    <row r="729">
      <c r="A729" s="114"/>
      <c r="C729" s="3"/>
      <c r="D729" s="3"/>
      <c r="E729" s="3"/>
      <c r="F729" s="114"/>
    </row>
    <row r="730">
      <c r="A730" s="114"/>
      <c r="C730" s="3"/>
      <c r="D730" s="3"/>
      <c r="E730" s="3"/>
      <c r="F730" s="114"/>
    </row>
    <row r="731">
      <c r="A731" s="114"/>
      <c r="C731" s="3"/>
      <c r="D731" s="3"/>
      <c r="E731" s="3"/>
      <c r="F731" s="114"/>
    </row>
    <row r="732">
      <c r="A732" s="114"/>
      <c r="C732" s="3"/>
      <c r="D732" s="3"/>
      <c r="E732" s="3"/>
      <c r="F732" s="114"/>
    </row>
    <row r="733">
      <c r="A733" s="114"/>
      <c r="C733" s="3"/>
      <c r="D733" s="3"/>
      <c r="E733" s="3"/>
      <c r="F733" s="114"/>
    </row>
    <row r="734">
      <c r="A734" s="114"/>
      <c r="C734" s="3"/>
      <c r="D734" s="3"/>
      <c r="E734" s="3"/>
      <c r="F734" s="114"/>
    </row>
    <row r="735">
      <c r="A735" s="114"/>
      <c r="C735" s="3"/>
      <c r="D735" s="3"/>
      <c r="E735" s="3"/>
      <c r="F735" s="114"/>
    </row>
    <row r="736">
      <c r="A736" s="114"/>
      <c r="C736" s="3"/>
      <c r="D736" s="3"/>
      <c r="E736" s="3"/>
      <c r="F736" s="114"/>
    </row>
    <row r="737">
      <c r="A737" s="114"/>
      <c r="C737" s="3"/>
      <c r="D737" s="3"/>
      <c r="E737" s="3"/>
      <c r="F737" s="114"/>
    </row>
    <row r="738">
      <c r="A738" s="114"/>
      <c r="C738" s="3"/>
      <c r="D738" s="3"/>
      <c r="E738" s="3"/>
      <c r="F738" s="114"/>
    </row>
    <row r="739">
      <c r="A739" s="114"/>
      <c r="C739" s="3"/>
      <c r="D739" s="3"/>
      <c r="E739" s="3"/>
      <c r="F739" s="114"/>
    </row>
    <row r="740">
      <c r="A740" s="114"/>
      <c r="C740" s="3"/>
      <c r="D740" s="3"/>
      <c r="E740" s="3"/>
      <c r="F740" s="114"/>
    </row>
    <row r="741">
      <c r="A741" s="114"/>
      <c r="C741" s="3"/>
      <c r="D741" s="3"/>
      <c r="E741" s="3"/>
      <c r="F741" s="114"/>
    </row>
    <row r="742">
      <c r="A742" s="114"/>
      <c r="C742" s="3"/>
      <c r="D742" s="3"/>
      <c r="E742" s="3"/>
      <c r="F742" s="114"/>
    </row>
    <row r="743">
      <c r="A743" s="114"/>
      <c r="C743" s="3"/>
      <c r="D743" s="3"/>
      <c r="E743" s="3"/>
      <c r="F743" s="114"/>
    </row>
    <row r="744">
      <c r="A744" s="114"/>
      <c r="C744" s="3"/>
      <c r="D744" s="3"/>
      <c r="E744" s="3"/>
      <c r="F744" s="114"/>
    </row>
    <row r="745">
      <c r="A745" s="114"/>
      <c r="C745" s="3"/>
      <c r="D745" s="3"/>
      <c r="E745" s="3"/>
      <c r="F745" s="114"/>
    </row>
    <row r="746">
      <c r="A746" s="114"/>
      <c r="C746" s="3"/>
      <c r="D746" s="3"/>
      <c r="E746" s="3"/>
      <c r="F746" s="114"/>
    </row>
    <row r="747">
      <c r="A747" s="114"/>
      <c r="C747" s="3"/>
      <c r="D747" s="3"/>
      <c r="E747" s="3"/>
      <c r="F747" s="114"/>
    </row>
    <row r="748">
      <c r="A748" s="114"/>
      <c r="C748" s="3"/>
      <c r="D748" s="3"/>
      <c r="E748" s="3"/>
      <c r="F748" s="114"/>
    </row>
    <row r="749">
      <c r="A749" s="114"/>
      <c r="C749" s="3"/>
      <c r="D749" s="3"/>
      <c r="E749" s="3"/>
      <c r="F749" s="114"/>
    </row>
    <row r="750">
      <c r="A750" s="114"/>
      <c r="C750" s="3"/>
      <c r="D750" s="3"/>
      <c r="E750" s="3"/>
      <c r="F750" s="114"/>
    </row>
    <row r="751">
      <c r="A751" s="114"/>
      <c r="C751" s="3"/>
      <c r="D751" s="3"/>
      <c r="E751" s="3"/>
      <c r="F751" s="114"/>
    </row>
    <row r="752">
      <c r="A752" s="114"/>
      <c r="C752" s="3"/>
      <c r="D752" s="3"/>
      <c r="E752" s="3"/>
      <c r="F752" s="114"/>
    </row>
    <row r="753">
      <c r="A753" s="114"/>
      <c r="C753" s="3"/>
      <c r="D753" s="3"/>
      <c r="E753" s="3"/>
      <c r="F753" s="114"/>
    </row>
    <row r="754">
      <c r="A754" s="114"/>
      <c r="C754" s="3"/>
      <c r="D754" s="3"/>
      <c r="E754" s="3"/>
      <c r="F754" s="114"/>
    </row>
    <row r="755">
      <c r="A755" s="114"/>
      <c r="C755" s="3"/>
      <c r="D755" s="3"/>
      <c r="E755" s="3"/>
      <c r="F755" s="114"/>
    </row>
    <row r="756">
      <c r="A756" s="114"/>
      <c r="C756" s="3"/>
      <c r="D756" s="3"/>
      <c r="E756" s="3"/>
      <c r="F756" s="114"/>
    </row>
    <row r="757">
      <c r="A757" s="114"/>
      <c r="C757" s="3"/>
      <c r="D757" s="3"/>
      <c r="E757" s="3"/>
      <c r="F757" s="114"/>
    </row>
    <row r="758">
      <c r="A758" s="114"/>
      <c r="C758" s="3"/>
      <c r="D758" s="3"/>
      <c r="E758" s="3"/>
      <c r="F758" s="114"/>
    </row>
    <row r="759">
      <c r="A759" s="114"/>
      <c r="C759" s="3"/>
      <c r="D759" s="3"/>
      <c r="E759" s="3"/>
      <c r="F759" s="114"/>
    </row>
    <row r="760">
      <c r="A760" s="114"/>
      <c r="C760" s="3"/>
      <c r="D760" s="3"/>
      <c r="E760" s="3"/>
      <c r="F760" s="114"/>
    </row>
    <row r="761">
      <c r="A761" s="114"/>
      <c r="C761" s="3"/>
      <c r="D761" s="3"/>
      <c r="E761" s="3"/>
      <c r="F761" s="114"/>
    </row>
    <row r="762">
      <c r="A762" s="114"/>
      <c r="C762" s="3"/>
      <c r="D762" s="3"/>
      <c r="E762" s="3"/>
      <c r="F762" s="114"/>
    </row>
    <row r="763">
      <c r="A763" s="114"/>
      <c r="C763" s="3"/>
      <c r="D763" s="3"/>
      <c r="E763" s="3"/>
      <c r="F763" s="114"/>
    </row>
    <row r="764">
      <c r="A764" s="114"/>
      <c r="C764" s="3"/>
      <c r="D764" s="3"/>
      <c r="E764" s="3"/>
      <c r="F764" s="114"/>
    </row>
    <row r="765">
      <c r="A765" s="114"/>
      <c r="C765" s="3"/>
      <c r="D765" s="3"/>
      <c r="E765" s="3"/>
      <c r="F765" s="114"/>
    </row>
    <row r="766">
      <c r="A766" s="114"/>
      <c r="C766" s="3"/>
      <c r="D766" s="3"/>
      <c r="E766" s="3"/>
      <c r="F766" s="114"/>
    </row>
    <row r="767">
      <c r="A767" s="114"/>
      <c r="C767" s="3"/>
      <c r="D767" s="3"/>
      <c r="E767" s="3"/>
      <c r="F767" s="114"/>
    </row>
    <row r="768">
      <c r="A768" s="114"/>
      <c r="C768" s="3"/>
      <c r="D768" s="3"/>
      <c r="E768" s="3"/>
      <c r="F768" s="114"/>
    </row>
    <row r="769">
      <c r="A769" s="114"/>
      <c r="C769" s="3"/>
      <c r="D769" s="3"/>
      <c r="E769" s="3"/>
      <c r="F769" s="114"/>
    </row>
    <row r="770">
      <c r="A770" s="114"/>
      <c r="C770" s="3"/>
      <c r="D770" s="3"/>
      <c r="E770" s="3"/>
      <c r="F770" s="114"/>
    </row>
    <row r="771">
      <c r="A771" s="114"/>
      <c r="C771" s="3"/>
      <c r="D771" s="3"/>
      <c r="E771" s="3"/>
      <c r="F771" s="114"/>
    </row>
    <row r="772">
      <c r="A772" s="114"/>
      <c r="C772" s="3"/>
      <c r="D772" s="3"/>
      <c r="E772" s="3"/>
      <c r="F772" s="114"/>
    </row>
    <row r="773">
      <c r="A773" s="114"/>
      <c r="C773" s="3"/>
      <c r="D773" s="3"/>
      <c r="E773" s="3"/>
      <c r="F773" s="114"/>
    </row>
    <row r="774">
      <c r="A774" s="114"/>
      <c r="C774" s="3"/>
      <c r="D774" s="3"/>
      <c r="E774" s="3"/>
      <c r="F774" s="114"/>
    </row>
    <row r="775">
      <c r="A775" s="114"/>
      <c r="C775" s="3"/>
      <c r="D775" s="3"/>
      <c r="E775" s="3"/>
      <c r="F775" s="114"/>
    </row>
    <row r="776">
      <c r="A776" s="114"/>
      <c r="C776" s="3"/>
      <c r="D776" s="3"/>
      <c r="E776" s="3"/>
      <c r="F776" s="114"/>
    </row>
    <row r="777">
      <c r="A777" s="114"/>
      <c r="C777" s="3"/>
      <c r="D777" s="3"/>
      <c r="E777" s="3"/>
      <c r="F777" s="114"/>
    </row>
    <row r="778">
      <c r="A778" s="114"/>
      <c r="C778" s="3"/>
      <c r="D778" s="3"/>
      <c r="E778" s="3"/>
      <c r="F778" s="114"/>
    </row>
    <row r="779">
      <c r="A779" s="114"/>
      <c r="C779" s="3"/>
      <c r="D779" s="3"/>
      <c r="E779" s="3"/>
      <c r="F779" s="114"/>
    </row>
    <row r="780">
      <c r="A780" s="114"/>
      <c r="C780" s="3"/>
      <c r="D780" s="3"/>
      <c r="E780" s="3"/>
      <c r="F780" s="114"/>
    </row>
    <row r="781">
      <c r="A781" s="114"/>
      <c r="C781" s="3"/>
      <c r="D781" s="3"/>
      <c r="E781" s="3"/>
      <c r="F781" s="114"/>
    </row>
    <row r="782">
      <c r="A782" s="114"/>
      <c r="C782" s="3"/>
      <c r="D782" s="3"/>
      <c r="E782" s="3"/>
      <c r="F782" s="114"/>
    </row>
    <row r="783">
      <c r="A783" s="114"/>
      <c r="C783" s="3"/>
      <c r="D783" s="3"/>
      <c r="E783" s="3"/>
      <c r="F783" s="114"/>
    </row>
    <row r="784">
      <c r="A784" s="114"/>
      <c r="C784" s="3"/>
      <c r="D784" s="3"/>
      <c r="E784" s="3"/>
      <c r="F784" s="114"/>
    </row>
    <row r="785">
      <c r="A785" s="114"/>
      <c r="C785" s="3"/>
      <c r="D785" s="3"/>
      <c r="E785" s="3"/>
      <c r="F785" s="114"/>
    </row>
    <row r="786">
      <c r="A786" s="114"/>
      <c r="C786" s="3"/>
      <c r="D786" s="3"/>
      <c r="E786" s="3"/>
      <c r="F786" s="114"/>
    </row>
    <row r="787">
      <c r="A787" s="114"/>
      <c r="C787" s="3"/>
      <c r="D787" s="3"/>
      <c r="E787" s="3"/>
      <c r="F787" s="114"/>
    </row>
    <row r="788">
      <c r="A788" s="114"/>
      <c r="C788" s="3"/>
      <c r="D788" s="3"/>
      <c r="E788" s="3"/>
      <c r="F788" s="114"/>
    </row>
    <row r="789">
      <c r="A789" s="114"/>
      <c r="C789" s="3"/>
      <c r="D789" s="3"/>
      <c r="E789" s="3"/>
      <c r="F789" s="114"/>
    </row>
    <row r="790">
      <c r="A790" s="114"/>
      <c r="C790" s="3"/>
      <c r="D790" s="3"/>
      <c r="E790" s="3"/>
      <c r="F790" s="114"/>
    </row>
    <row r="791">
      <c r="A791" s="114"/>
      <c r="C791" s="3"/>
      <c r="D791" s="3"/>
      <c r="E791" s="3"/>
      <c r="F791" s="114"/>
    </row>
    <row r="792">
      <c r="A792" s="114"/>
      <c r="C792" s="3"/>
      <c r="D792" s="3"/>
      <c r="E792" s="3"/>
      <c r="F792" s="114"/>
    </row>
    <row r="793">
      <c r="A793" s="114"/>
      <c r="C793" s="3"/>
      <c r="D793" s="3"/>
      <c r="E793" s="3"/>
      <c r="F793" s="114"/>
    </row>
    <row r="794">
      <c r="A794" s="114"/>
      <c r="C794" s="3"/>
      <c r="D794" s="3"/>
      <c r="E794" s="3"/>
      <c r="F794" s="114"/>
    </row>
    <row r="795">
      <c r="A795" s="114"/>
      <c r="C795" s="3"/>
      <c r="D795" s="3"/>
      <c r="E795" s="3"/>
      <c r="F795" s="114"/>
    </row>
    <row r="796">
      <c r="A796" s="114"/>
      <c r="C796" s="3"/>
      <c r="D796" s="3"/>
      <c r="E796" s="3"/>
      <c r="F796" s="114"/>
    </row>
    <row r="797">
      <c r="A797" s="114"/>
      <c r="C797" s="3"/>
      <c r="D797" s="3"/>
      <c r="E797" s="3"/>
      <c r="F797" s="114"/>
    </row>
    <row r="798">
      <c r="A798" s="114"/>
      <c r="C798" s="3"/>
      <c r="D798" s="3"/>
      <c r="E798" s="3"/>
      <c r="F798" s="114"/>
    </row>
    <row r="799">
      <c r="A799" s="114"/>
      <c r="C799" s="3"/>
      <c r="D799" s="3"/>
      <c r="E799" s="3"/>
      <c r="F799" s="114"/>
    </row>
    <row r="800">
      <c r="A800" s="114"/>
      <c r="C800" s="3"/>
      <c r="D800" s="3"/>
      <c r="E800" s="3"/>
      <c r="F800" s="114"/>
    </row>
    <row r="801">
      <c r="A801" s="114"/>
      <c r="C801" s="3"/>
      <c r="D801" s="3"/>
      <c r="E801" s="3"/>
      <c r="F801" s="114"/>
    </row>
    <row r="802">
      <c r="A802" s="114"/>
      <c r="C802" s="3"/>
      <c r="D802" s="3"/>
      <c r="E802" s="3"/>
      <c r="F802" s="114"/>
    </row>
    <row r="803">
      <c r="A803" s="114"/>
      <c r="C803" s="3"/>
      <c r="D803" s="3"/>
      <c r="E803" s="3"/>
      <c r="F803" s="114"/>
    </row>
    <row r="804">
      <c r="A804" s="114"/>
      <c r="C804" s="3"/>
      <c r="D804" s="3"/>
      <c r="E804" s="3"/>
      <c r="F804" s="114"/>
    </row>
    <row r="805">
      <c r="A805" s="114"/>
      <c r="C805" s="3"/>
      <c r="D805" s="3"/>
      <c r="E805" s="3"/>
      <c r="F805" s="114"/>
    </row>
    <row r="806">
      <c r="A806" s="114"/>
      <c r="C806" s="3"/>
      <c r="D806" s="3"/>
      <c r="E806" s="3"/>
      <c r="F806" s="114"/>
    </row>
    <row r="807">
      <c r="A807" s="114"/>
      <c r="C807" s="3"/>
      <c r="D807" s="3"/>
      <c r="E807" s="3"/>
      <c r="F807" s="114"/>
    </row>
    <row r="808">
      <c r="A808" s="114"/>
      <c r="C808" s="3"/>
      <c r="D808" s="3"/>
      <c r="E808" s="3"/>
      <c r="F808" s="114"/>
    </row>
    <row r="809">
      <c r="A809" s="114"/>
      <c r="C809" s="3"/>
      <c r="D809" s="3"/>
      <c r="E809" s="3"/>
      <c r="F809" s="114"/>
    </row>
    <row r="810">
      <c r="A810" s="114"/>
      <c r="C810" s="3"/>
      <c r="D810" s="3"/>
      <c r="E810" s="3"/>
      <c r="F810" s="114"/>
    </row>
    <row r="811">
      <c r="A811" s="114"/>
      <c r="C811" s="3"/>
      <c r="D811" s="3"/>
      <c r="E811" s="3"/>
      <c r="F811" s="114"/>
    </row>
    <row r="812">
      <c r="A812" s="114"/>
      <c r="C812" s="3"/>
      <c r="D812" s="3"/>
      <c r="E812" s="3"/>
      <c r="F812" s="114"/>
    </row>
    <row r="813">
      <c r="A813" s="114"/>
      <c r="C813" s="3"/>
      <c r="D813" s="3"/>
      <c r="E813" s="3"/>
      <c r="F813" s="114"/>
    </row>
    <row r="814">
      <c r="A814" s="114"/>
      <c r="C814" s="3"/>
      <c r="D814" s="3"/>
      <c r="E814" s="3"/>
      <c r="F814" s="114"/>
    </row>
    <row r="815">
      <c r="A815" s="114"/>
      <c r="C815" s="3"/>
      <c r="D815" s="3"/>
      <c r="E815" s="3"/>
      <c r="F815" s="114"/>
    </row>
    <row r="816">
      <c r="A816" s="114"/>
      <c r="C816" s="3"/>
      <c r="D816" s="3"/>
      <c r="E816" s="3"/>
      <c r="F816" s="114"/>
    </row>
    <row r="817">
      <c r="A817" s="114"/>
      <c r="C817" s="3"/>
      <c r="D817" s="3"/>
      <c r="E817" s="3"/>
      <c r="F817" s="114"/>
    </row>
    <row r="818">
      <c r="A818" s="114"/>
      <c r="C818" s="3"/>
      <c r="D818" s="3"/>
      <c r="E818" s="3"/>
      <c r="F818" s="114"/>
    </row>
    <row r="819">
      <c r="A819" s="114"/>
      <c r="C819" s="3"/>
      <c r="D819" s="3"/>
      <c r="E819" s="3"/>
      <c r="F819" s="114"/>
    </row>
    <row r="820">
      <c r="A820" s="114"/>
      <c r="C820" s="3"/>
      <c r="D820" s="3"/>
      <c r="E820" s="3"/>
      <c r="F820" s="114"/>
    </row>
    <row r="821">
      <c r="A821" s="114"/>
      <c r="C821" s="3"/>
      <c r="D821" s="3"/>
      <c r="E821" s="3"/>
      <c r="F821" s="114"/>
    </row>
    <row r="822">
      <c r="A822" s="114"/>
      <c r="C822" s="3"/>
      <c r="D822" s="3"/>
      <c r="E822" s="3"/>
      <c r="F822" s="114"/>
    </row>
    <row r="823">
      <c r="A823" s="114"/>
      <c r="C823" s="3"/>
      <c r="D823" s="3"/>
      <c r="E823" s="3"/>
      <c r="F823" s="114"/>
    </row>
    <row r="824">
      <c r="A824" s="114"/>
      <c r="C824" s="3"/>
      <c r="D824" s="3"/>
      <c r="E824" s="3"/>
      <c r="F824" s="114"/>
    </row>
    <row r="825">
      <c r="A825" s="114"/>
      <c r="C825" s="3"/>
      <c r="D825" s="3"/>
      <c r="E825" s="3"/>
      <c r="F825" s="114"/>
    </row>
    <row r="826">
      <c r="A826" s="114"/>
      <c r="C826" s="3"/>
      <c r="D826" s="3"/>
      <c r="E826" s="3"/>
      <c r="F826" s="114"/>
    </row>
    <row r="827">
      <c r="A827" s="114"/>
      <c r="C827" s="3"/>
      <c r="D827" s="3"/>
      <c r="E827" s="3"/>
      <c r="F827" s="114"/>
    </row>
    <row r="828">
      <c r="A828" s="114"/>
      <c r="C828" s="3"/>
      <c r="D828" s="3"/>
      <c r="E828" s="3"/>
      <c r="F828" s="114"/>
    </row>
    <row r="829">
      <c r="A829" s="114"/>
      <c r="C829" s="3"/>
      <c r="D829" s="3"/>
      <c r="E829" s="3"/>
      <c r="F829" s="114"/>
    </row>
    <row r="830">
      <c r="A830" s="114"/>
      <c r="C830" s="3"/>
      <c r="D830" s="3"/>
      <c r="E830" s="3"/>
      <c r="F830" s="114"/>
    </row>
    <row r="831">
      <c r="A831" s="114"/>
      <c r="C831" s="3"/>
      <c r="D831" s="3"/>
      <c r="E831" s="3"/>
      <c r="F831" s="114"/>
    </row>
    <row r="832">
      <c r="A832" s="114"/>
      <c r="C832" s="3"/>
      <c r="D832" s="3"/>
      <c r="E832" s="3"/>
      <c r="F832" s="114"/>
    </row>
    <row r="833">
      <c r="A833" s="114"/>
      <c r="C833" s="3"/>
      <c r="D833" s="3"/>
      <c r="E833" s="3"/>
      <c r="F833" s="114"/>
    </row>
    <row r="834">
      <c r="A834" s="114"/>
      <c r="C834" s="3"/>
      <c r="D834" s="3"/>
      <c r="E834" s="3"/>
      <c r="F834" s="114"/>
    </row>
    <row r="835">
      <c r="A835" s="114"/>
      <c r="C835" s="3"/>
      <c r="D835" s="3"/>
      <c r="E835" s="3"/>
      <c r="F835" s="114"/>
    </row>
    <row r="836">
      <c r="A836" s="114"/>
      <c r="C836" s="3"/>
      <c r="D836" s="3"/>
      <c r="E836" s="3"/>
      <c r="F836" s="114"/>
    </row>
    <row r="837">
      <c r="A837" s="114"/>
      <c r="C837" s="3"/>
      <c r="D837" s="3"/>
      <c r="E837" s="3"/>
      <c r="F837" s="114"/>
    </row>
    <row r="838">
      <c r="A838" s="114"/>
      <c r="C838" s="3"/>
      <c r="D838" s="3"/>
      <c r="E838" s="3"/>
      <c r="F838" s="114"/>
    </row>
    <row r="839">
      <c r="A839" s="114"/>
      <c r="C839" s="3"/>
      <c r="D839" s="3"/>
      <c r="E839" s="3"/>
      <c r="F839" s="114"/>
    </row>
    <row r="840">
      <c r="A840" s="114"/>
      <c r="C840" s="3"/>
      <c r="D840" s="3"/>
      <c r="E840" s="3"/>
      <c r="F840" s="114"/>
    </row>
    <row r="841">
      <c r="A841" s="114"/>
      <c r="C841" s="3"/>
      <c r="D841" s="3"/>
      <c r="E841" s="3"/>
      <c r="F841" s="114"/>
    </row>
    <row r="842">
      <c r="A842" s="114"/>
      <c r="C842" s="3"/>
      <c r="D842" s="3"/>
      <c r="E842" s="3"/>
      <c r="F842" s="114"/>
    </row>
    <row r="843">
      <c r="A843" s="114"/>
      <c r="C843" s="3"/>
      <c r="D843" s="3"/>
      <c r="E843" s="3"/>
      <c r="F843" s="114"/>
    </row>
    <row r="844">
      <c r="A844" s="114"/>
      <c r="C844" s="3"/>
      <c r="D844" s="3"/>
      <c r="E844" s="3"/>
      <c r="F844" s="114"/>
    </row>
    <row r="845">
      <c r="A845" s="114"/>
      <c r="C845" s="3"/>
      <c r="D845" s="3"/>
      <c r="E845" s="3"/>
      <c r="F845" s="114"/>
    </row>
    <row r="846">
      <c r="A846" s="114"/>
      <c r="C846" s="3"/>
      <c r="D846" s="3"/>
      <c r="E846" s="3"/>
      <c r="F846" s="114"/>
    </row>
    <row r="847">
      <c r="A847" s="114"/>
      <c r="C847" s="3"/>
      <c r="D847" s="3"/>
      <c r="E847" s="3"/>
      <c r="F847" s="114"/>
    </row>
    <row r="848">
      <c r="A848" s="114"/>
      <c r="C848" s="3"/>
      <c r="D848" s="3"/>
      <c r="E848" s="3"/>
      <c r="F848" s="114"/>
    </row>
    <row r="849">
      <c r="A849" s="114"/>
      <c r="C849" s="3"/>
      <c r="D849" s="3"/>
      <c r="E849" s="3"/>
      <c r="F849" s="114"/>
    </row>
    <row r="850">
      <c r="A850" s="114"/>
      <c r="C850" s="3"/>
      <c r="D850" s="3"/>
      <c r="E850" s="3"/>
      <c r="F850" s="114"/>
    </row>
    <row r="851">
      <c r="A851" s="114"/>
      <c r="C851" s="3"/>
      <c r="D851" s="3"/>
      <c r="E851" s="3"/>
      <c r="F851" s="114"/>
    </row>
    <row r="852">
      <c r="A852" s="114"/>
      <c r="C852" s="3"/>
      <c r="D852" s="3"/>
      <c r="E852" s="3"/>
      <c r="F852" s="114"/>
    </row>
    <row r="853">
      <c r="A853" s="114"/>
      <c r="C853" s="3"/>
      <c r="D853" s="3"/>
      <c r="E853" s="3"/>
      <c r="F853" s="114"/>
    </row>
    <row r="854">
      <c r="A854" s="114"/>
      <c r="C854" s="3"/>
      <c r="D854" s="3"/>
      <c r="E854" s="3"/>
      <c r="F854" s="114"/>
    </row>
    <row r="855">
      <c r="A855" s="114"/>
      <c r="C855" s="3"/>
      <c r="D855" s="3"/>
      <c r="E855" s="3"/>
      <c r="F855" s="114"/>
    </row>
    <row r="856">
      <c r="A856" s="114"/>
      <c r="C856" s="3"/>
      <c r="D856" s="3"/>
      <c r="E856" s="3"/>
      <c r="F856" s="114"/>
    </row>
    <row r="857">
      <c r="A857" s="114"/>
      <c r="C857" s="3"/>
      <c r="D857" s="3"/>
      <c r="E857" s="3"/>
      <c r="F857" s="114"/>
    </row>
    <row r="858">
      <c r="A858" s="114"/>
      <c r="C858" s="3"/>
      <c r="D858" s="3"/>
      <c r="E858" s="3"/>
      <c r="F858" s="114"/>
    </row>
    <row r="859">
      <c r="A859" s="114"/>
      <c r="C859" s="3"/>
      <c r="D859" s="3"/>
      <c r="E859" s="3"/>
      <c r="F859" s="114"/>
    </row>
    <row r="860">
      <c r="A860" s="114"/>
      <c r="C860" s="3"/>
      <c r="D860" s="3"/>
      <c r="E860" s="3"/>
      <c r="F860" s="114"/>
    </row>
    <row r="861">
      <c r="A861" s="114"/>
      <c r="C861" s="3"/>
      <c r="D861" s="3"/>
      <c r="E861" s="3"/>
      <c r="F861" s="114"/>
    </row>
    <row r="862">
      <c r="A862" s="114"/>
      <c r="C862" s="3"/>
      <c r="D862" s="3"/>
      <c r="E862" s="3"/>
      <c r="F862" s="114"/>
    </row>
    <row r="863">
      <c r="A863" s="114"/>
      <c r="C863" s="3"/>
      <c r="D863" s="3"/>
      <c r="E863" s="3"/>
      <c r="F863" s="114"/>
    </row>
    <row r="864">
      <c r="A864" s="114"/>
      <c r="C864" s="3"/>
      <c r="D864" s="3"/>
      <c r="E864" s="3"/>
      <c r="F864" s="114"/>
    </row>
    <row r="865">
      <c r="A865" s="114"/>
      <c r="C865" s="3"/>
      <c r="D865" s="3"/>
      <c r="E865" s="3"/>
      <c r="F865" s="114"/>
    </row>
    <row r="866">
      <c r="A866" s="114"/>
      <c r="C866" s="3"/>
      <c r="D866" s="3"/>
      <c r="E866" s="3"/>
      <c r="F866" s="114"/>
    </row>
    <row r="867">
      <c r="A867" s="114"/>
      <c r="C867" s="3"/>
      <c r="D867" s="3"/>
      <c r="E867" s="3"/>
      <c r="F867" s="114"/>
    </row>
    <row r="868">
      <c r="A868" s="114"/>
      <c r="C868" s="3"/>
      <c r="D868" s="3"/>
      <c r="E868" s="3"/>
      <c r="F868" s="114"/>
    </row>
    <row r="869">
      <c r="A869" s="114"/>
      <c r="C869" s="3"/>
      <c r="D869" s="3"/>
      <c r="E869" s="3"/>
      <c r="F869" s="114"/>
    </row>
    <row r="870">
      <c r="A870" s="114"/>
      <c r="C870" s="3"/>
      <c r="D870" s="3"/>
      <c r="E870" s="3"/>
      <c r="F870" s="114"/>
    </row>
    <row r="871">
      <c r="A871" s="114"/>
      <c r="C871" s="3"/>
      <c r="D871" s="3"/>
      <c r="E871" s="3"/>
      <c r="F871" s="114"/>
    </row>
    <row r="872">
      <c r="A872" s="114"/>
      <c r="C872" s="3"/>
      <c r="D872" s="3"/>
      <c r="E872" s="3"/>
      <c r="F872" s="114"/>
    </row>
    <row r="873">
      <c r="A873" s="114"/>
      <c r="C873" s="3"/>
      <c r="D873" s="3"/>
      <c r="E873" s="3"/>
      <c r="F873" s="114"/>
    </row>
    <row r="874">
      <c r="A874" s="114"/>
      <c r="C874" s="3"/>
      <c r="D874" s="3"/>
      <c r="E874" s="3"/>
      <c r="F874" s="114"/>
    </row>
    <row r="875">
      <c r="A875" s="114"/>
      <c r="C875" s="3"/>
      <c r="D875" s="3"/>
      <c r="E875" s="3"/>
      <c r="F875" s="114"/>
    </row>
    <row r="876">
      <c r="A876" s="114"/>
      <c r="C876" s="3"/>
      <c r="D876" s="3"/>
      <c r="E876" s="3"/>
      <c r="F876" s="114"/>
    </row>
    <row r="877">
      <c r="A877" s="114"/>
      <c r="C877" s="3"/>
      <c r="D877" s="3"/>
      <c r="E877" s="3"/>
      <c r="F877" s="114"/>
    </row>
    <row r="878">
      <c r="A878" s="114"/>
      <c r="C878" s="3"/>
      <c r="D878" s="3"/>
      <c r="E878" s="3"/>
      <c r="F878" s="114"/>
    </row>
    <row r="879">
      <c r="A879" s="114"/>
      <c r="C879" s="3"/>
      <c r="D879" s="3"/>
      <c r="E879" s="3"/>
      <c r="F879" s="114"/>
    </row>
    <row r="880">
      <c r="A880" s="114"/>
      <c r="C880" s="3"/>
      <c r="D880" s="3"/>
      <c r="E880" s="3"/>
      <c r="F880" s="114"/>
    </row>
    <row r="881">
      <c r="A881" s="114"/>
      <c r="C881" s="3"/>
      <c r="D881" s="3"/>
      <c r="E881" s="3"/>
      <c r="F881" s="114"/>
    </row>
    <row r="882">
      <c r="A882" s="114"/>
      <c r="C882" s="3"/>
      <c r="D882" s="3"/>
      <c r="E882" s="3"/>
      <c r="F882" s="114"/>
    </row>
    <row r="883">
      <c r="A883" s="114"/>
      <c r="C883" s="3"/>
      <c r="D883" s="3"/>
      <c r="E883" s="3"/>
      <c r="F883" s="114"/>
    </row>
    <row r="884">
      <c r="A884" s="114"/>
      <c r="C884" s="3"/>
      <c r="D884" s="3"/>
      <c r="E884" s="3"/>
      <c r="F884" s="114"/>
    </row>
    <row r="885">
      <c r="A885" s="114"/>
      <c r="C885" s="3"/>
      <c r="D885" s="3"/>
      <c r="E885" s="3"/>
      <c r="F885" s="114"/>
    </row>
    <row r="886">
      <c r="A886" s="114"/>
      <c r="C886" s="3"/>
      <c r="D886" s="3"/>
      <c r="E886" s="3"/>
      <c r="F886" s="114"/>
    </row>
    <row r="887">
      <c r="A887" s="114"/>
      <c r="C887" s="3"/>
      <c r="D887" s="3"/>
      <c r="E887" s="3"/>
      <c r="F887" s="114"/>
    </row>
    <row r="888">
      <c r="A888" s="114"/>
      <c r="C888" s="3"/>
      <c r="D888" s="3"/>
      <c r="E888" s="3"/>
      <c r="F888" s="114"/>
    </row>
    <row r="889">
      <c r="A889" s="114"/>
      <c r="C889" s="3"/>
      <c r="D889" s="3"/>
      <c r="E889" s="3"/>
      <c r="F889" s="114"/>
    </row>
    <row r="890">
      <c r="A890" s="114"/>
      <c r="C890" s="3"/>
      <c r="D890" s="3"/>
      <c r="E890" s="3"/>
      <c r="F890" s="114"/>
    </row>
    <row r="891">
      <c r="A891" s="114"/>
      <c r="C891" s="3"/>
      <c r="D891" s="3"/>
      <c r="E891" s="3"/>
      <c r="F891" s="114"/>
    </row>
    <row r="892">
      <c r="A892" s="114"/>
      <c r="C892" s="3"/>
      <c r="D892" s="3"/>
      <c r="E892" s="3"/>
      <c r="F892" s="114"/>
    </row>
    <row r="893">
      <c r="A893" s="114"/>
      <c r="C893" s="3"/>
      <c r="D893" s="3"/>
      <c r="E893" s="3"/>
      <c r="F893" s="114"/>
    </row>
    <row r="894">
      <c r="A894" s="114"/>
      <c r="C894" s="3"/>
      <c r="D894" s="3"/>
      <c r="E894" s="3"/>
      <c r="F894" s="114"/>
    </row>
    <row r="895">
      <c r="A895" s="114"/>
      <c r="C895" s="3"/>
      <c r="D895" s="3"/>
      <c r="E895" s="3"/>
      <c r="F895" s="114"/>
    </row>
    <row r="896">
      <c r="A896" s="114"/>
      <c r="C896" s="3"/>
      <c r="D896" s="3"/>
      <c r="E896" s="3"/>
      <c r="F896" s="114"/>
    </row>
    <row r="897">
      <c r="A897" s="114"/>
      <c r="C897" s="3"/>
      <c r="D897" s="3"/>
      <c r="E897" s="3"/>
      <c r="F897" s="114"/>
    </row>
    <row r="898">
      <c r="A898" s="114"/>
      <c r="C898" s="3"/>
      <c r="D898" s="3"/>
      <c r="E898" s="3"/>
      <c r="F898" s="114"/>
    </row>
    <row r="899">
      <c r="A899" s="114"/>
      <c r="C899" s="3"/>
      <c r="D899" s="3"/>
      <c r="E899" s="3"/>
      <c r="F899" s="114"/>
    </row>
    <row r="900">
      <c r="A900" s="114"/>
      <c r="C900" s="3"/>
      <c r="D900" s="3"/>
      <c r="E900" s="3"/>
      <c r="F900" s="114"/>
    </row>
    <row r="901">
      <c r="A901" s="114"/>
      <c r="C901" s="3"/>
      <c r="D901" s="3"/>
      <c r="E901" s="3"/>
      <c r="F901" s="114"/>
    </row>
    <row r="902">
      <c r="A902" s="114"/>
      <c r="C902" s="3"/>
      <c r="D902" s="3"/>
      <c r="E902" s="3"/>
      <c r="F902" s="114"/>
    </row>
    <row r="903">
      <c r="A903" s="114"/>
      <c r="C903" s="3"/>
      <c r="D903" s="3"/>
      <c r="E903" s="3"/>
      <c r="F903" s="114"/>
    </row>
    <row r="904">
      <c r="A904" s="114"/>
      <c r="C904" s="3"/>
      <c r="D904" s="3"/>
      <c r="E904" s="3"/>
      <c r="F904" s="114"/>
    </row>
    <row r="905">
      <c r="A905" s="114"/>
      <c r="C905" s="3"/>
      <c r="D905" s="3"/>
      <c r="E905" s="3"/>
      <c r="F905" s="114"/>
    </row>
    <row r="906">
      <c r="A906" s="114"/>
      <c r="C906" s="3"/>
      <c r="D906" s="3"/>
      <c r="E906" s="3"/>
      <c r="F906" s="114"/>
    </row>
    <row r="907">
      <c r="A907" s="114"/>
      <c r="C907" s="3"/>
      <c r="D907" s="3"/>
      <c r="E907" s="3"/>
      <c r="F907" s="114"/>
    </row>
    <row r="908">
      <c r="A908" s="114"/>
      <c r="C908" s="3"/>
      <c r="D908" s="3"/>
      <c r="E908" s="3"/>
      <c r="F908" s="114"/>
    </row>
    <row r="909">
      <c r="A909" s="114"/>
      <c r="C909" s="3"/>
      <c r="D909" s="3"/>
      <c r="E909" s="3"/>
      <c r="F909" s="114"/>
    </row>
    <row r="910">
      <c r="A910" s="114"/>
      <c r="C910" s="3"/>
      <c r="D910" s="3"/>
      <c r="E910" s="3"/>
      <c r="F910" s="114"/>
    </row>
    <row r="911">
      <c r="A911" s="114"/>
      <c r="C911" s="3"/>
      <c r="D911" s="3"/>
      <c r="E911" s="3"/>
      <c r="F911" s="114"/>
    </row>
    <row r="912">
      <c r="A912" s="114"/>
      <c r="C912" s="3"/>
      <c r="D912" s="3"/>
      <c r="E912" s="3"/>
      <c r="F912" s="114"/>
    </row>
    <row r="913">
      <c r="A913" s="114"/>
      <c r="C913" s="3"/>
      <c r="D913" s="3"/>
      <c r="E913" s="3"/>
      <c r="F913" s="114"/>
    </row>
    <row r="914">
      <c r="A914" s="114"/>
      <c r="C914" s="3"/>
      <c r="D914" s="3"/>
      <c r="E914" s="3"/>
      <c r="F914" s="114"/>
    </row>
    <row r="915">
      <c r="A915" s="114"/>
      <c r="C915" s="3"/>
      <c r="D915" s="3"/>
      <c r="E915" s="3"/>
      <c r="F915" s="114"/>
    </row>
    <row r="916">
      <c r="A916" s="114"/>
      <c r="C916" s="3"/>
      <c r="D916" s="3"/>
      <c r="E916" s="3"/>
      <c r="F916" s="114"/>
    </row>
    <row r="917">
      <c r="A917" s="114"/>
      <c r="C917" s="3"/>
      <c r="D917" s="3"/>
      <c r="E917" s="3"/>
      <c r="F917" s="114"/>
    </row>
    <row r="918">
      <c r="A918" s="114"/>
      <c r="C918" s="3"/>
      <c r="D918" s="3"/>
      <c r="E918" s="3"/>
      <c r="F918" s="114"/>
    </row>
    <row r="919">
      <c r="A919" s="114"/>
      <c r="C919" s="3"/>
      <c r="D919" s="3"/>
      <c r="E919" s="3"/>
      <c r="F919" s="114"/>
    </row>
    <row r="920">
      <c r="A920" s="114"/>
      <c r="C920" s="3"/>
      <c r="D920" s="3"/>
      <c r="E920" s="3"/>
      <c r="F920" s="114"/>
    </row>
    <row r="921">
      <c r="A921" s="114"/>
      <c r="C921" s="3"/>
      <c r="D921" s="3"/>
      <c r="E921" s="3"/>
      <c r="F921" s="114"/>
    </row>
    <row r="922">
      <c r="A922" s="114"/>
      <c r="C922" s="3"/>
      <c r="D922" s="3"/>
      <c r="E922" s="3"/>
      <c r="F922" s="114"/>
    </row>
    <row r="923">
      <c r="A923" s="114"/>
      <c r="C923" s="3"/>
      <c r="D923" s="3"/>
      <c r="E923" s="3"/>
      <c r="F923" s="114"/>
    </row>
    <row r="924">
      <c r="A924" s="114"/>
      <c r="C924" s="3"/>
      <c r="D924" s="3"/>
      <c r="E924" s="3"/>
      <c r="F924" s="114"/>
    </row>
    <row r="925">
      <c r="A925" s="114"/>
      <c r="C925" s="3"/>
      <c r="D925" s="3"/>
      <c r="E925" s="3"/>
      <c r="F925" s="114"/>
    </row>
    <row r="926">
      <c r="A926" s="114"/>
      <c r="C926" s="3"/>
      <c r="D926" s="3"/>
      <c r="E926" s="3"/>
      <c r="F926" s="114"/>
    </row>
    <row r="927">
      <c r="A927" s="114"/>
      <c r="C927" s="3"/>
      <c r="D927" s="3"/>
      <c r="E927" s="3"/>
      <c r="F927" s="114"/>
    </row>
    <row r="928">
      <c r="A928" s="114"/>
      <c r="C928" s="3"/>
      <c r="D928" s="3"/>
      <c r="E928" s="3"/>
      <c r="F928" s="114"/>
    </row>
    <row r="929">
      <c r="A929" s="114"/>
      <c r="C929" s="3"/>
      <c r="D929" s="3"/>
      <c r="E929" s="3"/>
      <c r="F929" s="114"/>
    </row>
    <row r="930">
      <c r="A930" s="114"/>
      <c r="C930" s="3"/>
      <c r="D930" s="3"/>
      <c r="E930" s="3"/>
      <c r="F930" s="114"/>
    </row>
    <row r="931">
      <c r="A931" s="114"/>
      <c r="C931" s="3"/>
      <c r="D931" s="3"/>
      <c r="E931" s="3"/>
      <c r="F931" s="114"/>
    </row>
    <row r="932">
      <c r="A932" s="114"/>
      <c r="C932" s="3"/>
      <c r="D932" s="3"/>
      <c r="E932" s="3"/>
      <c r="F932" s="114"/>
    </row>
    <row r="933">
      <c r="A933" s="114"/>
      <c r="C933" s="3"/>
      <c r="D933" s="3"/>
      <c r="E933" s="3"/>
      <c r="F933" s="114"/>
    </row>
    <row r="934">
      <c r="A934" s="114"/>
      <c r="C934" s="3"/>
      <c r="D934" s="3"/>
      <c r="E934" s="3"/>
      <c r="F934" s="114"/>
    </row>
    <row r="935">
      <c r="A935" s="114"/>
      <c r="C935" s="3"/>
      <c r="D935" s="3"/>
      <c r="E935" s="3"/>
      <c r="F935" s="114"/>
    </row>
    <row r="936">
      <c r="A936" s="114"/>
      <c r="C936" s="3"/>
      <c r="D936" s="3"/>
      <c r="E936" s="3"/>
      <c r="F936" s="114"/>
    </row>
    <row r="937">
      <c r="A937" s="114"/>
      <c r="C937" s="3"/>
      <c r="D937" s="3"/>
      <c r="E937" s="3"/>
      <c r="F937" s="114"/>
    </row>
    <row r="938">
      <c r="A938" s="114"/>
      <c r="C938" s="3"/>
      <c r="D938" s="3"/>
      <c r="E938" s="3"/>
      <c r="F938" s="114"/>
    </row>
    <row r="939">
      <c r="A939" s="114"/>
      <c r="C939" s="3"/>
      <c r="D939" s="3"/>
      <c r="E939" s="3"/>
      <c r="F939" s="114"/>
    </row>
    <row r="940">
      <c r="A940" s="114"/>
      <c r="C940" s="3"/>
      <c r="D940" s="3"/>
      <c r="E940" s="3"/>
      <c r="F940" s="114"/>
    </row>
    <row r="941">
      <c r="A941" s="114"/>
      <c r="C941" s="3"/>
      <c r="D941" s="3"/>
      <c r="E941" s="3"/>
      <c r="F941" s="114"/>
    </row>
    <row r="942">
      <c r="A942" s="114"/>
      <c r="C942" s="3"/>
      <c r="D942" s="3"/>
      <c r="E942" s="3"/>
      <c r="F942" s="114"/>
    </row>
    <row r="943">
      <c r="A943" s="114"/>
      <c r="C943" s="3"/>
      <c r="D943" s="3"/>
      <c r="E943" s="3"/>
      <c r="F943" s="114"/>
    </row>
    <row r="944">
      <c r="A944" s="114"/>
      <c r="C944" s="3"/>
      <c r="D944" s="3"/>
      <c r="E944" s="3"/>
      <c r="F944" s="114"/>
    </row>
    <row r="945">
      <c r="A945" s="114"/>
      <c r="C945" s="3"/>
      <c r="D945" s="3"/>
      <c r="E945" s="3"/>
      <c r="F945" s="114"/>
    </row>
    <row r="946">
      <c r="A946" s="114"/>
      <c r="C946" s="3"/>
      <c r="D946" s="3"/>
      <c r="E946" s="3"/>
      <c r="F946" s="114"/>
    </row>
    <row r="947">
      <c r="A947" s="114"/>
      <c r="C947" s="3"/>
      <c r="D947" s="3"/>
      <c r="E947" s="3"/>
      <c r="F947" s="114"/>
    </row>
    <row r="948">
      <c r="A948" s="114"/>
      <c r="C948" s="3"/>
      <c r="D948" s="3"/>
      <c r="E948" s="3"/>
      <c r="F948" s="114"/>
    </row>
    <row r="949">
      <c r="A949" s="114"/>
      <c r="C949" s="3"/>
      <c r="D949" s="3"/>
      <c r="E949" s="3"/>
      <c r="F949" s="114"/>
    </row>
    <row r="950">
      <c r="A950" s="114"/>
      <c r="C950" s="3"/>
      <c r="D950" s="3"/>
      <c r="E950" s="3"/>
      <c r="F950" s="114"/>
    </row>
    <row r="951">
      <c r="A951" s="114"/>
      <c r="C951" s="3"/>
      <c r="D951" s="3"/>
      <c r="E951" s="3"/>
      <c r="F951" s="114"/>
    </row>
    <row r="952">
      <c r="A952" s="114"/>
      <c r="C952" s="3"/>
      <c r="D952" s="3"/>
      <c r="E952" s="3"/>
      <c r="F952" s="114"/>
    </row>
    <row r="953">
      <c r="A953" s="114"/>
      <c r="C953" s="3"/>
      <c r="D953" s="3"/>
      <c r="E953" s="3"/>
      <c r="F953" s="114"/>
    </row>
    <row r="954">
      <c r="A954" s="114"/>
      <c r="C954" s="3"/>
      <c r="D954" s="3"/>
      <c r="E954" s="3"/>
      <c r="F954" s="114"/>
    </row>
    <row r="955">
      <c r="A955" s="114"/>
      <c r="C955" s="3"/>
      <c r="D955" s="3"/>
      <c r="E955" s="3"/>
      <c r="F955" s="114"/>
    </row>
    <row r="956">
      <c r="A956" s="114"/>
      <c r="C956" s="3"/>
      <c r="D956" s="3"/>
      <c r="E956" s="3"/>
      <c r="F956" s="114"/>
    </row>
    <row r="957">
      <c r="A957" s="114"/>
      <c r="C957" s="3"/>
      <c r="D957" s="3"/>
      <c r="E957" s="3"/>
      <c r="F957" s="114"/>
    </row>
    <row r="958">
      <c r="A958" s="114"/>
      <c r="C958" s="3"/>
      <c r="D958" s="3"/>
      <c r="E958" s="3"/>
      <c r="F958" s="114"/>
    </row>
    <row r="959">
      <c r="A959" s="114"/>
      <c r="C959" s="3"/>
      <c r="D959" s="3"/>
      <c r="E959" s="3"/>
      <c r="F959" s="114"/>
    </row>
    <row r="960">
      <c r="A960" s="114"/>
      <c r="C960" s="3"/>
      <c r="D960" s="3"/>
      <c r="E960" s="3"/>
      <c r="F960" s="114"/>
    </row>
    <row r="961">
      <c r="A961" s="114"/>
      <c r="C961" s="3"/>
      <c r="D961" s="3"/>
      <c r="E961" s="3"/>
      <c r="F961" s="114"/>
    </row>
    <row r="962">
      <c r="A962" s="114"/>
      <c r="C962" s="3"/>
      <c r="D962" s="3"/>
      <c r="E962" s="3"/>
      <c r="F962" s="114"/>
    </row>
    <row r="963">
      <c r="A963" s="114"/>
      <c r="C963" s="3"/>
      <c r="D963" s="3"/>
      <c r="E963" s="3"/>
      <c r="F963" s="114"/>
    </row>
    <row r="964">
      <c r="A964" s="114"/>
      <c r="C964" s="3"/>
      <c r="D964" s="3"/>
      <c r="E964" s="3"/>
      <c r="F964" s="114"/>
    </row>
    <row r="965">
      <c r="A965" s="114"/>
      <c r="C965" s="3"/>
      <c r="D965" s="3"/>
      <c r="E965" s="3"/>
      <c r="F965" s="114"/>
    </row>
    <row r="966">
      <c r="A966" s="114"/>
      <c r="C966" s="3"/>
      <c r="D966" s="3"/>
      <c r="E966" s="3"/>
      <c r="F966" s="114"/>
    </row>
    <row r="967">
      <c r="A967" s="114"/>
      <c r="C967" s="3"/>
      <c r="D967" s="3"/>
      <c r="E967" s="3"/>
      <c r="F967" s="114"/>
    </row>
    <row r="968">
      <c r="A968" s="114"/>
      <c r="C968" s="3"/>
      <c r="D968" s="3"/>
      <c r="E968" s="3"/>
      <c r="F968" s="114"/>
    </row>
    <row r="969">
      <c r="A969" s="114"/>
      <c r="C969" s="3"/>
      <c r="D969" s="3"/>
      <c r="E969" s="3"/>
      <c r="F969" s="114"/>
    </row>
    <row r="970">
      <c r="A970" s="114"/>
      <c r="C970" s="3"/>
      <c r="D970" s="3"/>
      <c r="E970" s="3"/>
      <c r="F970" s="114"/>
    </row>
    <row r="971">
      <c r="A971" s="114"/>
      <c r="C971" s="3"/>
      <c r="D971" s="3"/>
      <c r="E971" s="3"/>
      <c r="F971" s="114"/>
    </row>
    <row r="972">
      <c r="A972" s="114"/>
      <c r="C972" s="3"/>
      <c r="D972" s="3"/>
      <c r="E972" s="3"/>
      <c r="F972" s="114"/>
    </row>
    <row r="973">
      <c r="A973" s="114"/>
      <c r="C973" s="3"/>
      <c r="D973" s="3"/>
      <c r="E973" s="3"/>
      <c r="F973" s="114"/>
    </row>
    <row r="974">
      <c r="A974" s="114"/>
      <c r="C974" s="3"/>
      <c r="D974" s="3"/>
      <c r="E974" s="3"/>
      <c r="F974" s="114"/>
    </row>
    <row r="975">
      <c r="A975" s="114"/>
      <c r="C975" s="3"/>
      <c r="D975" s="3"/>
      <c r="E975" s="3"/>
      <c r="F975" s="114"/>
    </row>
    <row r="976">
      <c r="A976" s="114"/>
      <c r="C976" s="3"/>
      <c r="D976" s="3"/>
      <c r="E976" s="3"/>
      <c r="F976" s="114"/>
    </row>
    <row r="977">
      <c r="A977" s="114"/>
      <c r="C977" s="3"/>
      <c r="D977" s="3"/>
      <c r="E977" s="3"/>
      <c r="F977" s="114"/>
    </row>
    <row r="978">
      <c r="A978" s="114"/>
      <c r="C978" s="3"/>
      <c r="D978" s="3"/>
      <c r="E978" s="3"/>
      <c r="F978" s="114"/>
    </row>
    <row r="979">
      <c r="A979" s="114"/>
      <c r="C979" s="3"/>
      <c r="D979" s="3"/>
      <c r="E979" s="3"/>
      <c r="F979" s="114"/>
    </row>
    <row r="980">
      <c r="A980" s="114"/>
      <c r="C980" s="3"/>
      <c r="D980" s="3"/>
      <c r="E980" s="3"/>
      <c r="F980" s="114"/>
    </row>
    <row r="981">
      <c r="A981" s="114"/>
      <c r="C981" s="3"/>
      <c r="D981" s="3"/>
      <c r="E981" s="3"/>
      <c r="F981" s="114"/>
    </row>
    <row r="982">
      <c r="A982" s="114"/>
      <c r="C982" s="3"/>
      <c r="D982" s="3"/>
      <c r="E982" s="3"/>
      <c r="F982" s="114"/>
    </row>
    <row r="983">
      <c r="A983" s="114"/>
      <c r="C983" s="3"/>
      <c r="D983" s="3"/>
      <c r="E983" s="3"/>
      <c r="F983" s="114"/>
    </row>
    <row r="984">
      <c r="A984" s="114"/>
      <c r="C984" s="3"/>
      <c r="D984" s="3"/>
      <c r="E984" s="3"/>
      <c r="F984" s="114"/>
    </row>
    <row r="985">
      <c r="A985" s="114"/>
      <c r="C985" s="3"/>
      <c r="D985" s="3"/>
      <c r="E985" s="3"/>
      <c r="F985" s="114"/>
    </row>
    <row r="986">
      <c r="A986" s="114"/>
      <c r="C986" s="3"/>
      <c r="D986" s="3"/>
      <c r="E986" s="3"/>
      <c r="F986" s="114"/>
    </row>
    <row r="987">
      <c r="A987" s="114"/>
      <c r="C987" s="3"/>
      <c r="D987" s="3"/>
      <c r="E987" s="3"/>
      <c r="F987" s="114"/>
    </row>
    <row r="988">
      <c r="A988" s="114"/>
      <c r="C988" s="3"/>
      <c r="D988" s="3"/>
      <c r="E988" s="3"/>
      <c r="F988" s="114"/>
    </row>
    <row r="989">
      <c r="A989" s="114"/>
      <c r="C989" s="3"/>
      <c r="D989" s="3"/>
      <c r="E989" s="3"/>
      <c r="F989" s="114"/>
    </row>
    <row r="990">
      <c r="A990" s="114"/>
      <c r="C990" s="3"/>
      <c r="D990" s="3"/>
      <c r="E990" s="3"/>
      <c r="F990" s="114"/>
    </row>
    <row r="991">
      <c r="A991" s="114"/>
      <c r="C991" s="3"/>
      <c r="D991" s="3"/>
      <c r="E991" s="3"/>
      <c r="F991" s="114"/>
    </row>
    <row r="992">
      <c r="A992" s="114"/>
      <c r="C992" s="3"/>
      <c r="D992" s="3"/>
      <c r="E992" s="3"/>
      <c r="F992" s="114"/>
    </row>
    <row r="993">
      <c r="A993" s="114"/>
      <c r="C993" s="3"/>
      <c r="D993" s="3"/>
      <c r="E993" s="3"/>
      <c r="F993" s="114"/>
    </row>
    <row r="994">
      <c r="A994" s="114"/>
      <c r="C994" s="3"/>
      <c r="D994" s="3"/>
      <c r="E994" s="3"/>
      <c r="F994" s="114"/>
    </row>
    <row r="995">
      <c r="A995" s="114"/>
      <c r="C995" s="3"/>
      <c r="D995" s="3"/>
      <c r="E995" s="3"/>
      <c r="F995" s="114"/>
    </row>
    <row r="996">
      <c r="A996" s="114"/>
      <c r="C996" s="3"/>
      <c r="D996" s="3"/>
      <c r="E996" s="3"/>
      <c r="F996" s="114"/>
    </row>
    <row r="997">
      <c r="A997" s="114"/>
      <c r="C997" s="3"/>
      <c r="D997" s="3"/>
      <c r="E997" s="3"/>
      <c r="F997" s="114"/>
    </row>
    <row r="998">
      <c r="A998" s="114"/>
      <c r="C998" s="3"/>
      <c r="D998" s="3"/>
      <c r="E998" s="3"/>
      <c r="F998" s="114"/>
    </row>
    <row r="999">
      <c r="A999" s="114"/>
      <c r="C999" s="3"/>
      <c r="D999" s="3"/>
      <c r="E999" s="3"/>
      <c r="F999" s="114"/>
    </row>
    <row r="1000">
      <c r="A1000" s="114"/>
      <c r="C1000" s="3"/>
      <c r="D1000" s="3"/>
      <c r="E1000" s="3"/>
      <c r="F1000" s="114"/>
    </row>
  </sheetData>
  <mergeCells count="1">
    <mergeCell ref="A1:Z2"/>
  </mergeCells>
  <hyperlinks>
    <hyperlink r:id="rId1" ref="C4"/>
    <hyperlink r:id="rId2" ref="C5"/>
    <hyperlink r:id="rId3" ref="C6"/>
  </hyperlinks>
  <drawing r:id="rId4"/>
</worksheet>
</file>